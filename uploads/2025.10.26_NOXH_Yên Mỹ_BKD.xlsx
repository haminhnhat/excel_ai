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econ.sharepoint.com/sites/DR/FIV/TCNV/1 PROJECT MODEL/B. BDS KHU DO THI/B11. NOXH/Yên Mỹ/"/>
    </mc:Choice>
  </mc:AlternateContent>
  <xr:revisionPtr revIDLastSave="1" documentId="11_72C501881BD02D2244ABE53E062844A919EC6AFB" xr6:coauthVersionLast="47" xr6:coauthVersionMax="47" xr10:uidLastSave="{3DB0F61F-7208-47FC-8454-B23D498B8BEB}"/>
  <bookViews>
    <workbookView xWindow="28680" yWindow="-120" windowWidth="20730" windowHeight="11160" tabRatio="932" activeTab="1" xr2:uid="{00000000-000D-0000-FFFF-FFFF00000000}"/>
  </bookViews>
  <sheets>
    <sheet name="1. Tổng hợp" sheetId="16" r:id="rId1"/>
    <sheet name="2. CPxaydung" sheetId="3" r:id="rId2"/>
    <sheet name="3. TMDT" sheetId="4" r:id="rId3"/>
    <sheet name="4. Vay" sheetId="7" r:id="rId4"/>
    <sheet name="5. KHBH" sheetId="6" r:id="rId5"/>
    <sheet name="6. PBChiPhi" sheetId="9" r:id="rId6"/>
    <sheet name="7. P&amp;L TOÀN DỰ ÁN" sheetId="10" r:id="rId7"/>
    <sheet name="8. Hiệu quả dự án và CĐT" sheetId="8" r:id="rId8"/>
    <sheet name="9. Cân đối dòng tiền (VCSH)" sheetId="32" r:id="rId9"/>
    <sheet name="10. PA dự phòng" sheetId="17" state="hidden" r:id="rId10"/>
    <sheet name="40 CĂN ĐỦ ĐK BH " sheetId="29" state="hidden" r:id="rId11"/>
    <sheet name="CF bán hàng 12.2024" sheetId="31" state="hidden" r:id="rId12"/>
  </sheets>
  <externalReferences>
    <externalReference r:id="rId13"/>
  </externalReferences>
  <definedNames>
    <definedName name="\0" localSheetId="8">#REF!</definedName>
    <definedName name="\0">#REF!</definedName>
    <definedName name="\a" localSheetId="8">#REF!</definedName>
    <definedName name="\a">#REF!</definedName>
    <definedName name="\d" localSheetId="8">#REF!</definedName>
    <definedName name="\d">#REF!</definedName>
    <definedName name="\e" localSheetId="8">#REF!</definedName>
    <definedName name="\e">#REF!</definedName>
    <definedName name="\f" localSheetId="8">#REF!</definedName>
    <definedName name="\f">#REF!</definedName>
    <definedName name="\g" localSheetId="8">#REF!</definedName>
    <definedName name="\g">#REF!</definedName>
    <definedName name="\h" localSheetId="8">#REF!</definedName>
    <definedName name="\h">#REF!</definedName>
    <definedName name="\i" localSheetId="8">#REF!</definedName>
    <definedName name="\i">#REF!</definedName>
    <definedName name="\j" localSheetId="8">#REF!</definedName>
    <definedName name="\j">#REF!</definedName>
    <definedName name="\k" localSheetId="8">#REF!</definedName>
    <definedName name="\k">#REF!</definedName>
    <definedName name="\l" localSheetId="8">#REF!</definedName>
    <definedName name="\l">#REF!</definedName>
    <definedName name="\m" localSheetId="8">#REF!</definedName>
    <definedName name="\m">#REF!</definedName>
    <definedName name="\n" localSheetId="8">#REF!</definedName>
    <definedName name="\n">#REF!</definedName>
    <definedName name="\o" localSheetId="8">#REF!</definedName>
    <definedName name="\o">#REF!</definedName>
    <definedName name="\p" localSheetId="8">#REF!</definedName>
    <definedName name="\p">#REF!</definedName>
    <definedName name="\T" localSheetId="8">#REF!</definedName>
    <definedName name="\T">#REF!</definedName>
    <definedName name="\z" localSheetId="8">#REF!</definedName>
    <definedName name="\z">#REF!</definedName>
    <definedName name="_" localSheetId="8">#REF!</definedName>
    <definedName name="_">#REF!</definedName>
    <definedName name="_?" localSheetId="8">#REF!</definedName>
    <definedName name="_?">#REF!</definedName>
    <definedName name="_??" localSheetId="8">#REF!</definedName>
    <definedName name="_??">#REF!</definedName>
    <definedName name="_???" localSheetId="8">#REF!</definedName>
    <definedName name="_???">#REF!</definedName>
    <definedName name="_??????" localSheetId="8">#REF!</definedName>
    <definedName name="_??????">#REF!</definedName>
    <definedName name="_______________h1" localSheetId="1" hidden="1">{"'Sheet1'!$L$16"}</definedName>
    <definedName name="_______________h1" localSheetId="2" hidden="1">{"'Sheet1'!$L$16"}</definedName>
    <definedName name="_______________h1" localSheetId="4" hidden="1">{"'Sheet1'!$L$16"}</definedName>
    <definedName name="_______________h1" localSheetId="5" hidden="1">{"'Sheet1'!$L$16"}</definedName>
    <definedName name="_______________h1" localSheetId="6" hidden="1">{"'Sheet1'!$L$16"}</definedName>
    <definedName name="_______________h1" localSheetId="7" hidden="1">{"'Sheet1'!$L$16"}</definedName>
    <definedName name="_______________h1" localSheetId="8" hidden="1">{"'Sheet1'!$L$16"}</definedName>
    <definedName name="_______________h1" hidden="1">{"'Sheet1'!$L$16"}</definedName>
    <definedName name="_______________hu1" localSheetId="1" hidden="1">{"'Sheet1'!$L$16"}</definedName>
    <definedName name="_______________hu1" localSheetId="2" hidden="1">{"'Sheet1'!$L$16"}</definedName>
    <definedName name="_______________hu1" localSheetId="4" hidden="1">{"'Sheet1'!$L$16"}</definedName>
    <definedName name="_______________hu1" localSheetId="5" hidden="1">{"'Sheet1'!$L$16"}</definedName>
    <definedName name="_______________hu1" localSheetId="6" hidden="1">{"'Sheet1'!$L$16"}</definedName>
    <definedName name="_______________hu1" localSheetId="7" hidden="1">{"'Sheet1'!$L$16"}</definedName>
    <definedName name="_______________hu1" localSheetId="8" hidden="1">{"'Sheet1'!$L$16"}</definedName>
    <definedName name="_______________hu1" hidden="1">{"'Sheet1'!$L$16"}</definedName>
    <definedName name="_______________hu2" localSheetId="1" hidden="1">{"'Sheet1'!$L$16"}</definedName>
    <definedName name="_______________hu2" localSheetId="2" hidden="1">{"'Sheet1'!$L$16"}</definedName>
    <definedName name="_______________hu2" localSheetId="4" hidden="1">{"'Sheet1'!$L$16"}</definedName>
    <definedName name="_______________hu2" localSheetId="5" hidden="1">{"'Sheet1'!$L$16"}</definedName>
    <definedName name="_______________hu2" localSheetId="6" hidden="1">{"'Sheet1'!$L$16"}</definedName>
    <definedName name="_______________hu2" localSheetId="7" hidden="1">{"'Sheet1'!$L$16"}</definedName>
    <definedName name="_______________hu2" localSheetId="8" hidden="1">{"'Sheet1'!$L$16"}</definedName>
    <definedName name="_______________hu2" hidden="1">{"'Sheet1'!$L$16"}</definedName>
    <definedName name="_______________hu5" localSheetId="1" hidden="1">{"'Sheet1'!$L$16"}</definedName>
    <definedName name="_______________hu5" localSheetId="2" hidden="1">{"'Sheet1'!$L$16"}</definedName>
    <definedName name="_______________hu5" localSheetId="4" hidden="1">{"'Sheet1'!$L$16"}</definedName>
    <definedName name="_______________hu5" localSheetId="5" hidden="1">{"'Sheet1'!$L$16"}</definedName>
    <definedName name="_______________hu5" localSheetId="6" hidden="1">{"'Sheet1'!$L$16"}</definedName>
    <definedName name="_______________hu5" localSheetId="7" hidden="1">{"'Sheet1'!$L$16"}</definedName>
    <definedName name="_______________hu5" localSheetId="8" hidden="1">{"'Sheet1'!$L$16"}</definedName>
    <definedName name="_______________hu5" hidden="1">{"'Sheet1'!$L$16"}</definedName>
    <definedName name="_______________hu6" localSheetId="1" hidden="1">{"'Sheet1'!$L$16"}</definedName>
    <definedName name="_______________hu6" localSheetId="2" hidden="1">{"'Sheet1'!$L$16"}</definedName>
    <definedName name="_______________hu6" localSheetId="4" hidden="1">{"'Sheet1'!$L$16"}</definedName>
    <definedName name="_______________hu6" localSheetId="5" hidden="1">{"'Sheet1'!$L$16"}</definedName>
    <definedName name="_______________hu6" localSheetId="6" hidden="1">{"'Sheet1'!$L$16"}</definedName>
    <definedName name="_______________hu6" localSheetId="7" hidden="1">{"'Sheet1'!$L$16"}</definedName>
    <definedName name="_______________hu6" localSheetId="8" hidden="1">{"'Sheet1'!$L$16"}</definedName>
    <definedName name="_______________hu6" hidden="1">{"'Sheet1'!$L$16"}</definedName>
    <definedName name="______________a130" localSheetId="8" hidden="1">{"Offgrid",#N/A,FALSE,"OFFGRID";"Region",#N/A,FALSE,"REGION";"Offgrid -2",#N/A,FALSE,"OFFGRID";"WTP",#N/A,FALSE,"WTP";"WTP -2",#N/A,FALSE,"WTP";"Project",#N/A,FALSE,"PROJECT";"Summary -2",#N/A,FALSE,"SUMMARY"}</definedName>
    <definedName name="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h1" localSheetId="1" hidden="1">{"'Sheet1'!$L$16"}</definedName>
    <definedName name="______________h1" localSheetId="2" hidden="1">{"'Sheet1'!$L$16"}</definedName>
    <definedName name="______________h1" localSheetId="4" hidden="1">{"'Sheet1'!$L$16"}</definedName>
    <definedName name="______________h1" localSheetId="5" hidden="1">{"'Sheet1'!$L$16"}</definedName>
    <definedName name="______________h1" localSheetId="6" hidden="1">{"'Sheet1'!$L$16"}</definedName>
    <definedName name="______________h1" localSheetId="7" hidden="1">{"'Sheet1'!$L$16"}</definedName>
    <definedName name="______________h1" localSheetId="8" hidden="1">{"'Sheet1'!$L$16"}</definedName>
    <definedName name="______________h1" hidden="1">{"'Sheet1'!$L$16"}</definedName>
    <definedName name="______________hu1" localSheetId="1" hidden="1">{"'Sheet1'!$L$16"}</definedName>
    <definedName name="______________hu1" localSheetId="2" hidden="1">{"'Sheet1'!$L$16"}</definedName>
    <definedName name="______________hu1" localSheetId="4" hidden="1">{"'Sheet1'!$L$16"}</definedName>
    <definedName name="______________hu1" localSheetId="5" hidden="1">{"'Sheet1'!$L$16"}</definedName>
    <definedName name="______________hu1" localSheetId="6" hidden="1">{"'Sheet1'!$L$16"}</definedName>
    <definedName name="______________hu1" localSheetId="7" hidden="1">{"'Sheet1'!$L$16"}</definedName>
    <definedName name="______________hu1" localSheetId="8" hidden="1">{"'Sheet1'!$L$16"}</definedName>
    <definedName name="______________hu1" hidden="1">{"'Sheet1'!$L$16"}</definedName>
    <definedName name="______________hu2" localSheetId="1" hidden="1">{"'Sheet1'!$L$16"}</definedName>
    <definedName name="______________hu2" localSheetId="2" hidden="1">{"'Sheet1'!$L$16"}</definedName>
    <definedName name="______________hu2" localSheetId="4" hidden="1">{"'Sheet1'!$L$16"}</definedName>
    <definedName name="______________hu2" localSheetId="5" hidden="1">{"'Sheet1'!$L$16"}</definedName>
    <definedName name="______________hu2" localSheetId="6" hidden="1">{"'Sheet1'!$L$16"}</definedName>
    <definedName name="______________hu2" localSheetId="7" hidden="1">{"'Sheet1'!$L$16"}</definedName>
    <definedName name="______________hu2" localSheetId="8" hidden="1">{"'Sheet1'!$L$16"}</definedName>
    <definedName name="______________hu2" hidden="1">{"'Sheet1'!$L$16"}</definedName>
    <definedName name="______________hu5" localSheetId="1" hidden="1">{"'Sheet1'!$L$16"}</definedName>
    <definedName name="______________hu5" localSheetId="2" hidden="1">{"'Sheet1'!$L$16"}</definedName>
    <definedName name="______________hu5" localSheetId="4" hidden="1">{"'Sheet1'!$L$16"}</definedName>
    <definedName name="______________hu5" localSheetId="5" hidden="1">{"'Sheet1'!$L$16"}</definedName>
    <definedName name="______________hu5" localSheetId="6" hidden="1">{"'Sheet1'!$L$16"}</definedName>
    <definedName name="______________hu5" localSheetId="7" hidden="1">{"'Sheet1'!$L$16"}</definedName>
    <definedName name="______________hu5" localSheetId="8" hidden="1">{"'Sheet1'!$L$16"}</definedName>
    <definedName name="______________hu5" hidden="1">{"'Sheet1'!$L$16"}</definedName>
    <definedName name="______________hu6" localSheetId="1" hidden="1">{"'Sheet1'!$L$16"}</definedName>
    <definedName name="______________hu6" localSheetId="2" hidden="1">{"'Sheet1'!$L$16"}</definedName>
    <definedName name="______________hu6" localSheetId="4" hidden="1">{"'Sheet1'!$L$16"}</definedName>
    <definedName name="______________hu6" localSheetId="5" hidden="1">{"'Sheet1'!$L$16"}</definedName>
    <definedName name="______________hu6" localSheetId="6" hidden="1">{"'Sheet1'!$L$16"}</definedName>
    <definedName name="______________hu6" localSheetId="7" hidden="1">{"'Sheet1'!$L$16"}</definedName>
    <definedName name="______________hu6" localSheetId="8" hidden="1">{"'Sheet1'!$L$16"}</definedName>
    <definedName name="______________hu6" hidden="1">{"'Sheet1'!$L$16"}</definedName>
    <definedName name="_____________a129" localSheetId="8" hidden="1">{"Offgrid",#N/A,FALSE,"OFFGRID";"Region",#N/A,FALSE,"REGION";"Offgrid -2",#N/A,FALSE,"OFFGRID";"WTP",#N/A,FALSE,"WTP";"WTP -2",#N/A,FALSE,"WTP";"Project",#N/A,FALSE,"PROJECT";"Summary -2",#N/A,FALSE,"SUMMARY"}</definedName>
    <definedName name="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______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________a130" localSheetId="4" hidden="1">{"Offgrid",#N/A,FALSE,"OFFGRID";"Region",#N/A,FALSE,"REGION";"Offgrid -2",#N/A,FALSE,"OFFGRID";"WTP",#N/A,FALSE,"WTP";"WTP -2",#N/A,FALSE,"WTP";"Project",#N/A,FALSE,"PROJECT";"Summary -2",#N/A,FALSE,"SUMMARY"}</definedName>
    <definedName name="_____________a130" localSheetId="5" hidden="1">{"Offgrid",#N/A,FALSE,"OFFGRID";"Region",#N/A,FALSE,"REGION";"Offgrid -2",#N/A,FALSE,"OFFGRID";"WTP",#N/A,FALSE,"WTP";"WTP -2",#N/A,FALSE,"WTP";"Project",#N/A,FALSE,"PROJECT";"Summary -2",#N/A,FALSE,"SUMMARY"}</definedName>
    <definedName name="_____________a130" localSheetId="6" hidden="1">{"Offgrid",#N/A,FALSE,"OFFGRID";"Region",#N/A,FALSE,"REGION";"Offgrid -2",#N/A,FALSE,"OFFGRID";"WTP",#N/A,FALSE,"WTP";"WTP -2",#N/A,FALSE,"WTP";"Project",#N/A,FALSE,"PROJECT";"Summary -2",#N/A,FALSE,"SUMMARY"}</definedName>
    <definedName name="_____________a130" localSheetId="7" hidden="1">{"Offgrid",#N/A,FALSE,"OFFGRID";"Region",#N/A,FALSE,"REGION";"Offgrid -2",#N/A,FALSE,"OFFGRID";"WTP",#N/A,FALSE,"WTP";"WTP -2",#N/A,FALSE,"WTP";"Project",#N/A,FALSE,"PROJECT";"Summary -2",#N/A,FALSE,"SUMMARY"}</definedName>
    <definedName name="_____________a130" localSheetId="8" hidden="1">{"Offgrid",#N/A,FALSE,"OFFGRID";"Region",#N/A,FALSE,"REGION";"Offgrid -2",#N/A,FALSE,"OFFGRID";"WTP",#N/A,FALSE,"WTP";"WTP -2",#N/A,FALSE,"WTP";"Project",#N/A,FALSE,"PROJECT";"Summary -2",#N/A,FALSE,"SUMMARY"}</definedName>
    <definedName name="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Goi8" localSheetId="8" hidden="1">{"'Sheet1'!$L$16"}</definedName>
    <definedName name="_____________Goi8" hidden="1">{"'Sheet1'!$L$16"}</definedName>
    <definedName name="_____________h1" localSheetId="1" hidden="1">{"'Sheet1'!$L$16"}</definedName>
    <definedName name="_____________h1" localSheetId="2" hidden="1">{"'Sheet1'!$L$16"}</definedName>
    <definedName name="_____________h1" localSheetId="4" hidden="1">{"'Sheet1'!$L$16"}</definedName>
    <definedName name="_____________h1" localSheetId="5" hidden="1">{"'Sheet1'!$L$16"}</definedName>
    <definedName name="_____________h1" localSheetId="6" hidden="1">{"'Sheet1'!$L$16"}</definedName>
    <definedName name="_____________h1" localSheetId="7" hidden="1">{"'Sheet1'!$L$16"}</definedName>
    <definedName name="_____________h1" localSheetId="8" hidden="1">{"'Sheet1'!$L$16"}</definedName>
    <definedName name="_____________h1" hidden="1">{"'Sheet1'!$L$16"}</definedName>
    <definedName name="_____________hu1" localSheetId="1" hidden="1">{"'Sheet1'!$L$16"}</definedName>
    <definedName name="_____________hu1" localSheetId="2" hidden="1">{"'Sheet1'!$L$16"}</definedName>
    <definedName name="_____________hu1" localSheetId="4" hidden="1">{"'Sheet1'!$L$16"}</definedName>
    <definedName name="_____________hu1" localSheetId="5" hidden="1">{"'Sheet1'!$L$16"}</definedName>
    <definedName name="_____________hu1" localSheetId="6" hidden="1">{"'Sheet1'!$L$16"}</definedName>
    <definedName name="_____________hu1" localSheetId="7" hidden="1">{"'Sheet1'!$L$16"}</definedName>
    <definedName name="_____________hu1" localSheetId="8" hidden="1">{"'Sheet1'!$L$16"}</definedName>
    <definedName name="_____________hu1" hidden="1">{"'Sheet1'!$L$16"}</definedName>
    <definedName name="_____________hu2" localSheetId="1" hidden="1">{"'Sheet1'!$L$16"}</definedName>
    <definedName name="_____________hu2" localSheetId="2" hidden="1">{"'Sheet1'!$L$16"}</definedName>
    <definedName name="_____________hu2" localSheetId="4" hidden="1">{"'Sheet1'!$L$16"}</definedName>
    <definedName name="_____________hu2" localSheetId="5" hidden="1">{"'Sheet1'!$L$16"}</definedName>
    <definedName name="_____________hu2" localSheetId="6" hidden="1">{"'Sheet1'!$L$16"}</definedName>
    <definedName name="_____________hu2" localSheetId="7" hidden="1">{"'Sheet1'!$L$16"}</definedName>
    <definedName name="_____________hu2" localSheetId="8" hidden="1">{"'Sheet1'!$L$16"}</definedName>
    <definedName name="_____________hu2" hidden="1">{"'Sheet1'!$L$16"}</definedName>
    <definedName name="_____________hu5" localSheetId="1" hidden="1">{"'Sheet1'!$L$16"}</definedName>
    <definedName name="_____________hu5" localSheetId="2" hidden="1">{"'Sheet1'!$L$16"}</definedName>
    <definedName name="_____________hu5" localSheetId="4" hidden="1">{"'Sheet1'!$L$16"}</definedName>
    <definedName name="_____________hu5" localSheetId="5" hidden="1">{"'Sheet1'!$L$16"}</definedName>
    <definedName name="_____________hu5" localSheetId="6" hidden="1">{"'Sheet1'!$L$16"}</definedName>
    <definedName name="_____________hu5" localSheetId="7" hidden="1">{"'Sheet1'!$L$16"}</definedName>
    <definedName name="_____________hu5" localSheetId="8" hidden="1">{"'Sheet1'!$L$16"}</definedName>
    <definedName name="_____________hu5" hidden="1">{"'Sheet1'!$L$16"}</definedName>
    <definedName name="_____________hu6" localSheetId="1" hidden="1">{"'Sheet1'!$L$16"}</definedName>
    <definedName name="_____________hu6" localSheetId="2" hidden="1">{"'Sheet1'!$L$16"}</definedName>
    <definedName name="_____________hu6" localSheetId="4" hidden="1">{"'Sheet1'!$L$16"}</definedName>
    <definedName name="_____________hu6" localSheetId="5" hidden="1">{"'Sheet1'!$L$16"}</definedName>
    <definedName name="_____________hu6" localSheetId="6" hidden="1">{"'Sheet1'!$L$16"}</definedName>
    <definedName name="_____________hu6" localSheetId="7" hidden="1">{"'Sheet1'!$L$16"}</definedName>
    <definedName name="_____________hu6" localSheetId="8" hidden="1">{"'Sheet1'!$L$16"}</definedName>
    <definedName name="_____________hu6" hidden="1">{"'Sheet1'!$L$16"}</definedName>
    <definedName name="____________a1" localSheetId="8" hidden="1">{"'Sheet1'!$L$16"}</definedName>
    <definedName name="____________a1" hidden="1">{"'Sheet1'!$L$16"}</definedName>
    <definedName name="___________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_____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_______a129" localSheetId="4" hidden="1">{"Offgrid",#N/A,FALSE,"OFFGRID";"Region",#N/A,FALSE,"REGION";"Offgrid -2",#N/A,FALSE,"OFFGRID";"WTP",#N/A,FALSE,"WTP";"WTP -2",#N/A,FALSE,"WTP";"Project",#N/A,FALSE,"PROJECT";"Summary -2",#N/A,FALSE,"SUMMARY"}</definedName>
    <definedName name="____________a129" localSheetId="5" hidden="1">{"Offgrid",#N/A,FALSE,"OFFGRID";"Region",#N/A,FALSE,"REGION";"Offgrid -2",#N/A,FALSE,"OFFGRID";"WTP",#N/A,FALSE,"WTP";"WTP -2",#N/A,FALSE,"WTP";"Project",#N/A,FALSE,"PROJECT";"Summary -2",#N/A,FALSE,"SUMMARY"}</definedName>
    <definedName name="____________a129" localSheetId="6" hidden="1">{"Offgrid",#N/A,FALSE,"OFFGRID";"Region",#N/A,FALSE,"REGION";"Offgrid -2",#N/A,FALSE,"OFFGRID";"WTP",#N/A,FALSE,"WTP";"WTP -2",#N/A,FALSE,"WTP";"Project",#N/A,FALSE,"PROJECT";"Summary -2",#N/A,FALSE,"SUMMARY"}</definedName>
    <definedName name="____________a129" localSheetId="7" hidden="1">{"Offgrid",#N/A,FALSE,"OFFGRID";"Region",#N/A,FALSE,"REGION";"Offgrid -2",#N/A,FALSE,"OFFGRID";"WTP",#N/A,FALSE,"WTP";"WTP -2",#N/A,FALSE,"WTP";"Project",#N/A,FALSE,"PROJECT";"Summary -2",#N/A,FALSE,"SUMMARY"}</definedName>
    <definedName name="____________a129" localSheetId="8" hidden="1">{"Offgrid",#N/A,FALSE,"OFFGRID";"Region",#N/A,FALSE,"REGION";"Offgrid -2",#N/A,FALSE,"OFFGRID";"WTP",#N/A,FALSE,"WTP";"WTP -2",#N/A,FALSE,"WTP";"Project",#N/A,FALSE,"PROJECT";"Summary -2",#N/A,FALSE,"SUMMARY"}</definedName>
    <definedName name="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_____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_______a130" localSheetId="4" hidden="1">{"Offgrid",#N/A,FALSE,"OFFGRID";"Region",#N/A,FALSE,"REGION";"Offgrid -2",#N/A,FALSE,"OFFGRID";"WTP",#N/A,FALSE,"WTP";"WTP -2",#N/A,FALSE,"WTP";"Project",#N/A,FALSE,"PROJECT";"Summary -2",#N/A,FALSE,"SUMMARY"}</definedName>
    <definedName name="____________a130" localSheetId="5" hidden="1">{"Offgrid",#N/A,FALSE,"OFFGRID";"Region",#N/A,FALSE,"REGION";"Offgrid -2",#N/A,FALSE,"OFFGRID";"WTP",#N/A,FALSE,"WTP";"WTP -2",#N/A,FALSE,"WTP";"Project",#N/A,FALSE,"PROJECT";"Summary -2",#N/A,FALSE,"SUMMARY"}</definedName>
    <definedName name="____________a130" localSheetId="6" hidden="1">{"Offgrid",#N/A,FALSE,"OFFGRID";"Region",#N/A,FALSE,"REGION";"Offgrid -2",#N/A,FALSE,"OFFGRID";"WTP",#N/A,FALSE,"WTP";"WTP -2",#N/A,FALSE,"WTP";"Project",#N/A,FALSE,"PROJECT";"Summary -2",#N/A,FALSE,"SUMMARY"}</definedName>
    <definedName name="____________a130" localSheetId="7" hidden="1">{"Offgrid",#N/A,FALSE,"OFFGRID";"Region",#N/A,FALSE,"REGION";"Offgrid -2",#N/A,FALSE,"OFFGRID";"WTP",#N/A,FALSE,"WTP";"WTP -2",#N/A,FALSE,"WTP";"Project",#N/A,FALSE,"PROJECT";"Summary -2",#N/A,FALSE,"SUMMARY"}</definedName>
    <definedName name="____________a130" localSheetId="8" hidden="1">{"Offgrid",#N/A,FALSE,"OFFGRID";"Region",#N/A,FALSE,"REGION";"Offgrid -2",#N/A,FALSE,"OFFGRID";"WTP",#N/A,FALSE,"WTP";"WTP -2",#N/A,FALSE,"WTP";"Project",#N/A,FALSE,"PROJECT";"Summary -2",#N/A,FALSE,"SUMMARY"}</definedName>
    <definedName name="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Goi8" localSheetId="1" hidden="1">{"'Sheet1'!$L$16"}</definedName>
    <definedName name="____________Goi8" localSheetId="2" hidden="1">{"'Sheet1'!$L$16"}</definedName>
    <definedName name="____________Goi8" localSheetId="4" hidden="1">{"'Sheet1'!$L$16"}</definedName>
    <definedName name="____________Goi8" localSheetId="5" hidden="1">{"'Sheet1'!$L$16"}</definedName>
    <definedName name="____________Goi8" localSheetId="6" hidden="1">{"'Sheet1'!$L$16"}</definedName>
    <definedName name="____________Goi8" localSheetId="7" hidden="1">{"'Sheet1'!$L$16"}</definedName>
    <definedName name="____________Goi8" localSheetId="8" hidden="1">{"'Sheet1'!$L$16"}</definedName>
    <definedName name="____________Goi8" hidden="1">{"'Sheet1'!$L$16"}</definedName>
    <definedName name="____________LAN3" localSheetId="8" hidden="1">{"'Sheet1'!$L$16"}</definedName>
    <definedName name="____________LAN3" hidden="1">{"'Sheet1'!$L$16"}</definedName>
    <definedName name="____________PA3" localSheetId="8" hidden="1">{"'Sheet1'!$L$16"}</definedName>
    <definedName name="____________PA3" hidden="1">{"'Sheet1'!$L$16"}</definedName>
    <definedName name="____________tt3" localSheetId="8" hidden="1">{"'Sheet1'!$L$16"}</definedName>
    <definedName name="____________tt3" hidden="1">{"'Sheet1'!$L$16"}</definedName>
    <definedName name="___________a1" localSheetId="1" hidden="1">{"'Sheet1'!$L$16"}</definedName>
    <definedName name="___________a1" localSheetId="2" hidden="1">{"'Sheet1'!$L$16"}</definedName>
    <definedName name="___________a1" localSheetId="4" hidden="1">{"'Sheet1'!$L$16"}</definedName>
    <definedName name="___________a1" localSheetId="5" hidden="1">{"'Sheet1'!$L$16"}</definedName>
    <definedName name="___________a1" localSheetId="6" hidden="1">{"'Sheet1'!$L$16"}</definedName>
    <definedName name="___________a1" localSheetId="7" hidden="1">{"'Sheet1'!$L$16"}</definedName>
    <definedName name="___________a1" localSheetId="8" hidden="1">{"'Sheet1'!$L$16"}</definedName>
    <definedName name="___________a1" hidden="1">{"'Sheet1'!$L$16"}</definedName>
    <definedName name="__________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____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______a129" localSheetId="4" hidden="1">{"Offgrid",#N/A,FALSE,"OFFGRID";"Region",#N/A,FALSE,"REGION";"Offgrid -2",#N/A,FALSE,"OFFGRID";"WTP",#N/A,FALSE,"WTP";"WTP -2",#N/A,FALSE,"WTP";"Project",#N/A,FALSE,"PROJECT";"Summary -2",#N/A,FALSE,"SUMMARY"}</definedName>
    <definedName name="___________a129" localSheetId="5" hidden="1">{"Offgrid",#N/A,FALSE,"OFFGRID";"Region",#N/A,FALSE,"REGION";"Offgrid -2",#N/A,FALSE,"OFFGRID";"WTP",#N/A,FALSE,"WTP";"WTP -2",#N/A,FALSE,"WTP";"Project",#N/A,FALSE,"PROJECT";"Summary -2",#N/A,FALSE,"SUMMARY"}</definedName>
    <definedName name="___________a129" localSheetId="6" hidden="1">{"Offgrid",#N/A,FALSE,"OFFGRID";"Region",#N/A,FALSE,"REGION";"Offgrid -2",#N/A,FALSE,"OFFGRID";"WTP",#N/A,FALSE,"WTP";"WTP -2",#N/A,FALSE,"WTP";"Project",#N/A,FALSE,"PROJECT";"Summary -2",#N/A,FALSE,"SUMMARY"}</definedName>
    <definedName name="___________a129" localSheetId="7" hidden="1">{"Offgrid",#N/A,FALSE,"OFFGRID";"Region",#N/A,FALSE,"REGION";"Offgrid -2",#N/A,FALSE,"OFFGRID";"WTP",#N/A,FALSE,"WTP";"WTP -2",#N/A,FALSE,"WTP";"Project",#N/A,FALSE,"PROJECT";"Summary -2",#N/A,FALSE,"SUMMARY"}</definedName>
    <definedName name="___________a129" localSheetId="8" hidden="1">{"Offgrid",#N/A,FALSE,"OFFGRID";"Region",#N/A,FALSE,"REGION";"Offgrid -2",#N/A,FALSE,"OFFGRID";"WTP",#N/A,FALSE,"WTP";"WTP -2",#N/A,FALSE,"WTP";"Project",#N/A,FALSE,"PROJECT";"Summary -2",#N/A,FALSE,"SUMMARY"}</definedName>
    <definedName name="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____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______a130" localSheetId="4" hidden="1">{"Offgrid",#N/A,FALSE,"OFFGRID";"Region",#N/A,FALSE,"REGION";"Offgrid -2",#N/A,FALSE,"OFFGRID";"WTP",#N/A,FALSE,"WTP";"WTP -2",#N/A,FALSE,"WTP";"Project",#N/A,FALSE,"PROJECT";"Summary -2",#N/A,FALSE,"SUMMARY"}</definedName>
    <definedName name="___________a130" localSheetId="5" hidden="1">{"Offgrid",#N/A,FALSE,"OFFGRID";"Region",#N/A,FALSE,"REGION";"Offgrid -2",#N/A,FALSE,"OFFGRID";"WTP",#N/A,FALSE,"WTP";"WTP -2",#N/A,FALSE,"WTP";"Project",#N/A,FALSE,"PROJECT";"Summary -2",#N/A,FALSE,"SUMMARY"}</definedName>
    <definedName name="___________a130" localSheetId="6" hidden="1">{"Offgrid",#N/A,FALSE,"OFFGRID";"Region",#N/A,FALSE,"REGION";"Offgrid -2",#N/A,FALSE,"OFFGRID";"WTP",#N/A,FALSE,"WTP";"WTP -2",#N/A,FALSE,"WTP";"Project",#N/A,FALSE,"PROJECT";"Summary -2",#N/A,FALSE,"SUMMARY"}</definedName>
    <definedName name="___________a130" localSheetId="7" hidden="1">{"Offgrid",#N/A,FALSE,"OFFGRID";"Region",#N/A,FALSE,"REGION";"Offgrid -2",#N/A,FALSE,"OFFGRID";"WTP",#N/A,FALSE,"WTP";"WTP -2",#N/A,FALSE,"WTP";"Project",#N/A,FALSE,"PROJECT";"Summary -2",#N/A,FALSE,"SUMMARY"}</definedName>
    <definedName name="___________a130" localSheetId="8" hidden="1">{"Offgrid",#N/A,FALSE,"OFFGRID";"Region",#N/A,FALSE,"REGION";"Offgrid -2",#N/A,FALSE,"OFFGRID";"WTP",#N/A,FALSE,"WTP";"WTP -2",#N/A,FALSE,"WTP";"Project",#N/A,FALSE,"PROJECT";"Summary -2",#N/A,FALSE,"SUMMARY"}</definedName>
    <definedName name="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a2" localSheetId="8" hidden="1">{"'Sheet1'!$L$16"}</definedName>
    <definedName name="___________a2" hidden="1">{"'Sheet1'!$L$16"}</definedName>
    <definedName name="___________Goi8" localSheetId="1" hidden="1">{"'Sheet1'!$L$16"}</definedName>
    <definedName name="___________Goi8" localSheetId="2" hidden="1">{"'Sheet1'!$L$16"}</definedName>
    <definedName name="___________Goi8" localSheetId="4" hidden="1">{"'Sheet1'!$L$16"}</definedName>
    <definedName name="___________Goi8" localSheetId="5" hidden="1">{"'Sheet1'!$L$16"}</definedName>
    <definedName name="___________Goi8" localSheetId="6" hidden="1">{"'Sheet1'!$L$16"}</definedName>
    <definedName name="___________Goi8" localSheetId="7" hidden="1">{"'Sheet1'!$L$16"}</definedName>
    <definedName name="___________Goi8" localSheetId="8" hidden="1">{"'Sheet1'!$L$16"}</definedName>
    <definedName name="___________Goi8" hidden="1">{"'Sheet1'!$L$16"}</definedName>
    <definedName name="___________h1" localSheetId="1" hidden="1">{"'Sheet1'!$L$16"}</definedName>
    <definedName name="___________h1" localSheetId="2" hidden="1">{"'Sheet1'!$L$16"}</definedName>
    <definedName name="___________h1" localSheetId="4" hidden="1">{"'Sheet1'!$L$16"}</definedName>
    <definedName name="___________h1" localSheetId="5" hidden="1">{"'Sheet1'!$L$16"}</definedName>
    <definedName name="___________h1" localSheetId="6" hidden="1">{"'Sheet1'!$L$16"}</definedName>
    <definedName name="___________h1" localSheetId="7" hidden="1">{"'Sheet1'!$L$16"}</definedName>
    <definedName name="___________h1" localSheetId="8" hidden="1">{"'Sheet1'!$L$16"}</definedName>
    <definedName name="___________h1" hidden="1">{"'Sheet1'!$L$16"}</definedName>
    <definedName name="___________hu1" localSheetId="1" hidden="1">{"'Sheet1'!$L$16"}</definedName>
    <definedName name="___________hu1" localSheetId="2" hidden="1">{"'Sheet1'!$L$16"}</definedName>
    <definedName name="___________hu1" localSheetId="4" hidden="1">{"'Sheet1'!$L$16"}</definedName>
    <definedName name="___________hu1" localSheetId="5" hidden="1">{"'Sheet1'!$L$16"}</definedName>
    <definedName name="___________hu1" localSheetId="6" hidden="1">{"'Sheet1'!$L$16"}</definedName>
    <definedName name="___________hu1" localSheetId="7" hidden="1">{"'Sheet1'!$L$16"}</definedName>
    <definedName name="___________hu1" localSheetId="8" hidden="1">{"'Sheet1'!$L$16"}</definedName>
    <definedName name="___________hu1" hidden="1">{"'Sheet1'!$L$16"}</definedName>
    <definedName name="___________hu2" localSheetId="1" hidden="1">{"'Sheet1'!$L$16"}</definedName>
    <definedName name="___________hu2" localSheetId="2" hidden="1">{"'Sheet1'!$L$16"}</definedName>
    <definedName name="___________hu2" localSheetId="4" hidden="1">{"'Sheet1'!$L$16"}</definedName>
    <definedName name="___________hu2" localSheetId="5" hidden="1">{"'Sheet1'!$L$16"}</definedName>
    <definedName name="___________hu2" localSheetId="6" hidden="1">{"'Sheet1'!$L$16"}</definedName>
    <definedName name="___________hu2" localSheetId="7" hidden="1">{"'Sheet1'!$L$16"}</definedName>
    <definedName name="___________hu2" localSheetId="8" hidden="1">{"'Sheet1'!$L$16"}</definedName>
    <definedName name="___________hu2" hidden="1">{"'Sheet1'!$L$16"}</definedName>
    <definedName name="___________hu5" localSheetId="1" hidden="1">{"'Sheet1'!$L$16"}</definedName>
    <definedName name="___________hu5" localSheetId="2" hidden="1">{"'Sheet1'!$L$16"}</definedName>
    <definedName name="___________hu5" localSheetId="4" hidden="1">{"'Sheet1'!$L$16"}</definedName>
    <definedName name="___________hu5" localSheetId="5" hidden="1">{"'Sheet1'!$L$16"}</definedName>
    <definedName name="___________hu5" localSheetId="6" hidden="1">{"'Sheet1'!$L$16"}</definedName>
    <definedName name="___________hu5" localSheetId="7" hidden="1">{"'Sheet1'!$L$16"}</definedName>
    <definedName name="___________hu5" localSheetId="8" hidden="1">{"'Sheet1'!$L$16"}</definedName>
    <definedName name="___________hu5" hidden="1">{"'Sheet1'!$L$16"}</definedName>
    <definedName name="___________hu6" localSheetId="1" hidden="1">{"'Sheet1'!$L$16"}</definedName>
    <definedName name="___________hu6" localSheetId="2" hidden="1">{"'Sheet1'!$L$16"}</definedName>
    <definedName name="___________hu6" localSheetId="4" hidden="1">{"'Sheet1'!$L$16"}</definedName>
    <definedName name="___________hu6" localSheetId="5" hidden="1">{"'Sheet1'!$L$16"}</definedName>
    <definedName name="___________hu6" localSheetId="6" hidden="1">{"'Sheet1'!$L$16"}</definedName>
    <definedName name="___________hu6" localSheetId="7" hidden="1">{"'Sheet1'!$L$16"}</definedName>
    <definedName name="___________hu6" localSheetId="8" hidden="1">{"'Sheet1'!$L$16"}</definedName>
    <definedName name="___________hu6" hidden="1">{"'Sheet1'!$L$16"}</definedName>
    <definedName name="___________Lan1" localSheetId="1" hidden="1">{"'Sheet1'!$L$16"}</definedName>
    <definedName name="___________Lan1" localSheetId="2" hidden="1">{"'Sheet1'!$L$16"}</definedName>
    <definedName name="___________Lan1" localSheetId="8" hidden="1">{"'Sheet1'!$L$16"}</definedName>
    <definedName name="___________Lan1" hidden="1">{"'Sheet1'!$L$16"}</definedName>
    <definedName name="___________LAN3" localSheetId="1" hidden="1">{"'Sheet1'!$L$16"}</definedName>
    <definedName name="___________LAN3" localSheetId="2" hidden="1">{"'Sheet1'!$L$16"}</definedName>
    <definedName name="___________LAN3" localSheetId="4" hidden="1">{"'Sheet1'!$L$16"}</definedName>
    <definedName name="___________LAN3" localSheetId="5" hidden="1">{"'Sheet1'!$L$16"}</definedName>
    <definedName name="___________LAN3" localSheetId="6" hidden="1">{"'Sheet1'!$L$16"}</definedName>
    <definedName name="___________LAN3" localSheetId="7" hidden="1">{"'Sheet1'!$L$16"}</definedName>
    <definedName name="___________LAN3" localSheetId="8" hidden="1">{"'Sheet1'!$L$16"}</definedName>
    <definedName name="___________LAN3" hidden="1">{"'Sheet1'!$L$16"}</definedName>
    <definedName name="___________PA3" localSheetId="1" hidden="1">{"'Sheet1'!$L$16"}</definedName>
    <definedName name="___________PA3" localSheetId="2" hidden="1">{"'Sheet1'!$L$16"}</definedName>
    <definedName name="___________PA3" localSheetId="4" hidden="1">{"'Sheet1'!$L$16"}</definedName>
    <definedName name="___________PA3" localSheetId="5" hidden="1">{"'Sheet1'!$L$16"}</definedName>
    <definedName name="___________PA3" localSheetId="6" hidden="1">{"'Sheet1'!$L$16"}</definedName>
    <definedName name="___________PA3" localSheetId="7" hidden="1">{"'Sheet1'!$L$16"}</definedName>
    <definedName name="___________PA3" localSheetId="8" hidden="1">{"'Sheet1'!$L$16"}</definedName>
    <definedName name="___________PA3" hidden="1">{"'Sheet1'!$L$16"}</definedName>
    <definedName name="___________tt3" localSheetId="1" hidden="1">{"'Sheet1'!$L$16"}</definedName>
    <definedName name="___________tt3" localSheetId="2" hidden="1">{"'Sheet1'!$L$16"}</definedName>
    <definedName name="___________tt3" localSheetId="4" hidden="1">{"'Sheet1'!$L$16"}</definedName>
    <definedName name="___________tt3" localSheetId="5" hidden="1">{"'Sheet1'!$L$16"}</definedName>
    <definedName name="___________tt3" localSheetId="6" hidden="1">{"'Sheet1'!$L$16"}</definedName>
    <definedName name="___________tt3" localSheetId="7" hidden="1">{"'Sheet1'!$L$16"}</definedName>
    <definedName name="___________tt3" localSheetId="8" hidden="1">{"'Sheet1'!$L$16"}</definedName>
    <definedName name="___________tt3" hidden="1">{"'Sheet1'!$L$16"}</definedName>
    <definedName name="__________a1" localSheetId="1" hidden="1">{"'Sheet1'!$L$16"}</definedName>
    <definedName name="__________a1" localSheetId="2" hidden="1">{"'Sheet1'!$L$16"}</definedName>
    <definedName name="__________a1" localSheetId="4" hidden="1">{"'Sheet1'!$L$16"}</definedName>
    <definedName name="__________a1" localSheetId="5" hidden="1">{"'Sheet1'!$L$16"}</definedName>
    <definedName name="__________a1" localSheetId="6" hidden="1">{"'Sheet1'!$L$16"}</definedName>
    <definedName name="__________a1" localSheetId="7" hidden="1">{"'Sheet1'!$L$16"}</definedName>
    <definedName name="__________a1" localSheetId="8" hidden="1">{"'Sheet1'!$L$16"}</definedName>
    <definedName name="__________a1" hidden="1">{"'Sheet1'!$L$16"}</definedName>
    <definedName name="_________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___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_____a129" localSheetId="4" hidden="1">{"Offgrid",#N/A,FALSE,"OFFGRID";"Region",#N/A,FALSE,"REGION";"Offgrid -2",#N/A,FALSE,"OFFGRID";"WTP",#N/A,FALSE,"WTP";"WTP -2",#N/A,FALSE,"WTP";"Project",#N/A,FALSE,"PROJECT";"Summary -2",#N/A,FALSE,"SUMMARY"}</definedName>
    <definedName name="__________a129" localSheetId="5" hidden="1">{"Offgrid",#N/A,FALSE,"OFFGRID";"Region",#N/A,FALSE,"REGION";"Offgrid -2",#N/A,FALSE,"OFFGRID";"WTP",#N/A,FALSE,"WTP";"WTP -2",#N/A,FALSE,"WTP";"Project",#N/A,FALSE,"PROJECT";"Summary -2",#N/A,FALSE,"SUMMARY"}</definedName>
    <definedName name="__________a129" localSheetId="6" hidden="1">{"Offgrid",#N/A,FALSE,"OFFGRID";"Region",#N/A,FALSE,"REGION";"Offgrid -2",#N/A,FALSE,"OFFGRID";"WTP",#N/A,FALSE,"WTP";"WTP -2",#N/A,FALSE,"WTP";"Project",#N/A,FALSE,"PROJECT";"Summary -2",#N/A,FALSE,"SUMMARY"}</definedName>
    <definedName name="__________a129" localSheetId="7" hidden="1">{"Offgrid",#N/A,FALSE,"OFFGRID";"Region",#N/A,FALSE,"REGION";"Offgrid -2",#N/A,FALSE,"OFFGRID";"WTP",#N/A,FALSE,"WTP";"WTP -2",#N/A,FALSE,"WTP";"Project",#N/A,FALSE,"PROJECT";"Summary -2",#N/A,FALSE,"SUMMARY"}</definedName>
    <definedName name="__________a129" localSheetId="8" hidden="1">{"Offgrid",#N/A,FALSE,"OFFGRID";"Region",#N/A,FALSE,"REGION";"Offgrid -2",#N/A,FALSE,"OFFGRID";"WTP",#N/A,FALSE,"WTP";"WTP -2",#N/A,FALSE,"WTP";"Project",#N/A,FALSE,"PROJECT";"Summary -2",#N/A,FALSE,"SUMMARY"}</definedName>
    <definedName name="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___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_____a130" localSheetId="4" hidden="1">{"Offgrid",#N/A,FALSE,"OFFGRID";"Region",#N/A,FALSE,"REGION";"Offgrid -2",#N/A,FALSE,"OFFGRID";"WTP",#N/A,FALSE,"WTP";"WTP -2",#N/A,FALSE,"WTP";"Project",#N/A,FALSE,"PROJECT";"Summary -2",#N/A,FALSE,"SUMMARY"}</definedName>
    <definedName name="__________a130" localSheetId="5" hidden="1">{"Offgrid",#N/A,FALSE,"OFFGRID";"Region",#N/A,FALSE,"REGION";"Offgrid -2",#N/A,FALSE,"OFFGRID";"WTP",#N/A,FALSE,"WTP";"WTP -2",#N/A,FALSE,"WTP";"Project",#N/A,FALSE,"PROJECT";"Summary -2",#N/A,FALSE,"SUMMARY"}</definedName>
    <definedName name="__________a130" localSheetId="6" hidden="1">{"Offgrid",#N/A,FALSE,"OFFGRID";"Region",#N/A,FALSE,"REGION";"Offgrid -2",#N/A,FALSE,"OFFGRID";"WTP",#N/A,FALSE,"WTP";"WTP -2",#N/A,FALSE,"WTP";"Project",#N/A,FALSE,"PROJECT";"Summary -2",#N/A,FALSE,"SUMMARY"}</definedName>
    <definedName name="__________a130" localSheetId="7" hidden="1">{"Offgrid",#N/A,FALSE,"OFFGRID";"Region",#N/A,FALSE,"REGION";"Offgrid -2",#N/A,FALSE,"OFFGRID";"WTP",#N/A,FALSE,"WTP";"WTP -2",#N/A,FALSE,"WTP";"Project",#N/A,FALSE,"PROJECT";"Summary -2",#N/A,FALSE,"SUMMARY"}</definedName>
    <definedName name="__________a130" localSheetId="8" hidden="1">{"Offgrid",#N/A,FALSE,"OFFGRID";"Region",#N/A,FALSE,"REGION";"Offgrid -2",#N/A,FALSE,"OFFGRID";"WTP",#N/A,FALSE,"WTP";"WTP -2",#N/A,FALSE,"WTP";"Project",#N/A,FALSE,"PROJECT";"Summary -2",#N/A,FALSE,"SUMMARY"}</definedName>
    <definedName name="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a2" localSheetId="1" hidden="1">{"'Sheet1'!$L$16"}</definedName>
    <definedName name="__________a2" localSheetId="2" hidden="1">{"'Sheet1'!$L$16"}</definedName>
    <definedName name="__________a2" localSheetId="4" hidden="1">{"'Sheet1'!$L$16"}</definedName>
    <definedName name="__________a2" localSheetId="5" hidden="1">{"'Sheet1'!$L$16"}</definedName>
    <definedName name="__________a2" localSheetId="6" hidden="1">{"'Sheet1'!$L$16"}</definedName>
    <definedName name="__________a2" localSheetId="7" hidden="1">{"'Sheet1'!$L$16"}</definedName>
    <definedName name="__________a2" localSheetId="8" hidden="1">{"'Sheet1'!$L$16"}</definedName>
    <definedName name="__________a2" hidden="1">{"'Sheet1'!$L$16"}</definedName>
    <definedName name="__________FIL2" localSheetId="8">#REF!</definedName>
    <definedName name="__________FIL2">#REF!</definedName>
    <definedName name="__________Goi8" localSheetId="1" hidden="1">{"'Sheet1'!$L$16"}</definedName>
    <definedName name="__________Goi8" localSheetId="2" hidden="1">{"'Sheet1'!$L$16"}</definedName>
    <definedName name="__________Goi8" localSheetId="4" hidden="1">{"'Sheet1'!$L$16"}</definedName>
    <definedName name="__________Goi8" localSheetId="5" hidden="1">{"'Sheet1'!$L$16"}</definedName>
    <definedName name="__________Goi8" localSheetId="6" hidden="1">{"'Sheet1'!$L$16"}</definedName>
    <definedName name="__________Goi8" localSheetId="7" hidden="1">{"'Sheet1'!$L$16"}</definedName>
    <definedName name="__________Goi8" localSheetId="8" hidden="1">{"'Sheet1'!$L$16"}</definedName>
    <definedName name="__________Goi8" hidden="1">{"'Sheet1'!$L$16"}</definedName>
    <definedName name="__________h1" localSheetId="1" hidden="1">{"'Sheet1'!$L$16"}</definedName>
    <definedName name="__________h1" localSheetId="2" hidden="1">{"'Sheet1'!$L$16"}</definedName>
    <definedName name="__________h1" localSheetId="4" hidden="1">{"'Sheet1'!$L$16"}</definedName>
    <definedName name="__________h1" localSheetId="5" hidden="1">{"'Sheet1'!$L$16"}</definedName>
    <definedName name="__________h1" localSheetId="6" hidden="1">{"'Sheet1'!$L$16"}</definedName>
    <definedName name="__________h1" localSheetId="7" hidden="1">{"'Sheet1'!$L$16"}</definedName>
    <definedName name="__________h1" localSheetId="8" hidden="1">{"'Sheet1'!$L$16"}</definedName>
    <definedName name="__________h1" hidden="1">{"'Sheet1'!$L$16"}</definedName>
    <definedName name="__________hu1" localSheetId="1" hidden="1">{"'Sheet1'!$L$16"}</definedName>
    <definedName name="__________hu1" localSheetId="2" hidden="1">{"'Sheet1'!$L$16"}</definedName>
    <definedName name="__________hu1" localSheetId="4" hidden="1">{"'Sheet1'!$L$16"}</definedName>
    <definedName name="__________hu1" localSheetId="5" hidden="1">{"'Sheet1'!$L$16"}</definedName>
    <definedName name="__________hu1" localSheetId="6" hidden="1">{"'Sheet1'!$L$16"}</definedName>
    <definedName name="__________hu1" localSheetId="7" hidden="1">{"'Sheet1'!$L$16"}</definedName>
    <definedName name="__________hu1" localSheetId="8" hidden="1">{"'Sheet1'!$L$16"}</definedName>
    <definedName name="__________hu1" hidden="1">{"'Sheet1'!$L$16"}</definedName>
    <definedName name="__________hu2" localSheetId="1" hidden="1">{"'Sheet1'!$L$16"}</definedName>
    <definedName name="__________hu2" localSheetId="2" hidden="1">{"'Sheet1'!$L$16"}</definedName>
    <definedName name="__________hu2" localSheetId="4" hidden="1">{"'Sheet1'!$L$16"}</definedName>
    <definedName name="__________hu2" localSheetId="5" hidden="1">{"'Sheet1'!$L$16"}</definedName>
    <definedName name="__________hu2" localSheetId="6" hidden="1">{"'Sheet1'!$L$16"}</definedName>
    <definedName name="__________hu2" localSheetId="7" hidden="1">{"'Sheet1'!$L$16"}</definedName>
    <definedName name="__________hu2" localSheetId="8" hidden="1">{"'Sheet1'!$L$16"}</definedName>
    <definedName name="__________hu2" hidden="1">{"'Sheet1'!$L$16"}</definedName>
    <definedName name="__________hu5" localSheetId="1" hidden="1">{"'Sheet1'!$L$16"}</definedName>
    <definedName name="__________hu5" localSheetId="2" hidden="1">{"'Sheet1'!$L$16"}</definedName>
    <definedName name="__________hu5" localSheetId="4" hidden="1">{"'Sheet1'!$L$16"}</definedName>
    <definedName name="__________hu5" localSheetId="5" hidden="1">{"'Sheet1'!$L$16"}</definedName>
    <definedName name="__________hu5" localSheetId="6" hidden="1">{"'Sheet1'!$L$16"}</definedName>
    <definedName name="__________hu5" localSheetId="7" hidden="1">{"'Sheet1'!$L$16"}</definedName>
    <definedName name="__________hu5" localSheetId="8" hidden="1">{"'Sheet1'!$L$16"}</definedName>
    <definedName name="__________hu5" hidden="1">{"'Sheet1'!$L$16"}</definedName>
    <definedName name="__________hu6" localSheetId="1" hidden="1">{"'Sheet1'!$L$16"}</definedName>
    <definedName name="__________hu6" localSheetId="2" hidden="1">{"'Sheet1'!$L$16"}</definedName>
    <definedName name="__________hu6" localSheetId="4" hidden="1">{"'Sheet1'!$L$16"}</definedName>
    <definedName name="__________hu6" localSheetId="5" hidden="1">{"'Sheet1'!$L$16"}</definedName>
    <definedName name="__________hu6" localSheetId="6" hidden="1">{"'Sheet1'!$L$16"}</definedName>
    <definedName name="__________hu6" localSheetId="7" hidden="1">{"'Sheet1'!$L$16"}</definedName>
    <definedName name="__________hu6" localSheetId="8" hidden="1">{"'Sheet1'!$L$16"}</definedName>
    <definedName name="__________hu6" hidden="1">{"'Sheet1'!$L$16"}</definedName>
    <definedName name="__________Lan1" localSheetId="1" hidden="1">{"'Sheet1'!$L$16"}</definedName>
    <definedName name="__________Lan1" localSheetId="2" hidden="1">{"'Sheet1'!$L$16"}</definedName>
    <definedName name="__________Lan1" localSheetId="4" hidden="1">{"'Sheet1'!$L$16"}</definedName>
    <definedName name="__________Lan1" localSheetId="5" hidden="1">{"'Sheet1'!$L$16"}</definedName>
    <definedName name="__________Lan1" localSheetId="6" hidden="1">{"'Sheet1'!$L$16"}</definedName>
    <definedName name="__________Lan1" localSheetId="7" hidden="1">{"'Sheet1'!$L$16"}</definedName>
    <definedName name="__________Lan1" localSheetId="8" hidden="1">{"'Sheet1'!$L$16"}</definedName>
    <definedName name="__________Lan1" hidden="1">{"'Sheet1'!$L$16"}</definedName>
    <definedName name="__________LAN3" localSheetId="1" hidden="1">{"'Sheet1'!$L$16"}</definedName>
    <definedName name="__________LAN3" localSheetId="2" hidden="1">{"'Sheet1'!$L$16"}</definedName>
    <definedName name="__________LAN3" localSheetId="4" hidden="1">{"'Sheet1'!$L$16"}</definedName>
    <definedName name="__________LAN3" localSheetId="5" hidden="1">{"'Sheet1'!$L$16"}</definedName>
    <definedName name="__________LAN3" localSheetId="6" hidden="1">{"'Sheet1'!$L$16"}</definedName>
    <definedName name="__________LAN3" localSheetId="7" hidden="1">{"'Sheet1'!$L$16"}</definedName>
    <definedName name="__________LAN3" localSheetId="8" hidden="1">{"'Sheet1'!$L$16"}</definedName>
    <definedName name="__________LAN3" hidden="1">{"'Sheet1'!$L$16"}</definedName>
    <definedName name="__________PA3" localSheetId="1" hidden="1">{"'Sheet1'!$L$16"}</definedName>
    <definedName name="__________PA3" localSheetId="2" hidden="1">{"'Sheet1'!$L$16"}</definedName>
    <definedName name="__________PA3" localSheetId="4" hidden="1">{"'Sheet1'!$L$16"}</definedName>
    <definedName name="__________PA3" localSheetId="5" hidden="1">{"'Sheet1'!$L$16"}</definedName>
    <definedName name="__________PA3" localSheetId="6" hidden="1">{"'Sheet1'!$L$16"}</definedName>
    <definedName name="__________PA3" localSheetId="7" hidden="1">{"'Sheet1'!$L$16"}</definedName>
    <definedName name="__________PA3" localSheetId="8" hidden="1">{"'Sheet1'!$L$16"}</definedName>
    <definedName name="__________PA3" hidden="1">{"'Sheet1'!$L$16"}</definedName>
    <definedName name="__________Ph30" localSheetId="8">#REF!</definedName>
    <definedName name="__________Ph30">#REF!</definedName>
    <definedName name="__________PXB80" localSheetId="8">#REF!</definedName>
    <definedName name="__________PXB80">#REF!</definedName>
    <definedName name="__________tt3" localSheetId="1" hidden="1">{"'Sheet1'!$L$16"}</definedName>
    <definedName name="__________tt3" localSheetId="2" hidden="1">{"'Sheet1'!$L$16"}</definedName>
    <definedName name="__________tt3" localSheetId="4" hidden="1">{"'Sheet1'!$L$16"}</definedName>
    <definedName name="__________tt3" localSheetId="5" hidden="1">{"'Sheet1'!$L$16"}</definedName>
    <definedName name="__________tt3" localSheetId="6" hidden="1">{"'Sheet1'!$L$16"}</definedName>
    <definedName name="__________tt3" localSheetId="7" hidden="1">{"'Sheet1'!$L$16"}</definedName>
    <definedName name="__________tt3" localSheetId="8" hidden="1">{"'Sheet1'!$L$16"}</definedName>
    <definedName name="__________tt3" hidden="1">{"'Sheet1'!$L$16"}</definedName>
    <definedName name="__________xb80" localSheetId="8">#REF!</definedName>
    <definedName name="__________xb80">#REF!</definedName>
    <definedName name="_________a1" localSheetId="1" hidden="1">{"'Sheet1'!$L$16"}</definedName>
    <definedName name="_________a1" localSheetId="2" hidden="1">{"'Sheet1'!$L$16"}</definedName>
    <definedName name="_________a1" localSheetId="4" hidden="1">{"'Sheet1'!$L$16"}</definedName>
    <definedName name="_________a1" localSheetId="5" hidden="1">{"'Sheet1'!$L$16"}</definedName>
    <definedName name="_________a1" localSheetId="6" hidden="1">{"'Sheet1'!$L$16"}</definedName>
    <definedName name="_________a1" localSheetId="7" hidden="1">{"'Sheet1'!$L$16"}</definedName>
    <definedName name="_________a1" localSheetId="8" hidden="1">{"'Sheet1'!$L$16"}</definedName>
    <definedName name="_________a1" hidden="1">{"'Sheet1'!$L$16"}</definedName>
    <definedName name="________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__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____a129" localSheetId="4" hidden="1">{"Offgrid",#N/A,FALSE,"OFFGRID";"Region",#N/A,FALSE,"REGION";"Offgrid -2",#N/A,FALSE,"OFFGRID";"WTP",#N/A,FALSE,"WTP";"WTP -2",#N/A,FALSE,"WTP";"Project",#N/A,FALSE,"PROJECT";"Summary -2",#N/A,FALSE,"SUMMARY"}</definedName>
    <definedName name="_________a129" localSheetId="5" hidden="1">{"Offgrid",#N/A,FALSE,"OFFGRID";"Region",#N/A,FALSE,"REGION";"Offgrid -2",#N/A,FALSE,"OFFGRID";"WTP",#N/A,FALSE,"WTP";"WTP -2",#N/A,FALSE,"WTP";"Project",#N/A,FALSE,"PROJECT";"Summary -2",#N/A,FALSE,"SUMMARY"}</definedName>
    <definedName name="_________a129" localSheetId="6" hidden="1">{"Offgrid",#N/A,FALSE,"OFFGRID";"Region",#N/A,FALSE,"REGION";"Offgrid -2",#N/A,FALSE,"OFFGRID";"WTP",#N/A,FALSE,"WTP";"WTP -2",#N/A,FALSE,"WTP";"Project",#N/A,FALSE,"PROJECT";"Summary -2",#N/A,FALSE,"SUMMARY"}</definedName>
    <definedName name="_________a129" localSheetId="7" hidden="1">{"Offgrid",#N/A,FALSE,"OFFGRID";"Region",#N/A,FALSE,"REGION";"Offgrid -2",#N/A,FALSE,"OFFGRID";"WTP",#N/A,FALSE,"WTP";"WTP -2",#N/A,FALSE,"WTP";"Project",#N/A,FALSE,"PROJECT";"Summary -2",#N/A,FALSE,"SUMMARY"}</definedName>
    <definedName name="_________a129" localSheetId="8" hidden="1">{"Offgrid",#N/A,FALSE,"OFFGRID";"Region",#N/A,FALSE,"REGION";"Offgrid -2",#N/A,FALSE,"OFFGRID";"WTP",#N/A,FALSE,"WTP";"WTP -2",#N/A,FALSE,"WTP";"Project",#N/A,FALSE,"PROJECT";"Summary -2",#N/A,FALSE,"SUMMARY"}</definedName>
    <definedName name="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__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____a130" localSheetId="4" hidden="1">{"Offgrid",#N/A,FALSE,"OFFGRID";"Region",#N/A,FALSE,"REGION";"Offgrid -2",#N/A,FALSE,"OFFGRID";"WTP",#N/A,FALSE,"WTP";"WTP -2",#N/A,FALSE,"WTP";"Project",#N/A,FALSE,"PROJECT";"Summary -2",#N/A,FALSE,"SUMMARY"}</definedName>
    <definedName name="_________a130" localSheetId="5" hidden="1">{"Offgrid",#N/A,FALSE,"OFFGRID";"Region",#N/A,FALSE,"REGION";"Offgrid -2",#N/A,FALSE,"OFFGRID";"WTP",#N/A,FALSE,"WTP";"WTP -2",#N/A,FALSE,"WTP";"Project",#N/A,FALSE,"PROJECT";"Summary -2",#N/A,FALSE,"SUMMARY"}</definedName>
    <definedName name="_________a130" localSheetId="6" hidden="1">{"Offgrid",#N/A,FALSE,"OFFGRID";"Region",#N/A,FALSE,"REGION";"Offgrid -2",#N/A,FALSE,"OFFGRID";"WTP",#N/A,FALSE,"WTP";"WTP -2",#N/A,FALSE,"WTP";"Project",#N/A,FALSE,"PROJECT";"Summary -2",#N/A,FALSE,"SUMMARY"}</definedName>
    <definedName name="_________a130" localSheetId="7" hidden="1">{"Offgrid",#N/A,FALSE,"OFFGRID";"Region",#N/A,FALSE,"REGION";"Offgrid -2",#N/A,FALSE,"OFFGRID";"WTP",#N/A,FALSE,"WTP";"WTP -2",#N/A,FALSE,"WTP";"Project",#N/A,FALSE,"PROJECT";"Summary -2",#N/A,FALSE,"SUMMARY"}</definedName>
    <definedName name="_________a130" localSheetId="8" hidden="1">{"Offgrid",#N/A,FALSE,"OFFGRID";"Region",#N/A,FALSE,"REGION";"Offgrid -2",#N/A,FALSE,"OFFGRID";"WTP",#N/A,FALSE,"WTP";"WTP -2",#N/A,FALSE,"WTP";"Project",#N/A,FALSE,"PROJECT";"Summary -2",#N/A,FALSE,"SUMMARY"}</definedName>
    <definedName name="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a2" localSheetId="1" hidden="1">{"'Sheet1'!$L$16"}</definedName>
    <definedName name="_________a2" localSheetId="2" hidden="1">{"'Sheet1'!$L$16"}</definedName>
    <definedName name="_________a2" localSheetId="4" hidden="1">{"'Sheet1'!$L$16"}</definedName>
    <definedName name="_________a2" localSheetId="5" hidden="1">{"'Sheet1'!$L$16"}</definedName>
    <definedName name="_________a2" localSheetId="6" hidden="1">{"'Sheet1'!$L$16"}</definedName>
    <definedName name="_________a2" localSheetId="7" hidden="1">{"'Sheet1'!$L$16"}</definedName>
    <definedName name="_________a2" localSheetId="8" hidden="1">{"'Sheet1'!$L$16"}</definedName>
    <definedName name="_________a2" hidden="1">{"'Sheet1'!$L$16"}</definedName>
    <definedName name="_________a3" localSheetId="1" hidden="1">{"'Sheet1'!$L$16"}</definedName>
    <definedName name="_________a3" localSheetId="2" hidden="1">{"'Sheet1'!$L$16"}</definedName>
    <definedName name="_________a3" localSheetId="4" hidden="1">{"'Sheet1'!$L$16"}</definedName>
    <definedName name="_________a3" localSheetId="5" hidden="1">{"'Sheet1'!$L$16"}</definedName>
    <definedName name="_________a3" localSheetId="6" hidden="1">{"'Sheet1'!$L$16"}</definedName>
    <definedName name="_________a3" localSheetId="7" hidden="1">{"'Sheet1'!$L$16"}</definedName>
    <definedName name="_________a3" localSheetId="8" hidden="1">{"'Sheet1'!$L$16"}</definedName>
    <definedName name="_________a3" hidden="1">{"'Sheet1'!$L$16"}</definedName>
    <definedName name="_________a4" localSheetId="1" hidden="1">{"'Sheet1'!$L$16"}</definedName>
    <definedName name="_________a4" localSheetId="2" hidden="1">{"'Sheet1'!$L$16"}</definedName>
    <definedName name="_________a4" localSheetId="4" hidden="1">{"'Sheet1'!$L$16"}</definedName>
    <definedName name="_________a4" localSheetId="5" hidden="1">{"'Sheet1'!$L$16"}</definedName>
    <definedName name="_________a4" localSheetId="6" hidden="1">{"'Sheet1'!$L$16"}</definedName>
    <definedName name="_________a4" localSheetId="7" hidden="1">{"'Sheet1'!$L$16"}</definedName>
    <definedName name="_________a4" localSheetId="8" hidden="1">{"'Sheet1'!$L$16"}</definedName>
    <definedName name="_________a4" hidden="1">{"'Sheet1'!$L$16"}</definedName>
    <definedName name="_________a5" localSheetId="1" hidden="1">{#N/A,#N/A,FALSE,"Chi tiÆt"}</definedName>
    <definedName name="_________a5" localSheetId="2" hidden="1">{#N/A,#N/A,FALSE,"Chi tiÆt"}</definedName>
    <definedName name="_________a5" localSheetId="4" hidden="1">{#N/A,#N/A,FALSE,"Chi tiÆt"}</definedName>
    <definedName name="_________a5" localSheetId="5" hidden="1">{#N/A,#N/A,FALSE,"Chi tiÆt"}</definedName>
    <definedName name="_________a5" localSheetId="6" hidden="1">{#N/A,#N/A,FALSE,"Chi tiÆt"}</definedName>
    <definedName name="_________a5" localSheetId="7" hidden="1">{#N/A,#N/A,FALSE,"Chi tiÆt"}</definedName>
    <definedName name="_________a5" localSheetId="8" hidden="1">{#N/A,#N/A,FALSE,"Chi tiÆt"}</definedName>
    <definedName name="_________a5" hidden="1">{#N/A,#N/A,FALSE,"Chi tiÆt"}</definedName>
    <definedName name="_________CT4" localSheetId="1" hidden="1">{"'Sheet1'!$L$16"}</definedName>
    <definedName name="_________CT4" localSheetId="2" hidden="1">{"'Sheet1'!$L$16"}</definedName>
    <definedName name="_________CT4" localSheetId="4" hidden="1">{"'Sheet1'!$L$16"}</definedName>
    <definedName name="_________CT4" localSheetId="5" hidden="1">{"'Sheet1'!$L$16"}</definedName>
    <definedName name="_________CT4" localSheetId="6" hidden="1">{"'Sheet1'!$L$16"}</definedName>
    <definedName name="_________CT4" localSheetId="7" hidden="1">{"'Sheet1'!$L$16"}</definedName>
    <definedName name="_________CT4" localSheetId="8" hidden="1">{"'Sheet1'!$L$16"}</definedName>
    <definedName name="_________CT4" hidden="1">{"'Sheet1'!$L$16"}</definedName>
    <definedName name="_________Goi8" localSheetId="1" hidden="1">{"'Sheet1'!$L$16"}</definedName>
    <definedName name="_________Goi8" localSheetId="2" hidden="1">{"'Sheet1'!$L$16"}</definedName>
    <definedName name="_________Goi8" localSheetId="4" hidden="1">{"'Sheet1'!$L$16"}</definedName>
    <definedName name="_________Goi8" localSheetId="5" hidden="1">{"'Sheet1'!$L$16"}</definedName>
    <definedName name="_________Goi8" localSheetId="6" hidden="1">{"'Sheet1'!$L$16"}</definedName>
    <definedName name="_________Goi8" localSheetId="7" hidden="1">{"'Sheet1'!$L$16"}</definedName>
    <definedName name="_________Goi8" localSheetId="8" hidden="1">{"'Sheet1'!$L$16"}</definedName>
    <definedName name="_________Goi8" hidden="1">{"'Sheet1'!$L$16"}</definedName>
    <definedName name="_________huy1" localSheetId="1" hidden="1">{"'Sheet1'!$L$16"}</definedName>
    <definedName name="_________huy1" localSheetId="2" hidden="1">{"'Sheet1'!$L$16"}</definedName>
    <definedName name="_________huy1" localSheetId="4" hidden="1">{"'Sheet1'!$L$16"}</definedName>
    <definedName name="_________huy1" localSheetId="5" hidden="1">{"'Sheet1'!$L$16"}</definedName>
    <definedName name="_________huy1" localSheetId="6" hidden="1">{"'Sheet1'!$L$16"}</definedName>
    <definedName name="_________huy1" localSheetId="7" hidden="1">{"'Sheet1'!$L$16"}</definedName>
    <definedName name="_________huy1" localSheetId="8" hidden="1">{"'Sheet1'!$L$16"}</definedName>
    <definedName name="_________huy1" hidden="1">{"'Sheet1'!$L$16"}</definedName>
    <definedName name="_________Lan1" localSheetId="1" hidden="1">{"'Sheet1'!$L$16"}</definedName>
    <definedName name="_________Lan1" localSheetId="2" hidden="1">{"'Sheet1'!$L$16"}</definedName>
    <definedName name="_________Lan1" localSheetId="4" hidden="1">{"'Sheet1'!$L$16"}</definedName>
    <definedName name="_________Lan1" localSheetId="5" hidden="1">{"'Sheet1'!$L$16"}</definedName>
    <definedName name="_________Lan1" localSheetId="6" hidden="1">{"'Sheet1'!$L$16"}</definedName>
    <definedName name="_________Lan1" localSheetId="7" hidden="1">{"'Sheet1'!$L$16"}</definedName>
    <definedName name="_________Lan1" localSheetId="8" hidden="1">{"'Sheet1'!$L$16"}</definedName>
    <definedName name="_________Lan1" hidden="1">{"'Sheet1'!$L$16"}</definedName>
    <definedName name="_________LAN3" localSheetId="1" hidden="1">{"'Sheet1'!$L$16"}</definedName>
    <definedName name="_________LAN3" localSheetId="2" hidden="1">{"'Sheet1'!$L$16"}</definedName>
    <definedName name="_________LAN3" localSheetId="4" hidden="1">{"'Sheet1'!$L$16"}</definedName>
    <definedName name="_________LAN3" localSheetId="5" hidden="1">{"'Sheet1'!$L$16"}</definedName>
    <definedName name="_________LAN3" localSheetId="6" hidden="1">{"'Sheet1'!$L$16"}</definedName>
    <definedName name="_________LAN3" localSheetId="7" hidden="1">{"'Sheet1'!$L$16"}</definedName>
    <definedName name="_________LAN3" localSheetId="8" hidden="1">{"'Sheet1'!$L$16"}</definedName>
    <definedName name="_________LAN3" hidden="1">{"'Sheet1'!$L$16"}</definedName>
    <definedName name="_________PA3" localSheetId="1" hidden="1">{"'Sheet1'!$L$16"}</definedName>
    <definedName name="_________PA3" localSheetId="2" hidden="1">{"'Sheet1'!$L$16"}</definedName>
    <definedName name="_________PA3" localSheetId="4" hidden="1">{"'Sheet1'!$L$16"}</definedName>
    <definedName name="_________PA3" localSheetId="5" hidden="1">{"'Sheet1'!$L$16"}</definedName>
    <definedName name="_________PA3" localSheetId="6" hidden="1">{"'Sheet1'!$L$16"}</definedName>
    <definedName name="_________PA3" localSheetId="7" hidden="1">{"'Sheet1'!$L$16"}</definedName>
    <definedName name="_________PA3" localSheetId="8" hidden="1">{"'Sheet1'!$L$16"}</definedName>
    <definedName name="_________PA3" hidden="1">{"'Sheet1'!$L$16"}</definedName>
    <definedName name="_________Q1111" localSheetId="1" hidden="1">{"'Sheet1'!$L$16"}</definedName>
    <definedName name="_________Q1111" localSheetId="2" hidden="1">{"'Sheet1'!$L$16"}</definedName>
    <definedName name="_________Q1111" localSheetId="4" hidden="1">{"'Sheet1'!$L$16"}</definedName>
    <definedName name="_________Q1111" localSheetId="5" hidden="1">{"'Sheet1'!$L$16"}</definedName>
    <definedName name="_________Q1111" localSheetId="6" hidden="1">{"'Sheet1'!$L$16"}</definedName>
    <definedName name="_________Q1111" localSheetId="7" hidden="1">{"'Sheet1'!$L$16"}</definedName>
    <definedName name="_________Q1111" localSheetId="8" hidden="1">{"'Sheet1'!$L$16"}</definedName>
    <definedName name="_________Q1111" hidden="1">{"'Sheet1'!$L$16"}</definedName>
    <definedName name="_________SCL4" localSheetId="1" hidden="1">{"'Sheet1'!$L$16"}</definedName>
    <definedName name="_________SCL4" localSheetId="2" hidden="1">{"'Sheet1'!$L$16"}</definedName>
    <definedName name="_________SCL4" localSheetId="4" hidden="1">{"'Sheet1'!$L$16"}</definedName>
    <definedName name="_________SCL4" localSheetId="5" hidden="1">{"'Sheet1'!$L$16"}</definedName>
    <definedName name="_________SCL4" localSheetId="6" hidden="1">{"'Sheet1'!$L$16"}</definedName>
    <definedName name="_________SCL4" localSheetId="7" hidden="1">{"'Sheet1'!$L$16"}</definedName>
    <definedName name="_________SCL4" localSheetId="8" hidden="1">{"'Sheet1'!$L$16"}</definedName>
    <definedName name="_________SCL4" hidden="1">{"'Sheet1'!$L$16"}</definedName>
    <definedName name="_________tt3" localSheetId="1" hidden="1">{"'Sheet1'!$L$16"}</definedName>
    <definedName name="_________tt3" localSheetId="2" hidden="1">{"'Sheet1'!$L$16"}</definedName>
    <definedName name="_________tt3" localSheetId="4" hidden="1">{"'Sheet1'!$L$16"}</definedName>
    <definedName name="_________tt3" localSheetId="5" hidden="1">{"'Sheet1'!$L$16"}</definedName>
    <definedName name="_________tt3" localSheetId="6" hidden="1">{"'Sheet1'!$L$16"}</definedName>
    <definedName name="_________tt3" localSheetId="7" hidden="1">{"'Sheet1'!$L$16"}</definedName>
    <definedName name="_________tt3" localSheetId="8" hidden="1">{"'Sheet1'!$L$16"}</definedName>
    <definedName name="_________tt3" hidden="1">{"'Sheet1'!$L$16"}</definedName>
    <definedName name="________a1" localSheetId="1" hidden="1">{"'Sheet1'!$L$16"}</definedName>
    <definedName name="________a1" localSheetId="2" hidden="1">{"'Sheet1'!$L$16"}</definedName>
    <definedName name="________a1" localSheetId="4" hidden="1">{"'Sheet1'!$L$16"}</definedName>
    <definedName name="________a1" localSheetId="5" hidden="1">{"'Sheet1'!$L$16"}</definedName>
    <definedName name="________a1" localSheetId="6" hidden="1">{"'Sheet1'!$L$16"}</definedName>
    <definedName name="________a1" localSheetId="7" hidden="1">{"'Sheet1'!$L$16"}</definedName>
    <definedName name="________a1" localSheetId="8" hidden="1">{"'Sheet1'!$L$16"}</definedName>
    <definedName name="________a1" hidden="1">{"'Sheet1'!$L$16"}</definedName>
    <definedName name="________a12" localSheetId="1" hidden="1">{"'Sheet1'!$L$16"}</definedName>
    <definedName name="________a12" localSheetId="2" hidden="1">{"'Sheet1'!$L$16"}</definedName>
    <definedName name="________a12" localSheetId="4" hidden="1">{"'Sheet1'!$L$16"}</definedName>
    <definedName name="________a12" localSheetId="5" hidden="1">{"'Sheet1'!$L$16"}</definedName>
    <definedName name="________a12" localSheetId="6" hidden="1">{"'Sheet1'!$L$16"}</definedName>
    <definedName name="________a12" localSheetId="7" hidden="1">{"'Sheet1'!$L$16"}</definedName>
    <definedName name="________a12" localSheetId="8" hidden="1">{"'Sheet1'!$L$16"}</definedName>
    <definedName name="________a12" hidden="1">{"'Sheet1'!$L$16"}</definedName>
    <definedName name="_______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_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___a129" localSheetId="4" hidden="1">{"Offgrid",#N/A,FALSE,"OFFGRID";"Region",#N/A,FALSE,"REGION";"Offgrid -2",#N/A,FALSE,"OFFGRID";"WTP",#N/A,FALSE,"WTP";"WTP -2",#N/A,FALSE,"WTP";"Project",#N/A,FALSE,"PROJECT";"Summary -2",#N/A,FALSE,"SUMMARY"}</definedName>
    <definedName name="________a129" localSheetId="5" hidden="1">{"Offgrid",#N/A,FALSE,"OFFGRID";"Region",#N/A,FALSE,"REGION";"Offgrid -2",#N/A,FALSE,"OFFGRID";"WTP",#N/A,FALSE,"WTP";"WTP -2",#N/A,FALSE,"WTP";"Project",#N/A,FALSE,"PROJECT";"Summary -2",#N/A,FALSE,"SUMMARY"}</definedName>
    <definedName name="________a129" localSheetId="6" hidden="1">{"Offgrid",#N/A,FALSE,"OFFGRID";"Region",#N/A,FALSE,"REGION";"Offgrid -2",#N/A,FALSE,"OFFGRID";"WTP",#N/A,FALSE,"WTP";"WTP -2",#N/A,FALSE,"WTP";"Project",#N/A,FALSE,"PROJECT";"Summary -2",#N/A,FALSE,"SUMMARY"}</definedName>
    <definedName name="________a129" localSheetId="7" hidden="1">{"Offgrid",#N/A,FALSE,"OFFGRID";"Region",#N/A,FALSE,"REGION";"Offgrid -2",#N/A,FALSE,"OFFGRID";"WTP",#N/A,FALSE,"WTP";"WTP -2",#N/A,FALSE,"WTP";"Project",#N/A,FALSE,"PROJECT";"Summary -2",#N/A,FALSE,"SUMMARY"}</definedName>
    <definedName name="________a129" localSheetId="8" hidden="1">{"Offgrid",#N/A,FALSE,"OFFGRID";"Region",#N/A,FALSE,"REGION";"Offgrid -2",#N/A,FALSE,"OFFGRID";"WTP",#N/A,FALSE,"WTP";"WTP -2",#N/A,FALSE,"WTP";"Project",#N/A,FALSE,"PROJECT";"Summary -2",#N/A,FALSE,"SUMMARY"}</definedName>
    <definedName name="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a13" localSheetId="1" hidden="1">{"'Sheet1'!$L$16"}</definedName>
    <definedName name="________a13" localSheetId="2" hidden="1">{"'Sheet1'!$L$16"}</definedName>
    <definedName name="________a13" localSheetId="4" hidden="1">{"'Sheet1'!$L$16"}</definedName>
    <definedName name="________a13" localSheetId="5" hidden="1">{"'Sheet1'!$L$16"}</definedName>
    <definedName name="________a13" localSheetId="6" hidden="1">{"'Sheet1'!$L$16"}</definedName>
    <definedName name="________a13" localSheetId="7" hidden="1">{"'Sheet1'!$L$16"}</definedName>
    <definedName name="________a13" localSheetId="8" hidden="1">{"'Sheet1'!$L$16"}</definedName>
    <definedName name="________a13" hidden="1">{"'Sheet1'!$L$16"}</definedName>
    <definedName name="______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_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___a130" localSheetId="4" hidden="1">{"Offgrid",#N/A,FALSE,"OFFGRID";"Region",#N/A,FALSE,"REGION";"Offgrid -2",#N/A,FALSE,"OFFGRID";"WTP",#N/A,FALSE,"WTP";"WTP -2",#N/A,FALSE,"WTP";"Project",#N/A,FALSE,"PROJECT";"Summary -2",#N/A,FALSE,"SUMMARY"}</definedName>
    <definedName name="________a130" localSheetId="5" hidden="1">{"Offgrid",#N/A,FALSE,"OFFGRID";"Region",#N/A,FALSE,"REGION";"Offgrid -2",#N/A,FALSE,"OFFGRID";"WTP",#N/A,FALSE,"WTP";"WTP -2",#N/A,FALSE,"WTP";"Project",#N/A,FALSE,"PROJECT";"Summary -2",#N/A,FALSE,"SUMMARY"}</definedName>
    <definedName name="________a130" localSheetId="6" hidden="1">{"Offgrid",#N/A,FALSE,"OFFGRID";"Region",#N/A,FALSE,"REGION";"Offgrid -2",#N/A,FALSE,"OFFGRID";"WTP",#N/A,FALSE,"WTP";"WTP -2",#N/A,FALSE,"WTP";"Project",#N/A,FALSE,"PROJECT";"Summary -2",#N/A,FALSE,"SUMMARY"}</definedName>
    <definedName name="________a130" localSheetId="7" hidden="1">{"Offgrid",#N/A,FALSE,"OFFGRID";"Region",#N/A,FALSE,"REGION";"Offgrid -2",#N/A,FALSE,"OFFGRID";"WTP",#N/A,FALSE,"WTP";"WTP -2",#N/A,FALSE,"WTP";"Project",#N/A,FALSE,"PROJECT";"Summary -2",#N/A,FALSE,"SUMMARY"}</definedName>
    <definedName name="________a130" localSheetId="8" hidden="1">{"Offgrid",#N/A,FALSE,"OFFGRID";"Region",#N/A,FALSE,"REGION";"Offgrid -2",#N/A,FALSE,"OFFGRID";"WTP",#N/A,FALSE,"WTP";"WTP -2",#N/A,FALSE,"WTP";"Project",#N/A,FALSE,"PROJECT";"Summary -2",#N/A,FALSE,"SUMMARY"}</definedName>
    <definedName name="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a14" localSheetId="1" hidden="1">{"'Sheet1'!$L$16"}</definedName>
    <definedName name="________a14" localSheetId="2" hidden="1">{"'Sheet1'!$L$16"}</definedName>
    <definedName name="________a14" localSheetId="4" hidden="1">{"'Sheet1'!$L$16"}</definedName>
    <definedName name="________a14" localSheetId="5" hidden="1">{"'Sheet1'!$L$16"}</definedName>
    <definedName name="________a14" localSheetId="6" hidden="1">{"'Sheet1'!$L$16"}</definedName>
    <definedName name="________a14" localSheetId="7" hidden="1">{"'Sheet1'!$L$16"}</definedName>
    <definedName name="________a14" localSheetId="8" hidden="1">{"'Sheet1'!$L$16"}</definedName>
    <definedName name="________a14" hidden="1">{"'Sheet1'!$L$16"}</definedName>
    <definedName name="________a15" localSheetId="1" hidden="1">{"'Sheet1'!$L$16"}</definedName>
    <definedName name="________a15" localSheetId="2" hidden="1">{"'Sheet1'!$L$16"}</definedName>
    <definedName name="________a15" localSheetId="4" hidden="1">{"'Sheet1'!$L$16"}</definedName>
    <definedName name="________a15" localSheetId="5" hidden="1">{"'Sheet1'!$L$16"}</definedName>
    <definedName name="________a15" localSheetId="6" hidden="1">{"'Sheet1'!$L$16"}</definedName>
    <definedName name="________a15" localSheetId="7" hidden="1">{"'Sheet1'!$L$16"}</definedName>
    <definedName name="________a15" localSheetId="8" hidden="1">{"'Sheet1'!$L$16"}</definedName>
    <definedName name="________a15" hidden="1">{"'Sheet1'!$L$16"}</definedName>
    <definedName name="________a16" localSheetId="1" hidden="1">{#N/A,#N/A,FALSE,"Chi tiÆt"}</definedName>
    <definedName name="________a16" localSheetId="2" hidden="1">{#N/A,#N/A,FALSE,"Chi tiÆt"}</definedName>
    <definedName name="________a16" localSheetId="4" hidden="1">{#N/A,#N/A,FALSE,"Chi tiÆt"}</definedName>
    <definedName name="________a16" localSheetId="5" hidden="1">{#N/A,#N/A,FALSE,"Chi tiÆt"}</definedName>
    <definedName name="________a16" localSheetId="6" hidden="1">{#N/A,#N/A,FALSE,"Chi tiÆt"}</definedName>
    <definedName name="________a16" localSheetId="7" hidden="1">{#N/A,#N/A,FALSE,"Chi tiÆt"}</definedName>
    <definedName name="________a16" localSheetId="8" hidden="1">{#N/A,#N/A,FALSE,"Chi tiÆt"}</definedName>
    <definedName name="________a16" hidden="1">{#N/A,#N/A,FALSE,"Chi tiÆt"}</definedName>
    <definedName name="________a2" localSheetId="1" hidden="1">{"'Sheet1'!$L$16"}</definedName>
    <definedName name="________a2" localSheetId="2" hidden="1">{"'Sheet1'!$L$16"}</definedName>
    <definedName name="________a2" localSheetId="4" hidden="1">{"'Sheet1'!$L$16"}</definedName>
    <definedName name="________a2" localSheetId="5" hidden="1">{"'Sheet1'!$L$16"}</definedName>
    <definedName name="________a2" localSheetId="6" hidden="1">{"'Sheet1'!$L$16"}</definedName>
    <definedName name="________a2" localSheetId="7" hidden="1">{"'Sheet1'!$L$16"}</definedName>
    <definedName name="________a2" localSheetId="8" hidden="1">{"'Sheet1'!$L$16"}</definedName>
    <definedName name="________a2" hidden="1">{"'Sheet1'!$L$16"}</definedName>
    <definedName name="________Goi8" localSheetId="1" hidden="1">{"'Sheet1'!$L$16"}</definedName>
    <definedName name="________Goi8" localSheetId="2" hidden="1">{"'Sheet1'!$L$16"}</definedName>
    <definedName name="________Goi8" localSheetId="4" hidden="1">{"'Sheet1'!$L$16"}</definedName>
    <definedName name="________Goi8" localSheetId="5" hidden="1">{"'Sheet1'!$L$16"}</definedName>
    <definedName name="________Goi8" localSheetId="6" hidden="1">{"'Sheet1'!$L$16"}</definedName>
    <definedName name="________Goi8" localSheetId="7" hidden="1">{"'Sheet1'!$L$16"}</definedName>
    <definedName name="________Goi8" localSheetId="8" hidden="1">{"'Sheet1'!$L$16"}</definedName>
    <definedName name="________Goi8" hidden="1">{"'Sheet1'!$L$16"}</definedName>
    <definedName name="________huy1" localSheetId="1" hidden="1">{"'Sheet1'!$L$16"}</definedName>
    <definedName name="________huy1" localSheetId="2" hidden="1">{"'Sheet1'!$L$16"}</definedName>
    <definedName name="________huy1" localSheetId="4" hidden="1">{"'Sheet1'!$L$16"}</definedName>
    <definedName name="________huy1" localSheetId="5" hidden="1">{"'Sheet1'!$L$16"}</definedName>
    <definedName name="________huy1" localSheetId="6" hidden="1">{"'Sheet1'!$L$16"}</definedName>
    <definedName name="________huy1" localSheetId="7" hidden="1">{"'Sheet1'!$L$16"}</definedName>
    <definedName name="________huy1" localSheetId="8" hidden="1">{"'Sheet1'!$L$16"}</definedName>
    <definedName name="________huy1" hidden="1">{"'Sheet1'!$L$16"}</definedName>
    <definedName name="________Lan1" localSheetId="1" hidden="1">{"'Sheet1'!$L$16"}</definedName>
    <definedName name="________Lan1" localSheetId="2" hidden="1">{"'Sheet1'!$L$16"}</definedName>
    <definedName name="________Lan1" localSheetId="4" hidden="1">{"'Sheet1'!$L$16"}</definedName>
    <definedName name="________Lan1" localSheetId="5" hidden="1">{"'Sheet1'!$L$16"}</definedName>
    <definedName name="________Lan1" localSheetId="6" hidden="1">{"'Sheet1'!$L$16"}</definedName>
    <definedName name="________Lan1" localSheetId="7" hidden="1">{"'Sheet1'!$L$16"}</definedName>
    <definedName name="________Lan1" localSheetId="8" hidden="1">{"'Sheet1'!$L$16"}</definedName>
    <definedName name="________Lan1" hidden="1">{"'Sheet1'!$L$16"}</definedName>
    <definedName name="________LAN3" localSheetId="1" hidden="1">{"'Sheet1'!$L$16"}</definedName>
    <definedName name="________LAN3" localSheetId="2" hidden="1">{"'Sheet1'!$L$16"}</definedName>
    <definedName name="________LAN3" localSheetId="4" hidden="1">{"'Sheet1'!$L$16"}</definedName>
    <definedName name="________LAN3" localSheetId="5" hidden="1">{"'Sheet1'!$L$16"}</definedName>
    <definedName name="________LAN3" localSheetId="6" hidden="1">{"'Sheet1'!$L$16"}</definedName>
    <definedName name="________LAN3" localSheetId="7" hidden="1">{"'Sheet1'!$L$16"}</definedName>
    <definedName name="________LAN3" localSheetId="8" hidden="1">{"'Sheet1'!$L$16"}</definedName>
    <definedName name="________LAN3" hidden="1">{"'Sheet1'!$L$16"}</definedName>
    <definedName name="________NSO2" localSheetId="8" hidden="1">{"'Sheet1'!$L$16"}</definedName>
    <definedName name="________NSO2" hidden="1">{"'Sheet1'!$L$16"}</definedName>
    <definedName name="________PA3" localSheetId="1" hidden="1">{"'Sheet1'!$L$16"}</definedName>
    <definedName name="________PA3" localSheetId="2" hidden="1">{"'Sheet1'!$L$16"}</definedName>
    <definedName name="________PA3" localSheetId="4" hidden="1">{"'Sheet1'!$L$16"}</definedName>
    <definedName name="________PA3" localSheetId="5" hidden="1">{"'Sheet1'!$L$16"}</definedName>
    <definedName name="________PA3" localSheetId="6" hidden="1">{"'Sheet1'!$L$16"}</definedName>
    <definedName name="________PA3" localSheetId="7" hidden="1">{"'Sheet1'!$L$16"}</definedName>
    <definedName name="________PA3" localSheetId="8" hidden="1">{"'Sheet1'!$L$16"}</definedName>
    <definedName name="________PA3" hidden="1">{"'Sheet1'!$L$16"}</definedName>
    <definedName name="________SCL4" localSheetId="1" hidden="1">{"'Sheet1'!$L$16"}</definedName>
    <definedName name="________SCL4" localSheetId="2" hidden="1">{"'Sheet1'!$L$16"}</definedName>
    <definedName name="________SCL4" localSheetId="4" hidden="1">{"'Sheet1'!$L$16"}</definedName>
    <definedName name="________SCL4" localSheetId="5" hidden="1">{"'Sheet1'!$L$16"}</definedName>
    <definedName name="________SCL4" localSheetId="6" hidden="1">{"'Sheet1'!$L$16"}</definedName>
    <definedName name="________SCL4" localSheetId="7" hidden="1">{"'Sheet1'!$L$16"}</definedName>
    <definedName name="________SCL4" localSheetId="8" hidden="1">{"'Sheet1'!$L$16"}</definedName>
    <definedName name="________SCL4" hidden="1">{"'Sheet1'!$L$16"}</definedName>
    <definedName name="________TD1" localSheetId="8" hidden="1">{"'Sheet1'!$L$16"}</definedName>
    <definedName name="________TD1" hidden="1">{"'Sheet1'!$L$16"}</definedName>
    <definedName name="________tt3" localSheetId="1" hidden="1">{"'Sheet1'!$L$16"}</definedName>
    <definedName name="________tt3" localSheetId="2" hidden="1">{"'Sheet1'!$L$16"}</definedName>
    <definedName name="________tt3" localSheetId="4" hidden="1">{"'Sheet1'!$L$16"}</definedName>
    <definedName name="________tt3" localSheetId="5" hidden="1">{"'Sheet1'!$L$16"}</definedName>
    <definedName name="________tt3" localSheetId="6" hidden="1">{"'Sheet1'!$L$16"}</definedName>
    <definedName name="________tt3" localSheetId="7" hidden="1">{"'Sheet1'!$L$16"}</definedName>
    <definedName name="________tt3" localSheetId="8" hidden="1">{"'Sheet1'!$L$16"}</definedName>
    <definedName name="________tt3" hidden="1">{"'Sheet1'!$L$16"}</definedName>
    <definedName name="_______a1" localSheetId="1" hidden="1">{"'Sheet1'!$L$16"}</definedName>
    <definedName name="_______a1" localSheetId="2" hidden="1">{"'Sheet1'!$L$16"}</definedName>
    <definedName name="_______a1" localSheetId="4" hidden="1">{"'Sheet1'!$L$16"}</definedName>
    <definedName name="_______a1" localSheetId="5" hidden="1">{"'Sheet1'!$L$16"}</definedName>
    <definedName name="_______a1" localSheetId="6" hidden="1">{"'Sheet1'!$L$16"}</definedName>
    <definedName name="_______a1" localSheetId="7" hidden="1">{"'Sheet1'!$L$16"}</definedName>
    <definedName name="_______a1" localSheetId="8" hidden="1">{"'Sheet1'!$L$16"}</definedName>
    <definedName name="_______a1" hidden="1">{"'Sheet1'!$L$16"}</definedName>
    <definedName name="______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__a129" localSheetId="4" hidden="1">{"Offgrid",#N/A,FALSE,"OFFGRID";"Region",#N/A,FALSE,"REGION";"Offgrid -2",#N/A,FALSE,"OFFGRID";"WTP",#N/A,FALSE,"WTP";"WTP -2",#N/A,FALSE,"WTP";"Project",#N/A,FALSE,"PROJECT";"Summary -2",#N/A,FALSE,"SUMMARY"}</definedName>
    <definedName name="_______a129" localSheetId="5" hidden="1">{"Offgrid",#N/A,FALSE,"OFFGRID";"Region",#N/A,FALSE,"REGION";"Offgrid -2",#N/A,FALSE,"OFFGRID";"WTP",#N/A,FALSE,"WTP";"WTP -2",#N/A,FALSE,"WTP";"Project",#N/A,FALSE,"PROJECT";"Summary -2",#N/A,FALSE,"SUMMARY"}</definedName>
    <definedName name="_______a129" localSheetId="6" hidden="1">{"Offgrid",#N/A,FALSE,"OFFGRID";"Region",#N/A,FALSE,"REGION";"Offgrid -2",#N/A,FALSE,"OFFGRID";"WTP",#N/A,FALSE,"WTP";"WTP -2",#N/A,FALSE,"WTP";"Project",#N/A,FALSE,"PROJECT";"Summary -2",#N/A,FALSE,"SUMMARY"}</definedName>
    <definedName name="_______a129" localSheetId="7" hidden="1">{"Offgrid",#N/A,FALSE,"OFFGRID";"Region",#N/A,FALSE,"REGION";"Offgrid -2",#N/A,FALSE,"OFFGRID";"WTP",#N/A,FALSE,"WTP";"WTP -2",#N/A,FALSE,"WTP";"Project",#N/A,FALSE,"PROJECT";"Summary -2",#N/A,FALSE,"SUMMARY"}</definedName>
    <definedName name="_______a129" localSheetId="8" hidden="1">{"Offgrid",#N/A,FALSE,"OFFGRID";"Region",#N/A,FALSE,"REGION";"Offgrid -2",#N/A,FALSE,"OFFGRID";"WTP",#N/A,FALSE,"WTP";"WTP -2",#N/A,FALSE,"WTP";"Project",#N/A,FALSE,"PROJECT";"Summary -2",#N/A,FALSE,"SUMMARY"}</definedName>
    <definedName name="_______a129" hidden="1">{"Offgrid",#N/A,FALSE,"OFFGRID";"Region",#N/A,FALSE,"REGION";"Offgrid -2",#N/A,FALSE,"OFFGRID";"WTP",#N/A,FALSE,"WTP";"WTP -2",#N/A,FALSE,"WTP";"Project",#N/A,FALSE,"PROJECT";"Summary -2",#N/A,FALSE,"SUMMARY"}</definedName>
    <definedName name="_____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__a130" localSheetId="4" hidden="1">{"Offgrid",#N/A,FALSE,"OFFGRID";"Region",#N/A,FALSE,"REGION";"Offgrid -2",#N/A,FALSE,"OFFGRID";"WTP",#N/A,FALSE,"WTP";"WTP -2",#N/A,FALSE,"WTP";"Project",#N/A,FALSE,"PROJECT";"Summary -2",#N/A,FALSE,"SUMMARY"}</definedName>
    <definedName name="_______a130" localSheetId="5" hidden="1">{"Offgrid",#N/A,FALSE,"OFFGRID";"Region",#N/A,FALSE,"REGION";"Offgrid -2",#N/A,FALSE,"OFFGRID";"WTP",#N/A,FALSE,"WTP";"WTP -2",#N/A,FALSE,"WTP";"Project",#N/A,FALSE,"PROJECT";"Summary -2",#N/A,FALSE,"SUMMARY"}</definedName>
    <definedName name="_______a130" localSheetId="6" hidden="1">{"Offgrid",#N/A,FALSE,"OFFGRID";"Region",#N/A,FALSE,"REGION";"Offgrid -2",#N/A,FALSE,"OFFGRID";"WTP",#N/A,FALSE,"WTP";"WTP -2",#N/A,FALSE,"WTP";"Project",#N/A,FALSE,"PROJECT";"Summary -2",#N/A,FALSE,"SUMMARY"}</definedName>
    <definedName name="_______a130" localSheetId="7" hidden="1">{"Offgrid",#N/A,FALSE,"OFFGRID";"Region",#N/A,FALSE,"REGION";"Offgrid -2",#N/A,FALSE,"OFFGRID";"WTP",#N/A,FALSE,"WTP";"WTP -2",#N/A,FALSE,"WTP";"Project",#N/A,FALSE,"PROJECT";"Summary -2",#N/A,FALSE,"SUMMARY"}</definedName>
    <definedName name="_______a130" localSheetId="8" hidden="1">{"Offgrid",#N/A,FALSE,"OFFGRID";"Region",#N/A,FALSE,"REGION";"Offgrid -2",#N/A,FALSE,"OFFGRID";"WTP",#N/A,FALSE,"WTP";"WTP -2",#N/A,FALSE,"WTP";"Project",#N/A,FALSE,"PROJECT";"Summary -2",#N/A,FALSE,"SUMMARY"}</definedName>
    <definedName name="_______a130" hidden="1">{"Offgrid",#N/A,FALSE,"OFFGRID";"Region",#N/A,FALSE,"REGION";"Offgrid -2",#N/A,FALSE,"OFFGRID";"WTP",#N/A,FALSE,"WTP";"WTP -2",#N/A,FALSE,"WTP";"Project",#N/A,FALSE,"PROJECT";"Summary -2",#N/A,FALSE,"SUMMARY"}</definedName>
    <definedName name="_______a2" localSheetId="1" hidden="1">{"'Sheet1'!$L$16"}</definedName>
    <definedName name="_______a2" localSheetId="2" hidden="1">{"'Sheet1'!$L$16"}</definedName>
    <definedName name="_______a2" localSheetId="4" hidden="1">{"'Sheet1'!$L$16"}</definedName>
    <definedName name="_______a2" localSheetId="5" hidden="1">{"'Sheet1'!$L$16"}</definedName>
    <definedName name="_______a2" localSheetId="6" hidden="1">{"'Sheet1'!$L$16"}</definedName>
    <definedName name="_______a2" localSheetId="7" hidden="1">{"'Sheet1'!$L$16"}</definedName>
    <definedName name="_______a2" localSheetId="8" hidden="1">{"'Sheet1'!$L$16"}</definedName>
    <definedName name="_______a2" hidden="1">{"'Sheet1'!$L$16"}</definedName>
    <definedName name="_______A4" localSheetId="8" hidden="1">{"'Sheet1'!$L$16"}</definedName>
    <definedName name="_______A4" hidden="1">{"'Sheet1'!$L$16"}</definedName>
    <definedName name="_______Goi8" localSheetId="1" hidden="1">{"'Sheet1'!$L$16"}</definedName>
    <definedName name="_______Goi8" localSheetId="2" hidden="1">{"'Sheet1'!$L$16"}</definedName>
    <definedName name="_______Goi8" localSheetId="4" hidden="1">{"'Sheet1'!$L$16"}</definedName>
    <definedName name="_______Goi8" localSheetId="5" hidden="1">{"'Sheet1'!$L$16"}</definedName>
    <definedName name="_______Goi8" localSheetId="6" hidden="1">{"'Sheet1'!$L$16"}</definedName>
    <definedName name="_______Goi8" localSheetId="7" hidden="1">{"'Sheet1'!$L$16"}</definedName>
    <definedName name="_______Goi8" localSheetId="8" hidden="1">{"'Sheet1'!$L$16"}</definedName>
    <definedName name="_______Goi8" hidden="1">{"'Sheet1'!$L$16"}</definedName>
    <definedName name="_______huy1" localSheetId="1" hidden="1">{"'Sheet1'!$L$16"}</definedName>
    <definedName name="_______huy1" localSheetId="2" hidden="1">{"'Sheet1'!$L$16"}</definedName>
    <definedName name="_______huy1" localSheetId="4" hidden="1">{"'Sheet1'!$L$16"}</definedName>
    <definedName name="_______huy1" localSheetId="5" hidden="1">{"'Sheet1'!$L$16"}</definedName>
    <definedName name="_______huy1" localSheetId="6" hidden="1">{"'Sheet1'!$L$16"}</definedName>
    <definedName name="_______huy1" localSheetId="7" hidden="1">{"'Sheet1'!$L$16"}</definedName>
    <definedName name="_______huy1" localSheetId="8" hidden="1">{"'Sheet1'!$L$16"}</definedName>
    <definedName name="_______huy1" hidden="1">{"'Sheet1'!$L$16"}</definedName>
    <definedName name="_______Lan1" localSheetId="1" hidden="1">{"'Sheet1'!$L$16"}</definedName>
    <definedName name="_______Lan1" localSheetId="2" hidden="1">{"'Sheet1'!$L$16"}</definedName>
    <definedName name="_______Lan1" localSheetId="4" hidden="1">{"'Sheet1'!$L$16"}</definedName>
    <definedName name="_______Lan1" localSheetId="5" hidden="1">{"'Sheet1'!$L$16"}</definedName>
    <definedName name="_______Lan1" localSheetId="6" hidden="1">{"'Sheet1'!$L$16"}</definedName>
    <definedName name="_______Lan1" localSheetId="7" hidden="1">{"'Sheet1'!$L$16"}</definedName>
    <definedName name="_______Lan1" localSheetId="8" hidden="1">{"'Sheet1'!$L$16"}</definedName>
    <definedName name="_______Lan1" hidden="1">{"'Sheet1'!$L$16"}</definedName>
    <definedName name="_______LAN3" localSheetId="1" hidden="1">{"'Sheet1'!$L$16"}</definedName>
    <definedName name="_______LAN3" localSheetId="2" hidden="1">{"'Sheet1'!$L$16"}</definedName>
    <definedName name="_______LAN3" localSheetId="4" hidden="1">{"'Sheet1'!$L$16"}</definedName>
    <definedName name="_______LAN3" localSheetId="5" hidden="1">{"'Sheet1'!$L$16"}</definedName>
    <definedName name="_______LAN3" localSheetId="6" hidden="1">{"'Sheet1'!$L$16"}</definedName>
    <definedName name="_______LAN3" localSheetId="7" hidden="1">{"'Sheet1'!$L$16"}</definedName>
    <definedName name="_______LAN3" localSheetId="8" hidden="1">{"'Sheet1'!$L$16"}</definedName>
    <definedName name="_______LAN3" hidden="1">{"'Sheet1'!$L$16"}</definedName>
    <definedName name="_______NSO2" localSheetId="1" hidden="1">{"'Sheet1'!$L$16"}</definedName>
    <definedName name="_______NSO2" localSheetId="2" hidden="1">{"'Sheet1'!$L$16"}</definedName>
    <definedName name="_______NSO2" localSheetId="4" hidden="1">{"'Sheet1'!$L$16"}</definedName>
    <definedName name="_______NSO2" localSheetId="5" hidden="1">{"'Sheet1'!$L$16"}</definedName>
    <definedName name="_______NSO2" localSheetId="6" hidden="1">{"'Sheet1'!$L$16"}</definedName>
    <definedName name="_______NSO2" localSheetId="7" hidden="1">{"'Sheet1'!$L$16"}</definedName>
    <definedName name="_______NSO2" localSheetId="8" hidden="1">{"'Sheet1'!$L$16"}</definedName>
    <definedName name="_______NSO2" hidden="1">{"'Sheet1'!$L$16"}</definedName>
    <definedName name="_______PA3" localSheetId="1" hidden="1">{"'Sheet1'!$L$16"}</definedName>
    <definedName name="_______PA3" localSheetId="2" hidden="1">{"'Sheet1'!$L$16"}</definedName>
    <definedName name="_______PA3" localSheetId="4" hidden="1">{"'Sheet1'!$L$16"}</definedName>
    <definedName name="_______PA3" localSheetId="5" hidden="1">{"'Sheet1'!$L$16"}</definedName>
    <definedName name="_______PA3" localSheetId="6" hidden="1">{"'Sheet1'!$L$16"}</definedName>
    <definedName name="_______PA3" localSheetId="7" hidden="1">{"'Sheet1'!$L$16"}</definedName>
    <definedName name="_______PA3" localSheetId="8" hidden="1">{"'Sheet1'!$L$16"}</definedName>
    <definedName name="_______PA3" hidden="1">{"'Sheet1'!$L$16"}</definedName>
    <definedName name="_______TD1" localSheetId="1" hidden="1">{"'Sheet1'!$L$16"}</definedName>
    <definedName name="_______TD1" localSheetId="2" hidden="1">{"'Sheet1'!$L$16"}</definedName>
    <definedName name="_______TD1" localSheetId="4" hidden="1">{"'Sheet1'!$L$16"}</definedName>
    <definedName name="_______TD1" localSheetId="5" hidden="1">{"'Sheet1'!$L$16"}</definedName>
    <definedName name="_______TD1" localSheetId="6" hidden="1">{"'Sheet1'!$L$16"}</definedName>
    <definedName name="_______TD1" localSheetId="7" hidden="1">{"'Sheet1'!$L$16"}</definedName>
    <definedName name="_______TD1" localSheetId="8" hidden="1">{"'Sheet1'!$L$16"}</definedName>
    <definedName name="_______TD1" hidden="1">{"'Sheet1'!$L$16"}</definedName>
    <definedName name="_______tt3" localSheetId="1" hidden="1">{"'Sheet1'!$L$16"}</definedName>
    <definedName name="_______tt3" localSheetId="2" hidden="1">{"'Sheet1'!$L$16"}</definedName>
    <definedName name="_______tt3" localSheetId="4" hidden="1">{"'Sheet1'!$L$16"}</definedName>
    <definedName name="_______tt3" localSheetId="5" hidden="1">{"'Sheet1'!$L$16"}</definedName>
    <definedName name="_______tt3" localSheetId="6" hidden="1">{"'Sheet1'!$L$16"}</definedName>
    <definedName name="_______tt3" localSheetId="7" hidden="1">{"'Sheet1'!$L$16"}</definedName>
    <definedName name="_______tt3" localSheetId="8" hidden="1">{"'Sheet1'!$L$16"}</definedName>
    <definedName name="_______tt3" hidden="1">{"'Sheet1'!$L$16"}</definedName>
    <definedName name="______a1" localSheetId="1" hidden="1">{"'Sheet1'!$L$16"}</definedName>
    <definedName name="______a1" localSheetId="2" hidden="1">{"'Sheet1'!$L$16"}</definedName>
    <definedName name="______a1" localSheetId="4" hidden="1">{"'Sheet1'!$L$16"}</definedName>
    <definedName name="______a1" localSheetId="5" hidden="1">{"'Sheet1'!$L$16"}</definedName>
    <definedName name="______a1" localSheetId="6" hidden="1">{"'Sheet1'!$L$16"}</definedName>
    <definedName name="______a1" localSheetId="7" hidden="1">{"'Sheet1'!$L$16"}</definedName>
    <definedName name="______a1" localSheetId="8" hidden="1">{"'Sheet1'!$L$16"}</definedName>
    <definedName name="______a1" hidden="1">{"'Sheet1'!$L$16"}</definedName>
    <definedName name="_____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_a129" localSheetId="4" hidden="1">{"Offgrid",#N/A,FALSE,"OFFGRID";"Region",#N/A,FALSE,"REGION";"Offgrid -2",#N/A,FALSE,"OFFGRID";"WTP",#N/A,FALSE,"WTP";"WTP -2",#N/A,FALSE,"WTP";"Project",#N/A,FALSE,"PROJECT";"Summary -2",#N/A,FALSE,"SUMMARY"}</definedName>
    <definedName name="______a129" localSheetId="5" hidden="1">{"Offgrid",#N/A,FALSE,"OFFGRID";"Region",#N/A,FALSE,"REGION";"Offgrid -2",#N/A,FALSE,"OFFGRID";"WTP",#N/A,FALSE,"WTP";"WTP -2",#N/A,FALSE,"WTP";"Project",#N/A,FALSE,"PROJECT";"Summary -2",#N/A,FALSE,"SUMMARY"}</definedName>
    <definedName name="______a129" localSheetId="6" hidden="1">{"Offgrid",#N/A,FALSE,"OFFGRID";"Region",#N/A,FALSE,"REGION";"Offgrid -2",#N/A,FALSE,"OFFGRID";"WTP",#N/A,FALSE,"WTP";"WTP -2",#N/A,FALSE,"WTP";"Project",#N/A,FALSE,"PROJECT";"Summary -2",#N/A,FALSE,"SUMMARY"}</definedName>
    <definedName name="______a129" localSheetId="7" hidden="1">{"Offgrid",#N/A,FALSE,"OFFGRID";"Region",#N/A,FALSE,"REGION";"Offgrid -2",#N/A,FALSE,"OFFGRID";"WTP",#N/A,FALSE,"WTP";"WTP -2",#N/A,FALSE,"WTP";"Project",#N/A,FALSE,"PROJECT";"Summary -2",#N/A,FALSE,"SUMMARY"}</definedName>
    <definedName name="______a129" localSheetId="8" hidden="1">{"Offgrid",#N/A,FALSE,"OFFGRID";"Region",#N/A,FALSE,"REGION";"Offgrid -2",#N/A,FALSE,"OFFGRID";"WTP",#N/A,FALSE,"WTP";"WTP -2",#N/A,FALSE,"WTP";"Project",#N/A,FALSE,"PROJECT";"Summary -2",#N/A,FALSE,"SUMMARY"}</definedName>
    <definedName name="______a129" hidden="1">{"Offgrid",#N/A,FALSE,"OFFGRID";"Region",#N/A,FALSE,"REGION";"Offgrid -2",#N/A,FALSE,"OFFGRID";"WTP",#N/A,FALSE,"WTP";"WTP -2",#N/A,FALSE,"WTP";"Project",#N/A,FALSE,"PROJECT";"Summary -2",#N/A,FALSE,"SUMMARY"}</definedName>
    <definedName name="____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_a130" localSheetId="4" hidden="1">{"Offgrid",#N/A,FALSE,"OFFGRID";"Region",#N/A,FALSE,"REGION";"Offgrid -2",#N/A,FALSE,"OFFGRID";"WTP",#N/A,FALSE,"WTP";"WTP -2",#N/A,FALSE,"WTP";"Project",#N/A,FALSE,"PROJECT";"Summary -2",#N/A,FALSE,"SUMMARY"}</definedName>
    <definedName name="______a130" localSheetId="5" hidden="1">{"Offgrid",#N/A,FALSE,"OFFGRID";"Region",#N/A,FALSE,"REGION";"Offgrid -2",#N/A,FALSE,"OFFGRID";"WTP",#N/A,FALSE,"WTP";"WTP -2",#N/A,FALSE,"WTP";"Project",#N/A,FALSE,"PROJECT";"Summary -2",#N/A,FALSE,"SUMMARY"}</definedName>
    <definedName name="______a130" localSheetId="6" hidden="1">{"Offgrid",#N/A,FALSE,"OFFGRID";"Region",#N/A,FALSE,"REGION";"Offgrid -2",#N/A,FALSE,"OFFGRID";"WTP",#N/A,FALSE,"WTP";"WTP -2",#N/A,FALSE,"WTP";"Project",#N/A,FALSE,"PROJECT";"Summary -2",#N/A,FALSE,"SUMMARY"}</definedName>
    <definedName name="______a130" localSheetId="7" hidden="1">{"Offgrid",#N/A,FALSE,"OFFGRID";"Region",#N/A,FALSE,"REGION";"Offgrid -2",#N/A,FALSE,"OFFGRID";"WTP",#N/A,FALSE,"WTP";"WTP -2",#N/A,FALSE,"WTP";"Project",#N/A,FALSE,"PROJECT";"Summary -2",#N/A,FALSE,"SUMMARY"}</definedName>
    <definedName name="______a130" localSheetId="8" hidden="1">{"Offgrid",#N/A,FALSE,"OFFGRID";"Region",#N/A,FALSE,"REGION";"Offgrid -2",#N/A,FALSE,"OFFGRID";"WTP",#N/A,FALSE,"WTP";"WTP -2",#N/A,FALSE,"WTP";"Project",#N/A,FALSE,"PROJECT";"Summary -2",#N/A,FALSE,"SUMMARY"}</definedName>
    <definedName name="______a130" hidden="1">{"Offgrid",#N/A,FALSE,"OFFGRID";"Region",#N/A,FALSE,"REGION";"Offgrid -2",#N/A,FALSE,"OFFGRID";"WTP",#N/A,FALSE,"WTP";"WTP -2",#N/A,FALSE,"WTP";"Project",#N/A,FALSE,"PROJECT";"Summary -2",#N/A,FALSE,"SUMMARY"}</definedName>
    <definedName name="______a2" localSheetId="1" hidden="1">{"'Sheet1'!$L$16"}</definedName>
    <definedName name="______a2" localSheetId="2" hidden="1">{"'Sheet1'!$L$16"}</definedName>
    <definedName name="______a2" localSheetId="4" hidden="1">{"'Sheet1'!$L$16"}</definedName>
    <definedName name="______a2" localSheetId="5" hidden="1">{"'Sheet1'!$L$16"}</definedName>
    <definedName name="______a2" localSheetId="6" hidden="1">{"'Sheet1'!$L$16"}</definedName>
    <definedName name="______a2" localSheetId="7" hidden="1">{"'Sheet1'!$L$16"}</definedName>
    <definedName name="______a2" localSheetId="8" hidden="1">{"'Sheet1'!$L$16"}</definedName>
    <definedName name="______a2" hidden="1">{"'Sheet1'!$L$16"}</definedName>
    <definedName name="______A4" localSheetId="1" hidden="1">{"'Sheet1'!$L$16"}</definedName>
    <definedName name="______A4" localSheetId="2" hidden="1">{"'Sheet1'!$L$16"}</definedName>
    <definedName name="______A4" localSheetId="4" hidden="1">{"'Sheet1'!$L$16"}</definedName>
    <definedName name="______A4" localSheetId="5" hidden="1">{"'Sheet1'!$L$16"}</definedName>
    <definedName name="______A4" localSheetId="6" hidden="1">{"'Sheet1'!$L$16"}</definedName>
    <definedName name="______A4" localSheetId="7" hidden="1">{"'Sheet1'!$L$16"}</definedName>
    <definedName name="______A4" localSheetId="8" hidden="1">{"'Sheet1'!$L$16"}</definedName>
    <definedName name="______A4" hidden="1">{"'Sheet1'!$L$16"}</definedName>
    <definedName name="______Goi8" localSheetId="1" hidden="1">{"'Sheet1'!$L$16"}</definedName>
    <definedName name="______Goi8" localSheetId="2" hidden="1">{"'Sheet1'!$L$16"}</definedName>
    <definedName name="______Goi8" localSheetId="4" hidden="1">{"'Sheet1'!$L$16"}</definedName>
    <definedName name="______Goi8" localSheetId="5" hidden="1">{"'Sheet1'!$L$16"}</definedName>
    <definedName name="______Goi8" localSheetId="6" hidden="1">{"'Sheet1'!$L$16"}</definedName>
    <definedName name="______Goi8" localSheetId="7" hidden="1">{"'Sheet1'!$L$16"}</definedName>
    <definedName name="______Goi8" localSheetId="8" hidden="1">{"'Sheet1'!$L$16"}</definedName>
    <definedName name="______Goi8" hidden="1">{"'Sheet1'!$L$16"}</definedName>
    <definedName name="______Lan1" localSheetId="1" hidden="1">{"'Sheet1'!$L$16"}</definedName>
    <definedName name="______Lan1" localSheetId="2" hidden="1">{"'Sheet1'!$L$16"}</definedName>
    <definedName name="______Lan1" localSheetId="4" hidden="1">{"'Sheet1'!$L$16"}</definedName>
    <definedName name="______Lan1" localSheetId="5" hidden="1">{"'Sheet1'!$L$16"}</definedName>
    <definedName name="______Lan1" localSheetId="6" hidden="1">{"'Sheet1'!$L$16"}</definedName>
    <definedName name="______Lan1" localSheetId="7" hidden="1">{"'Sheet1'!$L$16"}</definedName>
    <definedName name="______Lan1" localSheetId="8" hidden="1">{"'Sheet1'!$L$16"}</definedName>
    <definedName name="______Lan1" hidden="1">{"'Sheet1'!$L$16"}</definedName>
    <definedName name="______LAN3" localSheetId="1" hidden="1">{"'Sheet1'!$L$16"}</definedName>
    <definedName name="______LAN3" localSheetId="2" hidden="1">{"'Sheet1'!$L$16"}</definedName>
    <definedName name="______LAN3" localSheetId="4" hidden="1">{"'Sheet1'!$L$16"}</definedName>
    <definedName name="______LAN3" localSheetId="5" hidden="1">{"'Sheet1'!$L$16"}</definedName>
    <definedName name="______LAN3" localSheetId="6" hidden="1">{"'Sheet1'!$L$16"}</definedName>
    <definedName name="______LAN3" localSheetId="7" hidden="1">{"'Sheet1'!$L$16"}</definedName>
    <definedName name="______LAN3" localSheetId="8" hidden="1">{"'Sheet1'!$L$16"}</definedName>
    <definedName name="______LAN3" hidden="1">{"'Sheet1'!$L$16"}</definedName>
    <definedName name="______NSO2" localSheetId="1" hidden="1">{"'Sheet1'!$L$16"}</definedName>
    <definedName name="______NSO2" localSheetId="2" hidden="1">{"'Sheet1'!$L$16"}</definedName>
    <definedName name="______NSO2" localSheetId="4" hidden="1">{"'Sheet1'!$L$16"}</definedName>
    <definedName name="______NSO2" localSheetId="5" hidden="1">{"'Sheet1'!$L$16"}</definedName>
    <definedName name="______NSO2" localSheetId="6" hidden="1">{"'Sheet1'!$L$16"}</definedName>
    <definedName name="______NSO2" localSheetId="7" hidden="1">{"'Sheet1'!$L$16"}</definedName>
    <definedName name="______NSO2" localSheetId="8" hidden="1">{"'Sheet1'!$L$16"}</definedName>
    <definedName name="______NSO2" hidden="1">{"'Sheet1'!$L$16"}</definedName>
    <definedName name="______PA3" localSheetId="1" hidden="1">{"'Sheet1'!$L$16"}</definedName>
    <definedName name="______PA3" localSheetId="2" hidden="1">{"'Sheet1'!$L$16"}</definedName>
    <definedName name="______PA3" localSheetId="4" hidden="1">{"'Sheet1'!$L$16"}</definedName>
    <definedName name="______PA3" localSheetId="5" hidden="1">{"'Sheet1'!$L$16"}</definedName>
    <definedName name="______PA3" localSheetId="6" hidden="1">{"'Sheet1'!$L$16"}</definedName>
    <definedName name="______PA3" localSheetId="7" hidden="1">{"'Sheet1'!$L$16"}</definedName>
    <definedName name="______PA3" localSheetId="8" hidden="1">{"'Sheet1'!$L$16"}</definedName>
    <definedName name="______PA3" hidden="1">{"'Sheet1'!$L$16"}</definedName>
    <definedName name="______SCL4" localSheetId="1" hidden="1">{"'Sheet1'!$L$16"}</definedName>
    <definedName name="______SCL4" localSheetId="2" hidden="1">{"'Sheet1'!$L$16"}</definedName>
    <definedName name="______SCL4" localSheetId="4" hidden="1">{"'Sheet1'!$L$16"}</definedName>
    <definedName name="______SCL4" localSheetId="5" hidden="1">{"'Sheet1'!$L$16"}</definedName>
    <definedName name="______SCL4" localSheetId="6" hidden="1">{"'Sheet1'!$L$16"}</definedName>
    <definedName name="______SCL4" localSheetId="7" hidden="1">{"'Sheet1'!$L$16"}</definedName>
    <definedName name="______SCL4" localSheetId="8" hidden="1">{"'Sheet1'!$L$16"}</definedName>
    <definedName name="______SCL4" hidden="1">{"'Sheet1'!$L$16"}</definedName>
    <definedName name="______TD1" localSheetId="1" hidden="1">{"'Sheet1'!$L$16"}</definedName>
    <definedName name="______TD1" localSheetId="2" hidden="1">{"'Sheet1'!$L$16"}</definedName>
    <definedName name="______TD1" localSheetId="4" hidden="1">{"'Sheet1'!$L$16"}</definedName>
    <definedName name="______TD1" localSheetId="5" hidden="1">{"'Sheet1'!$L$16"}</definedName>
    <definedName name="______TD1" localSheetId="6" hidden="1">{"'Sheet1'!$L$16"}</definedName>
    <definedName name="______TD1" localSheetId="7" hidden="1">{"'Sheet1'!$L$16"}</definedName>
    <definedName name="______TD1" localSheetId="8" hidden="1">{"'Sheet1'!$L$16"}</definedName>
    <definedName name="______TD1" hidden="1">{"'Sheet1'!$L$16"}</definedName>
    <definedName name="______TM2" localSheetId="8" hidden="1">{"'Sheet1'!$L$16"}</definedName>
    <definedName name="______TM2" hidden="1">{"'Sheet1'!$L$16"}</definedName>
    <definedName name="______tt3" localSheetId="1" hidden="1">{"'Sheet1'!$L$16"}</definedName>
    <definedName name="______tt3" localSheetId="2" hidden="1">{"'Sheet1'!$L$16"}</definedName>
    <definedName name="______tt3" localSheetId="4" hidden="1">{"'Sheet1'!$L$16"}</definedName>
    <definedName name="______tt3" localSheetId="5" hidden="1">{"'Sheet1'!$L$16"}</definedName>
    <definedName name="______tt3" localSheetId="6" hidden="1">{"'Sheet1'!$L$16"}</definedName>
    <definedName name="______tt3" localSheetId="7" hidden="1">{"'Sheet1'!$L$16"}</definedName>
    <definedName name="______tt3" localSheetId="8" hidden="1">{"'Sheet1'!$L$16"}</definedName>
    <definedName name="______tt3" hidden="1">{"'Sheet1'!$L$16"}</definedName>
    <definedName name="_____a1" localSheetId="1" hidden="1">{"'Sheet1'!$L$16"}</definedName>
    <definedName name="_____a1" localSheetId="2" hidden="1">{"'Sheet1'!$L$16"}</definedName>
    <definedName name="_____a1" localSheetId="4" hidden="1">{"'Sheet1'!$L$16"}</definedName>
    <definedName name="_____a1" localSheetId="5" hidden="1">{"'Sheet1'!$L$16"}</definedName>
    <definedName name="_____a1" localSheetId="6" hidden="1">{"'Sheet1'!$L$16"}</definedName>
    <definedName name="_____a1" localSheetId="7" hidden="1">{"'Sheet1'!$L$16"}</definedName>
    <definedName name="_____a1" localSheetId="8" hidden="1">{"'Sheet1'!$L$16"}</definedName>
    <definedName name="_____a1" hidden="1">{"'Sheet1'!$L$16"}</definedName>
    <definedName name="____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a129" localSheetId="4" hidden="1">{"Offgrid",#N/A,FALSE,"OFFGRID";"Region",#N/A,FALSE,"REGION";"Offgrid -2",#N/A,FALSE,"OFFGRID";"WTP",#N/A,FALSE,"WTP";"WTP -2",#N/A,FALSE,"WTP";"Project",#N/A,FALSE,"PROJECT";"Summary -2",#N/A,FALSE,"SUMMARY"}</definedName>
    <definedName name="_____a129" localSheetId="5" hidden="1">{"Offgrid",#N/A,FALSE,"OFFGRID";"Region",#N/A,FALSE,"REGION";"Offgrid -2",#N/A,FALSE,"OFFGRID";"WTP",#N/A,FALSE,"WTP";"WTP -2",#N/A,FALSE,"WTP";"Project",#N/A,FALSE,"PROJECT";"Summary -2",#N/A,FALSE,"SUMMARY"}</definedName>
    <definedName name="_____a129" localSheetId="6" hidden="1">{"Offgrid",#N/A,FALSE,"OFFGRID";"Region",#N/A,FALSE,"REGION";"Offgrid -2",#N/A,FALSE,"OFFGRID";"WTP",#N/A,FALSE,"WTP";"WTP -2",#N/A,FALSE,"WTP";"Project",#N/A,FALSE,"PROJECT";"Summary -2",#N/A,FALSE,"SUMMARY"}</definedName>
    <definedName name="_____a129" localSheetId="7" hidden="1">{"Offgrid",#N/A,FALSE,"OFFGRID";"Region",#N/A,FALSE,"REGION";"Offgrid -2",#N/A,FALSE,"OFFGRID";"WTP",#N/A,FALSE,"WTP";"WTP -2",#N/A,FALSE,"WTP";"Project",#N/A,FALSE,"PROJECT";"Summary -2",#N/A,FALSE,"SUMMARY"}</definedName>
    <definedName name="_____a129" localSheetId="8" hidden="1">{"Offgrid",#N/A,FALSE,"OFFGRID";"Region",#N/A,FALSE,"REGION";"Offgrid -2",#N/A,FALSE,"OFFGRID";"WTP",#N/A,FALSE,"WTP";"WTP -2",#N/A,FALSE,"WTP";"Project",#N/A,FALSE,"PROJECT";"Summary -2",#N/A,FALSE,"SUMMARY"}</definedName>
    <definedName name="_____a129" hidden="1">{"Offgrid",#N/A,FALSE,"OFFGRID";"Region",#N/A,FALSE,"REGION";"Offgrid -2",#N/A,FALSE,"OFFGRID";"WTP",#N/A,FALSE,"WTP";"WTP -2",#N/A,FALSE,"WTP";"Project",#N/A,FALSE,"PROJECT";"Summary -2",#N/A,FALSE,"SUMMARY"}</definedName>
    <definedName name="___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a130" localSheetId="4" hidden="1">{"Offgrid",#N/A,FALSE,"OFFGRID";"Region",#N/A,FALSE,"REGION";"Offgrid -2",#N/A,FALSE,"OFFGRID";"WTP",#N/A,FALSE,"WTP";"WTP -2",#N/A,FALSE,"WTP";"Project",#N/A,FALSE,"PROJECT";"Summary -2",#N/A,FALSE,"SUMMARY"}</definedName>
    <definedName name="_____a130" localSheetId="5" hidden="1">{"Offgrid",#N/A,FALSE,"OFFGRID";"Region",#N/A,FALSE,"REGION";"Offgrid -2",#N/A,FALSE,"OFFGRID";"WTP",#N/A,FALSE,"WTP";"WTP -2",#N/A,FALSE,"WTP";"Project",#N/A,FALSE,"PROJECT";"Summary -2",#N/A,FALSE,"SUMMARY"}</definedName>
    <definedName name="_____a130" localSheetId="6" hidden="1">{"Offgrid",#N/A,FALSE,"OFFGRID";"Region",#N/A,FALSE,"REGION";"Offgrid -2",#N/A,FALSE,"OFFGRID";"WTP",#N/A,FALSE,"WTP";"WTP -2",#N/A,FALSE,"WTP";"Project",#N/A,FALSE,"PROJECT";"Summary -2",#N/A,FALSE,"SUMMARY"}</definedName>
    <definedName name="_____a130" localSheetId="7" hidden="1">{"Offgrid",#N/A,FALSE,"OFFGRID";"Region",#N/A,FALSE,"REGION";"Offgrid -2",#N/A,FALSE,"OFFGRID";"WTP",#N/A,FALSE,"WTP";"WTP -2",#N/A,FALSE,"WTP";"Project",#N/A,FALSE,"PROJECT";"Summary -2",#N/A,FALSE,"SUMMARY"}</definedName>
    <definedName name="_____a130" localSheetId="8" hidden="1">{"Offgrid",#N/A,FALSE,"OFFGRID";"Region",#N/A,FALSE,"REGION";"Offgrid -2",#N/A,FALSE,"OFFGRID";"WTP",#N/A,FALSE,"WTP";"WTP -2",#N/A,FALSE,"WTP";"Project",#N/A,FALSE,"PROJECT";"Summary -2",#N/A,FALSE,"SUMMARY"}</definedName>
    <definedName name="_____a130" hidden="1">{"Offgrid",#N/A,FALSE,"OFFGRID";"Region",#N/A,FALSE,"REGION";"Offgrid -2",#N/A,FALSE,"OFFGRID";"WTP",#N/A,FALSE,"WTP";"WTP -2",#N/A,FALSE,"WTP";"Project",#N/A,FALSE,"PROJECT";"Summary -2",#N/A,FALSE,"SUMMARY"}</definedName>
    <definedName name="_____a2" localSheetId="1" hidden="1">{"'Sheet1'!$L$16"}</definedName>
    <definedName name="_____a2" localSheetId="2" hidden="1">{"'Sheet1'!$L$16"}</definedName>
    <definedName name="_____a2" localSheetId="4" hidden="1">{"'Sheet1'!$L$16"}</definedName>
    <definedName name="_____a2" localSheetId="5" hidden="1">{"'Sheet1'!$L$16"}</definedName>
    <definedName name="_____a2" localSheetId="6" hidden="1">{"'Sheet1'!$L$16"}</definedName>
    <definedName name="_____a2" localSheetId="7" hidden="1">{"'Sheet1'!$L$16"}</definedName>
    <definedName name="_____a2" localSheetId="8" hidden="1">{"'Sheet1'!$L$16"}</definedName>
    <definedName name="_____a2" hidden="1">{"'Sheet1'!$L$16"}</definedName>
    <definedName name="_____A4" localSheetId="1" hidden="1">{"'Sheet1'!$L$16"}</definedName>
    <definedName name="_____A4" localSheetId="2" hidden="1">{"'Sheet1'!$L$16"}</definedName>
    <definedName name="_____A4" localSheetId="4" hidden="1">{"'Sheet1'!$L$16"}</definedName>
    <definedName name="_____A4" localSheetId="5" hidden="1">{"'Sheet1'!$L$16"}</definedName>
    <definedName name="_____A4" localSheetId="6" hidden="1">{"'Sheet1'!$L$16"}</definedName>
    <definedName name="_____A4" localSheetId="7" hidden="1">{"'Sheet1'!$L$16"}</definedName>
    <definedName name="_____A4" localSheetId="8" hidden="1">{"'Sheet1'!$L$16"}</definedName>
    <definedName name="_____A4" hidden="1">{"'Sheet1'!$L$16"}</definedName>
    <definedName name="_____A65700" localSheetId="8">#REF!</definedName>
    <definedName name="_____A65700">#REF!</definedName>
    <definedName name="_____A65800" localSheetId="8">#REF!</definedName>
    <definedName name="_____A65800">#REF!</definedName>
    <definedName name="_____A67000" localSheetId="8">#REF!</definedName>
    <definedName name="_____A67000">#REF!</definedName>
    <definedName name="_____A68000" localSheetId="8">#REF!</definedName>
    <definedName name="_____A68000">#REF!</definedName>
    <definedName name="_____A70000" localSheetId="8">#REF!</definedName>
    <definedName name="_____A70000">#REF!</definedName>
    <definedName name="_____A75000" localSheetId="8">#REF!</definedName>
    <definedName name="_____A75000">#REF!</definedName>
    <definedName name="_____A85000" localSheetId="8">#REF!</definedName>
    <definedName name="_____A85000">#REF!</definedName>
    <definedName name="_____abb91" localSheetId="8">#REF!</definedName>
    <definedName name="_____abb91">#REF!</definedName>
    <definedName name="_____atn1" localSheetId="8">#REF!</definedName>
    <definedName name="_____atn1">#REF!</definedName>
    <definedName name="_____atn10" localSheetId="8">#REF!</definedName>
    <definedName name="_____atn10">#REF!</definedName>
    <definedName name="_____atn2" localSheetId="8">#REF!</definedName>
    <definedName name="_____atn2">#REF!</definedName>
    <definedName name="_____atn3" localSheetId="8">#REF!</definedName>
    <definedName name="_____atn3">#REF!</definedName>
    <definedName name="_____atn4" localSheetId="8">#REF!</definedName>
    <definedName name="_____atn4">#REF!</definedName>
    <definedName name="_____atn5" localSheetId="8">#REF!</definedName>
    <definedName name="_____atn5">#REF!</definedName>
    <definedName name="_____atn6" localSheetId="8">#REF!</definedName>
    <definedName name="_____atn6">#REF!</definedName>
    <definedName name="_____atn7" localSheetId="8">#REF!</definedName>
    <definedName name="_____atn7">#REF!</definedName>
    <definedName name="_____atn8" localSheetId="8">#REF!</definedName>
    <definedName name="_____atn8">#REF!</definedName>
    <definedName name="_____atn9" localSheetId="8">#REF!</definedName>
    <definedName name="_____atn9">#REF!</definedName>
    <definedName name="_____Cau2" localSheetId="8">#REF!</definedName>
    <definedName name="_____Cau2">#REF!</definedName>
    <definedName name="_____CON1" localSheetId="8">#REF!</definedName>
    <definedName name="_____CON1">#REF!</definedName>
    <definedName name="_____CON2" localSheetId="8">#REF!</definedName>
    <definedName name="_____CON2">#REF!</definedName>
    <definedName name="_____cpd1" localSheetId="8">#REF!</definedName>
    <definedName name="_____cpd1">#REF!</definedName>
    <definedName name="_____cpd2" localSheetId="8">#REF!</definedName>
    <definedName name="_____cpd2">#REF!</definedName>
    <definedName name="_____d1500" localSheetId="1" hidden="1">{"'Sheet1'!$L$16"}</definedName>
    <definedName name="_____d1500" localSheetId="2" hidden="1">{"'Sheet1'!$L$16"}</definedName>
    <definedName name="_____d1500" localSheetId="4" hidden="1">{"'Sheet1'!$L$16"}</definedName>
    <definedName name="_____d1500" localSheetId="5" hidden="1">{"'Sheet1'!$L$16"}</definedName>
    <definedName name="_____d1500" localSheetId="6" hidden="1">{"'Sheet1'!$L$16"}</definedName>
    <definedName name="_____d1500" localSheetId="7" hidden="1">{"'Sheet1'!$L$16"}</definedName>
    <definedName name="_____d1500" localSheetId="8" hidden="1">{"'Sheet1'!$L$16"}</definedName>
    <definedName name="_____d1500" hidden="1">{"'Sheet1'!$L$16"}</definedName>
    <definedName name="_____deo1" localSheetId="8">#REF!</definedName>
    <definedName name="_____deo1">#REF!</definedName>
    <definedName name="_____deo10" localSheetId="8">#REF!</definedName>
    <definedName name="_____deo10">#REF!</definedName>
    <definedName name="_____deo2" localSheetId="8">#REF!</definedName>
    <definedName name="_____deo2">#REF!</definedName>
    <definedName name="_____deo3" localSheetId="8">#REF!</definedName>
    <definedName name="_____deo3">#REF!</definedName>
    <definedName name="_____deo4" localSheetId="8">#REF!</definedName>
    <definedName name="_____deo4">#REF!</definedName>
    <definedName name="_____deo5" localSheetId="8">#REF!</definedName>
    <definedName name="_____deo5">#REF!</definedName>
    <definedName name="_____deo6" localSheetId="8">#REF!</definedName>
    <definedName name="_____deo6">#REF!</definedName>
    <definedName name="_____deo7" localSheetId="8">#REF!</definedName>
    <definedName name="_____deo7">#REF!</definedName>
    <definedName name="_____deo8" localSheetId="8">#REF!</definedName>
    <definedName name="_____deo8">#REF!</definedName>
    <definedName name="_____deo9" localSheetId="8">#REF!</definedName>
    <definedName name="_____deo9">#REF!</definedName>
    <definedName name="_____E1200" localSheetId="1" hidden="1">{"'Sheet1'!$L$16"}</definedName>
    <definedName name="_____E1200" localSheetId="2" hidden="1">{"'Sheet1'!$L$16"}</definedName>
    <definedName name="_____E1200" localSheetId="4" hidden="1">{"'Sheet1'!$L$16"}</definedName>
    <definedName name="_____E1200" localSheetId="5" hidden="1">{"'Sheet1'!$L$16"}</definedName>
    <definedName name="_____E1200" localSheetId="6" hidden="1">{"'Sheet1'!$L$16"}</definedName>
    <definedName name="_____E1200" localSheetId="7" hidden="1">{"'Sheet1'!$L$16"}</definedName>
    <definedName name="_____E1200" localSheetId="8" hidden="1">{"'Sheet1'!$L$16"}</definedName>
    <definedName name="_____E1200" hidden="1">{"'Sheet1'!$L$16"}</definedName>
    <definedName name="_____Goi8" localSheetId="1" hidden="1">{"'Sheet1'!$L$16"}</definedName>
    <definedName name="_____Goi8" localSheetId="2" hidden="1">{"'Sheet1'!$L$16"}</definedName>
    <definedName name="_____Goi8" localSheetId="4" hidden="1">{"'Sheet1'!$L$16"}</definedName>
    <definedName name="_____Goi8" localSheetId="5" hidden="1">{"'Sheet1'!$L$16"}</definedName>
    <definedName name="_____Goi8" localSheetId="6" hidden="1">{"'Sheet1'!$L$16"}</definedName>
    <definedName name="_____Goi8" localSheetId="7" hidden="1">{"'Sheet1'!$L$16"}</definedName>
    <definedName name="_____Goi8" localSheetId="8" hidden="1">{"'Sheet1'!$L$16"}</definedName>
    <definedName name="_____Goi8" hidden="1">{"'Sheet1'!$L$16"}</definedName>
    <definedName name="_____huy1" localSheetId="1" hidden="1">{"'Sheet1'!$L$16"}</definedName>
    <definedName name="_____huy1" localSheetId="2" hidden="1">{"'Sheet1'!$L$16"}</definedName>
    <definedName name="_____huy1" localSheetId="4" hidden="1">{"'Sheet1'!$L$16"}</definedName>
    <definedName name="_____huy1" localSheetId="5" hidden="1">{"'Sheet1'!$L$16"}</definedName>
    <definedName name="_____huy1" localSheetId="6" hidden="1">{"'Sheet1'!$L$16"}</definedName>
    <definedName name="_____huy1" localSheetId="7" hidden="1">{"'Sheet1'!$L$16"}</definedName>
    <definedName name="_____huy1" localSheetId="8" hidden="1">{"'Sheet1'!$L$16"}</definedName>
    <definedName name="_____huy1" hidden="1">{"'Sheet1'!$L$16"}</definedName>
    <definedName name="_____khu7" localSheetId="8">#REF!</definedName>
    <definedName name="_____khu7">#REF!</definedName>
    <definedName name="_____Lan1" localSheetId="1" hidden="1">{"'Sheet1'!$L$16"}</definedName>
    <definedName name="_____Lan1" localSheetId="2" hidden="1">{"'Sheet1'!$L$16"}</definedName>
    <definedName name="_____Lan1" localSheetId="4" hidden="1">{"'Sheet1'!$L$16"}</definedName>
    <definedName name="_____Lan1" localSheetId="5" hidden="1">{"'Sheet1'!$L$16"}</definedName>
    <definedName name="_____Lan1" localSheetId="6" hidden="1">{"'Sheet1'!$L$16"}</definedName>
    <definedName name="_____Lan1" localSheetId="7" hidden="1">{"'Sheet1'!$L$16"}</definedName>
    <definedName name="_____Lan1" localSheetId="8" hidden="1">{"'Sheet1'!$L$16"}</definedName>
    <definedName name="_____Lan1" hidden="1">{"'Sheet1'!$L$16"}</definedName>
    <definedName name="_____LAN3" localSheetId="1" hidden="1">{"'Sheet1'!$L$16"}</definedName>
    <definedName name="_____LAN3" localSheetId="2" hidden="1">{"'Sheet1'!$L$16"}</definedName>
    <definedName name="_____LAN3" localSheetId="4" hidden="1">{"'Sheet1'!$L$16"}</definedName>
    <definedName name="_____LAN3" localSheetId="5" hidden="1">{"'Sheet1'!$L$16"}</definedName>
    <definedName name="_____LAN3" localSheetId="6" hidden="1">{"'Sheet1'!$L$16"}</definedName>
    <definedName name="_____LAN3" localSheetId="7" hidden="1">{"'Sheet1'!$L$16"}</definedName>
    <definedName name="_____LAN3" localSheetId="8" hidden="1">{"'Sheet1'!$L$16"}</definedName>
    <definedName name="_____LAN3" hidden="1">{"'Sheet1'!$L$16"}</definedName>
    <definedName name="_____m1233" localSheetId="1" hidden="1">{"'Sheet1'!$L$16"}</definedName>
    <definedName name="_____m1233" localSheetId="2" hidden="1">{"'Sheet1'!$L$16"}</definedName>
    <definedName name="_____m1233" localSheetId="4" hidden="1">{"'Sheet1'!$L$16"}</definedName>
    <definedName name="_____m1233" localSheetId="5" hidden="1">{"'Sheet1'!$L$16"}</definedName>
    <definedName name="_____m1233" localSheetId="6" hidden="1">{"'Sheet1'!$L$16"}</definedName>
    <definedName name="_____m1233" localSheetId="7" hidden="1">{"'Sheet1'!$L$16"}</definedName>
    <definedName name="_____m1233" localSheetId="8" hidden="1">{"'Sheet1'!$L$16"}</definedName>
    <definedName name="_____m1233" hidden="1">{"'Sheet1'!$L$16"}</definedName>
    <definedName name="_____MB1" localSheetId="8">#REF!</definedName>
    <definedName name="_____MB1">#REF!</definedName>
    <definedName name="_____MB2" localSheetId="8">#REF!</definedName>
    <definedName name="_____MB2">#REF!</definedName>
    <definedName name="_____MN1" localSheetId="8">#REF!</definedName>
    <definedName name="_____MN1">#REF!</definedName>
    <definedName name="_____MN2" localSheetId="8">#REF!</definedName>
    <definedName name="_____MN2">#REF!</definedName>
    <definedName name="_____MT1" localSheetId="8">#REF!</definedName>
    <definedName name="_____MT1">#REF!</definedName>
    <definedName name="_____MT2" localSheetId="8">#REF!</definedName>
    <definedName name="_____MT2">#REF!</definedName>
    <definedName name="_____nc151" localSheetId="8">#REF!</definedName>
    <definedName name="_____nc151">#REF!</definedName>
    <definedName name="_____NET2" localSheetId="8">#REF!</definedName>
    <definedName name="_____NET2">#REF!</definedName>
    <definedName name="_____NSO2" localSheetId="1" hidden="1">{"'Sheet1'!$L$16"}</definedName>
    <definedName name="_____NSO2" localSheetId="2" hidden="1">{"'Sheet1'!$L$16"}</definedName>
    <definedName name="_____NSO2" localSheetId="4" hidden="1">{"'Sheet1'!$L$16"}</definedName>
    <definedName name="_____NSO2" localSheetId="5" hidden="1">{"'Sheet1'!$L$16"}</definedName>
    <definedName name="_____NSO2" localSheetId="6" hidden="1">{"'Sheet1'!$L$16"}</definedName>
    <definedName name="_____NSO2" localSheetId="7" hidden="1">{"'Sheet1'!$L$16"}</definedName>
    <definedName name="_____NSO2" localSheetId="8" hidden="1">{"'Sheet1'!$L$16"}</definedName>
    <definedName name="_____NSO2" hidden="1">{"'Sheet1'!$L$16"}</definedName>
    <definedName name="_____oto10" localSheetId="8">#REF!</definedName>
    <definedName name="_____oto10">#REF!</definedName>
    <definedName name="_____PA3" localSheetId="1" hidden="1">{"'Sheet1'!$L$16"}</definedName>
    <definedName name="_____PA3" localSheetId="2" hidden="1">{"'Sheet1'!$L$16"}</definedName>
    <definedName name="_____PA3" localSheetId="4" hidden="1">{"'Sheet1'!$L$16"}</definedName>
    <definedName name="_____PA3" localSheetId="5" hidden="1">{"'Sheet1'!$L$16"}</definedName>
    <definedName name="_____PA3" localSheetId="6" hidden="1">{"'Sheet1'!$L$16"}</definedName>
    <definedName name="_____PA3" localSheetId="7" hidden="1">{"'Sheet1'!$L$16"}</definedName>
    <definedName name="_____PA3" localSheetId="8" hidden="1">{"'Sheet1'!$L$16"}</definedName>
    <definedName name="_____PA3" hidden="1">{"'Sheet1'!$L$16"}</definedName>
    <definedName name="_____Piv1" localSheetId="8">#REF!,#REF!</definedName>
    <definedName name="_____Piv1">#REF!,#REF!</definedName>
    <definedName name="_____Piv2" localSheetId="8">#REF!,#REF!</definedName>
    <definedName name="_____Piv2">#REF!,#REF!</definedName>
    <definedName name="_____SCL4" localSheetId="1" hidden="1">{"'Sheet1'!$L$16"}</definedName>
    <definedName name="_____SCL4" localSheetId="2" hidden="1">{"'Sheet1'!$L$16"}</definedName>
    <definedName name="_____SCL4" localSheetId="4" hidden="1">{"'Sheet1'!$L$16"}</definedName>
    <definedName name="_____SCL4" localSheetId="5" hidden="1">{"'Sheet1'!$L$16"}</definedName>
    <definedName name="_____SCL4" localSheetId="6" hidden="1">{"'Sheet1'!$L$16"}</definedName>
    <definedName name="_____SCL4" localSheetId="7" hidden="1">{"'Sheet1'!$L$16"}</definedName>
    <definedName name="_____SCL4" localSheetId="8" hidden="1">{"'Sheet1'!$L$16"}</definedName>
    <definedName name="_____SCL4" hidden="1">{"'Sheet1'!$L$16"}</definedName>
    <definedName name="_____SPL4">#REF!</definedName>
    <definedName name="_____tct3">#REF!</definedName>
    <definedName name="_____tct5" localSheetId="8">#REF!</definedName>
    <definedName name="_____tct5">#REF!</definedName>
    <definedName name="_____TD1" localSheetId="1" hidden="1">{"'Sheet1'!$L$16"}</definedName>
    <definedName name="_____TD1" localSheetId="2" hidden="1">{"'Sheet1'!$L$16"}</definedName>
    <definedName name="_____TD1" localSheetId="4" hidden="1">{"'Sheet1'!$L$16"}</definedName>
    <definedName name="_____TD1" localSheetId="5" hidden="1">{"'Sheet1'!$L$16"}</definedName>
    <definedName name="_____TD1" localSheetId="6" hidden="1">{"'Sheet1'!$L$16"}</definedName>
    <definedName name="_____TD1" localSheetId="7" hidden="1">{"'Sheet1'!$L$16"}</definedName>
    <definedName name="_____TD1" localSheetId="8" hidden="1">{"'Sheet1'!$L$16"}</definedName>
    <definedName name="_____TD1" hidden="1">{"'Sheet1'!$L$16"}</definedName>
    <definedName name="_____tg427" localSheetId="8">#REF!</definedName>
    <definedName name="_____tg427">#REF!</definedName>
    <definedName name="_____TH20" localSheetId="8">#REF!</definedName>
    <definedName name="_____TH20">#REF!</definedName>
    <definedName name="_____TK1">#REF!</definedName>
    <definedName name="_____TM2" localSheetId="1" hidden="1">{"'Sheet1'!$L$16"}</definedName>
    <definedName name="_____TM2" localSheetId="2" hidden="1">{"'Sheet1'!$L$16"}</definedName>
    <definedName name="_____TM2" localSheetId="4" hidden="1">{"'Sheet1'!$L$16"}</definedName>
    <definedName name="_____TM2" localSheetId="5" hidden="1">{"'Sheet1'!$L$16"}</definedName>
    <definedName name="_____TM2" localSheetId="6" hidden="1">{"'Sheet1'!$L$16"}</definedName>
    <definedName name="_____TM2" localSheetId="7" hidden="1">{"'Sheet1'!$L$16"}</definedName>
    <definedName name="_____TM2" localSheetId="8" hidden="1">{"'Sheet1'!$L$16"}</definedName>
    <definedName name="_____TM2" hidden="1">{"'Sheet1'!$L$16"}</definedName>
    <definedName name="_____tt3" localSheetId="1" hidden="1">{"'Sheet1'!$L$16"}</definedName>
    <definedName name="_____tt3" localSheetId="2" hidden="1">{"'Sheet1'!$L$16"}</definedName>
    <definedName name="_____tt3" localSheetId="4" hidden="1">{"'Sheet1'!$L$16"}</definedName>
    <definedName name="_____tt3" localSheetId="5" hidden="1">{"'Sheet1'!$L$16"}</definedName>
    <definedName name="_____tt3" localSheetId="6" hidden="1">{"'Sheet1'!$L$16"}</definedName>
    <definedName name="_____tt3" localSheetId="7" hidden="1">{"'Sheet1'!$L$16"}</definedName>
    <definedName name="_____tt3" localSheetId="8" hidden="1">{"'Sheet1'!$L$16"}</definedName>
    <definedName name="_____tt3" hidden="1">{"'Sheet1'!$L$16"}</definedName>
    <definedName name="_____UT2" localSheetId="8">#REF!</definedName>
    <definedName name="_____UT2">#REF!</definedName>
    <definedName name="____a1" localSheetId="1" hidden="1">{"'Sheet1'!$L$16"}</definedName>
    <definedName name="____a1" localSheetId="2" hidden="1">{"'Sheet1'!$L$16"}</definedName>
    <definedName name="____a1" localSheetId="4" hidden="1">{"'Sheet1'!$L$16"}</definedName>
    <definedName name="____a1" localSheetId="5" hidden="1">{"'Sheet1'!$L$16"}</definedName>
    <definedName name="____a1" localSheetId="6" hidden="1">{"'Sheet1'!$L$16"}</definedName>
    <definedName name="____a1" localSheetId="7" hidden="1">{"'Sheet1'!$L$16"}</definedName>
    <definedName name="____a1" localSheetId="8" hidden="1">{"'Sheet1'!$L$16"}</definedName>
    <definedName name="____a1" hidden="1">{"'Sheet1'!$L$16"}</definedName>
    <definedName name="____a12" localSheetId="1" hidden="1">{"'Sheet1'!$L$16"}</definedName>
    <definedName name="____a12" localSheetId="2" hidden="1">{"'Sheet1'!$L$16"}</definedName>
    <definedName name="____a12" localSheetId="8" hidden="1">{"'Sheet1'!$L$16"}</definedName>
    <definedName name="____a12" hidden="1">{"'Sheet1'!$L$16"}</definedName>
    <definedName name="___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a129" localSheetId="4" hidden="1">{"Offgrid",#N/A,FALSE,"OFFGRID";"Region",#N/A,FALSE,"REGION";"Offgrid -2",#N/A,FALSE,"OFFGRID";"WTP",#N/A,FALSE,"WTP";"WTP -2",#N/A,FALSE,"WTP";"Project",#N/A,FALSE,"PROJECT";"Summary -2",#N/A,FALSE,"SUMMARY"}</definedName>
    <definedName name="____a129" localSheetId="5" hidden="1">{"Offgrid",#N/A,FALSE,"OFFGRID";"Region",#N/A,FALSE,"REGION";"Offgrid -2",#N/A,FALSE,"OFFGRID";"WTP",#N/A,FALSE,"WTP";"WTP -2",#N/A,FALSE,"WTP";"Project",#N/A,FALSE,"PROJECT";"Summary -2",#N/A,FALSE,"SUMMARY"}</definedName>
    <definedName name="____a129" localSheetId="6" hidden="1">{"Offgrid",#N/A,FALSE,"OFFGRID";"Region",#N/A,FALSE,"REGION";"Offgrid -2",#N/A,FALSE,"OFFGRID";"WTP",#N/A,FALSE,"WTP";"WTP -2",#N/A,FALSE,"WTP";"Project",#N/A,FALSE,"PROJECT";"Summary -2",#N/A,FALSE,"SUMMARY"}</definedName>
    <definedName name="____a129" localSheetId="7" hidden="1">{"Offgrid",#N/A,FALSE,"OFFGRID";"Region",#N/A,FALSE,"REGION";"Offgrid -2",#N/A,FALSE,"OFFGRID";"WTP",#N/A,FALSE,"WTP";"WTP -2",#N/A,FALSE,"WTP";"Project",#N/A,FALSE,"PROJECT";"Summary -2",#N/A,FALSE,"SUMMARY"}</definedName>
    <definedName name="____a129" localSheetId="8" hidden="1">{"Offgrid",#N/A,FALSE,"OFFGRID";"Region",#N/A,FALSE,"REGION";"Offgrid -2",#N/A,FALSE,"OFFGRID";"WTP",#N/A,FALSE,"WTP";"WTP -2",#N/A,FALSE,"WTP";"Project",#N/A,FALSE,"PROJECT";"Summary -2",#N/A,FALSE,"SUMMARY"}</definedName>
    <definedName name="____a129" hidden="1">{"Offgrid",#N/A,FALSE,"OFFGRID";"Region",#N/A,FALSE,"REGION";"Offgrid -2",#N/A,FALSE,"OFFGRID";"WTP",#N/A,FALSE,"WTP";"WTP -2",#N/A,FALSE,"WTP";"Project",#N/A,FALSE,"PROJECT";"Summary -2",#N/A,FALSE,"SUMMARY"}</definedName>
    <definedName name="____a13" localSheetId="1" hidden="1">{"'Sheet1'!$L$16"}</definedName>
    <definedName name="____a13" localSheetId="2" hidden="1">{"'Sheet1'!$L$16"}</definedName>
    <definedName name="____a13" localSheetId="8" hidden="1">{"'Sheet1'!$L$16"}</definedName>
    <definedName name="____a13" hidden="1">{"'Sheet1'!$L$16"}</definedName>
    <definedName name="__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a130" localSheetId="4" hidden="1">{"Offgrid",#N/A,FALSE,"OFFGRID";"Region",#N/A,FALSE,"REGION";"Offgrid -2",#N/A,FALSE,"OFFGRID";"WTP",#N/A,FALSE,"WTP";"WTP -2",#N/A,FALSE,"WTP";"Project",#N/A,FALSE,"PROJECT";"Summary -2",#N/A,FALSE,"SUMMARY"}</definedName>
    <definedName name="____a130" localSheetId="5" hidden="1">{"Offgrid",#N/A,FALSE,"OFFGRID";"Region",#N/A,FALSE,"REGION";"Offgrid -2",#N/A,FALSE,"OFFGRID";"WTP",#N/A,FALSE,"WTP";"WTP -2",#N/A,FALSE,"WTP";"Project",#N/A,FALSE,"PROJECT";"Summary -2",#N/A,FALSE,"SUMMARY"}</definedName>
    <definedName name="____a130" localSheetId="6" hidden="1">{"Offgrid",#N/A,FALSE,"OFFGRID";"Region",#N/A,FALSE,"REGION";"Offgrid -2",#N/A,FALSE,"OFFGRID";"WTP",#N/A,FALSE,"WTP";"WTP -2",#N/A,FALSE,"WTP";"Project",#N/A,FALSE,"PROJECT";"Summary -2",#N/A,FALSE,"SUMMARY"}</definedName>
    <definedName name="____a130" localSheetId="7" hidden="1">{"Offgrid",#N/A,FALSE,"OFFGRID";"Region",#N/A,FALSE,"REGION";"Offgrid -2",#N/A,FALSE,"OFFGRID";"WTP",#N/A,FALSE,"WTP";"WTP -2",#N/A,FALSE,"WTP";"Project",#N/A,FALSE,"PROJECT";"Summary -2",#N/A,FALSE,"SUMMARY"}</definedName>
    <definedName name="____a130" localSheetId="8" hidden="1">{"Offgrid",#N/A,FALSE,"OFFGRID";"Region",#N/A,FALSE,"REGION";"Offgrid -2",#N/A,FALSE,"OFFGRID";"WTP",#N/A,FALSE,"WTP";"WTP -2",#N/A,FALSE,"WTP";"Project",#N/A,FALSE,"PROJECT";"Summary -2",#N/A,FALSE,"SUMMARY"}</definedName>
    <definedName name="____a130" hidden="1">{"Offgrid",#N/A,FALSE,"OFFGRID";"Region",#N/A,FALSE,"REGION";"Offgrid -2",#N/A,FALSE,"OFFGRID";"WTP",#N/A,FALSE,"WTP";"WTP -2",#N/A,FALSE,"WTP";"Project",#N/A,FALSE,"PROJECT";"Summary -2",#N/A,FALSE,"SUMMARY"}</definedName>
    <definedName name="____a14" localSheetId="1" hidden="1">{"'Sheet1'!$L$16"}</definedName>
    <definedName name="____a14" localSheetId="2" hidden="1">{"'Sheet1'!$L$16"}</definedName>
    <definedName name="____a14" localSheetId="8" hidden="1">{"'Sheet1'!$L$16"}</definedName>
    <definedName name="____a14" hidden="1">{"'Sheet1'!$L$16"}</definedName>
    <definedName name="____a15" localSheetId="1" hidden="1">{"'Sheet1'!$L$16"}</definedName>
    <definedName name="____a15" localSheetId="2" hidden="1">{"'Sheet1'!$L$16"}</definedName>
    <definedName name="____a15" localSheetId="8" hidden="1">{"'Sheet1'!$L$16"}</definedName>
    <definedName name="____a15" hidden="1">{"'Sheet1'!$L$16"}</definedName>
    <definedName name="____a16" localSheetId="1" hidden="1">{#N/A,#N/A,FALSE,"Chi tiÆt"}</definedName>
    <definedName name="____a16" localSheetId="2" hidden="1">{#N/A,#N/A,FALSE,"Chi tiÆt"}</definedName>
    <definedName name="____a16" localSheetId="8" hidden="1">{#N/A,#N/A,FALSE,"Chi tiÆt"}</definedName>
    <definedName name="____a16" hidden="1">{#N/A,#N/A,FALSE,"Chi tiÆt"}</definedName>
    <definedName name="____a2" localSheetId="1" hidden="1">{"'Sheet1'!$L$16"}</definedName>
    <definedName name="____a2" localSheetId="2" hidden="1">{"'Sheet1'!$L$16"}</definedName>
    <definedName name="____a2" localSheetId="4" hidden="1">{"'Sheet1'!$L$16"}</definedName>
    <definedName name="____a2" localSheetId="5" hidden="1">{"'Sheet1'!$L$16"}</definedName>
    <definedName name="____a2" localSheetId="6" hidden="1">{"'Sheet1'!$L$16"}</definedName>
    <definedName name="____a2" localSheetId="7" hidden="1">{"'Sheet1'!$L$16"}</definedName>
    <definedName name="____a2" localSheetId="8" hidden="1">{"'Sheet1'!$L$16"}</definedName>
    <definedName name="____a2" hidden="1">{"'Sheet1'!$L$16"}</definedName>
    <definedName name="____a3" localSheetId="1" hidden="1">{"'Sheet1'!$L$16"}</definedName>
    <definedName name="____a3" localSheetId="2" hidden="1">{"'Sheet1'!$L$16"}</definedName>
    <definedName name="____a3" localSheetId="8" hidden="1">{"'Sheet1'!$L$16"}</definedName>
    <definedName name="____a3" hidden="1">{"'Sheet1'!$L$16"}</definedName>
    <definedName name="____A4" localSheetId="1" hidden="1">{"'Sheet1'!$L$16"}</definedName>
    <definedName name="____A4" localSheetId="2" hidden="1">{"'Sheet1'!$L$16"}</definedName>
    <definedName name="____A4" localSheetId="4" hidden="1">{"'Sheet1'!$L$16"}</definedName>
    <definedName name="____A4" localSheetId="5" hidden="1">{"'Sheet1'!$L$16"}</definedName>
    <definedName name="____A4" localSheetId="6" hidden="1">{"'Sheet1'!$L$16"}</definedName>
    <definedName name="____A4" localSheetId="7" hidden="1">{"'Sheet1'!$L$16"}</definedName>
    <definedName name="____A4" localSheetId="8" hidden="1">{"'Sheet1'!$L$16"}</definedName>
    <definedName name="____A4" hidden="1">{"'Sheet1'!$L$16"}</definedName>
    <definedName name="____a5" localSheetId="1" hidden="1">{#N/A,#N/A,FALSE,"Chi tiÆt"}</definedName>
    <definedName name="____a5" localSheetId="2" hidden="1">{#N/A,#N/A,FALSE,"Chi tiÆt"}</definedName>
    <definedName name="____a5" localSheetId="8" hidden="1">{#N/A,#N/A,FALSE,"Chi tiÆt"}</definedName>
    <definedName name="____a5" hidden="1">{#N/A,#N/A,FALSE,"Chi tiÆt"}</definedName>
    <definedName name="____A65700" localSheetId="8">#REF!</definedName>
    <definedName name="____A65700">#REF!</definedName>
    <definedName name="____A65800" localSheetId="8">#REF!</definedName>
    <definedName name="____A65800">#REF!</definedName>
    <definedName name="____A66000" localSheetId="8">#REF!</definedName>
    <definedName name="____A66000">#REF!</definedName>
    <definedName name="____A67000" localSheetId="8">#REF!</definedName>
    <definedName name="____A67000">#REF!</definedName>
    <definedName name="____A68000" localSheetId="8">#REF!</definedName>
    <definedName name="____A68000">#REF!</definedName>
    <definedName name="____A70000" localSheetId="8">#REF!</definedName>
    <definedName name="____A70000">#REF!</definedName>
    <definedName name="____A75000" localSheetId="8">#REF!</definedName>
    <definedName name="____A75000">#REF!</definedName>
    <definedName name="____A85000" localSheetId="8">#REF!</definedName>
    <definedName name="____A85000">#REF!</definedName>
    <definedName name="____abb91" localSheetId="8">#REF!</definedName>
    <definedName name="____abb91">#REF!</definedName>
    <definedName name="____atn1" localSheetId="8">#REF!</definedName>
    <definedName name="____atn1">#REF!</definedName>
    <definedName name="____atn10" localSheetId="8">#REF!</definedName>
    <definedName name="____atn10">#REF!</definedName>
    <definedName name="____atn2" localSheetId="8">#REF!</definedName>
    <definedName name="____atn2">#REF!</definedName>
    <definedName name="____atn3" localSheetId="8">#REF!</definedName>
    <definedName name="____atn3">#REF!</definedName>
    <definedName name="____atn4" localSheetId="8">#REF!</definedName>
    <definedName name="____atn4">#REF!</definedName>
    <definedName name="____atn5" localSheetId="8">#REF!</definedName>
    <definedName name="____atn5">#REF!</definedName>
    <definedName name="____atn6" localSheetId="8">#REF!</definedName>
    <definedName name="____atn6">#REF!</definedName>
    <definedName name="____atn7" localSheetId="8">#REF!</definedName>
    <definedName name="____atn7">#REF!</definedName>
    <definedName name="____atn8" localSheetId="8">#REF!</definedName>
    <definedName name="____atn8">#REF!</definedName>
    <definedName name="____atn9" localSheetId="8">#REF!</definedName>
    <definedName name="____atn9">#REF!</definedName>
    <definedName name="____Cau2" localSheetId="8">#REF!</definedName>
    <definedName name="____Cau2">#REF!</definedName>
    <definedName name="____CON1" localSheetId="8">#REF!</definedName>
    <definedName name="____CON1">#REF!</definedName>
    <definedName name="____CON2" localSheetId="8">#REF!</definedName>
    <definedName name="____CON2">#REF!</definedName>
    <definedName name="____cpd1" localSheetId="8">#REF!</definedName>
    <definedName name="____cpd1">#REF!</definedName>
    <definedName name="____cpd2" localSheetId="8">#REF!</definedName>
    <definedName name="____cpd2">#REF!</definedName>
    <definedName name="____CT4" localSheetId="1" hidden="1">{"'Sheet1'!$L$16"}</definedName>
    <definedName name="____CT4" localSheetId="2" hidden="1">{"'Sheet1'!$L$16"}</definedName>
    <definedName name="____CT4" localSheetId="8" hidden="1">{"'Sheet1'!$L$16"}</definedName>
    <definedName name="____CT4" hidden="1">{"'Sheet1'!$L$16"}</definedName>
    <definedName name="____d1500" localSheetId="1" hidden="1">{"'Sheet1'!$L$16"}</definedName>
    <definedName name="____d1500" localSheetId="2" hidden="1">{"'Sheet1'!$L$16"}</definedName>
    <definedName name="____d1500" localSheetId="4" hidden="1">{"'Sheet1'!$L$16"}</definedName>
    <definedName name="____d1500" localSheetId="5" hidden="1">{"'Sheet1'!$L$16"}</definedName>
    <definedName name="____d1500" localSheetId="6" hidden="1">{"'Sheet1'!$L$16"}</definedName>
    <definedName name="____d1500" localSheetId="7" hidden="1">{"'Sheet1'!$L$16"}</definedName>
    <definedName name="____d1500" localSheetId="8" hidden="1">{"'Sheet1'!$L$16"}</definedName>
    <definedName name="____d1500" hidden="1">{"'Sheet1'!$L$16"}</definedName>
    <definedName name="____deo1" localSheetId="8">#REF!</definedName>
    <definedName name="____deo1">#REF!</definedName>
    <definedName name="____deo10" localSheetId="8">#REF!</definedName>
    <definedName name="____deo10">#REF!</definedName>
    <definedName name="____deo2" localSheetId="8">#REF!</definedName>
    <definedName name="____deo2">#REF!</definedName>
    <definedName name="____deo3" localSheetId="8">#REF!</definedName>
    <definedName name="____deo3">#REF!</definedName>
    <definedName name="____deo4" localSheetId="8">#REF!</definedName>
    <definedName name="____deo4">#REF!</definedName>
    <definedName name="____deo5" localSheetId="8">#REF!</definedName>
    <definedName name="____deo5">#REF!</definedName>
    <definedName name="____deo6" localSheetId="8">#REF!</definedName>
    <definedName name="____deo6">#REF!</definedName>
    <definedName name="____deo7" localSheetId="8">#REF!</definedName>
    <definedName name="____deo7">#REF!</definedName>
    <definedName name="____deo8" localSheetId="8">#REF!</definedName>
    <definedName name="____deo8">#REF!</definedName>
    <definedName name="____deo9" localSheetId="8">#REF!</definedName>
    <definedName name="____deo9">#REF!</definedName>
    <definedName name="____E1200" localSheetId="1" hidden="1">{"'Sheet1'!$L$16"}</definedName>
    <definedName name="____E1200" localSheetId="2" hidden="1">{"'Sheet1'!$L$16"}</definedName>
    <definedName name="____E1200" localSheetId="4" hidden="1">{"'Sheet1'!$L$16"}</definedName>
    <definedName name="____E1200" localSheetId="5" hidden="1">{"'Sheet1'!$L$16"}</definedName>
    <definedName name="____E1200" localSheetId="6" hidden="1">{"'Sheet1'!$L$16"}</definedName>
    <definedName name="____E1200" localSheetId="7" hidden="1">{"'Sheet1'!$L$16"}</definedName>
    <definedName name="____E1200" localSheetId="8" hidden="1">{"'Sheet1'!$L$16"}</definedName>
    <definedName name="____E1200" hidden="1">{"'Sheet1'!$L$16"}</definedName>
    <definedName name="____Goi8" localSheetId="1" hidden="1">{"'Sheet1'!$L$16"}</definedName>
    <definedName name="____Goi8" localSheetId="2" hidden="1">{"'Sheet1'!$L$16"}</definedName>
    <definedName name="____Goi8" localSheetId="4" hidden="1">{"'Sheet1'!$L$16"}</definedName>
    <definedName name="____Goi8" localSheetId="5" hidden="1">{"'Sheet1'!$L$16"}</definedName>
    <definedName name="____Goi8" localSheetId="6" hidden="1">{"'Sheet1'!$L$16"}</definedName>
    <definedName name="____Goi8" localSheetId="7" hidden="1">{"'Sheet1'!$L$16"}</definedName>
    <definedName name="____Goi8" localSheetId="8" hidden="1">{"'Sheet1'!$L$16"}</definedName>
    <definedName name="____Goi8" hidden="1">{"'Sheet1'!$L$16"}</definedName>
    <definedName name="____huy1" localSheetId="1" hidden="1">{"'Sheet1'!$L$16"}</definedName>
    <definedName name="____huy1" localSheetId="2" hidden="1">{"'Sheet1'!$L$16"}</definedName>
    <definedName name="____huy1" localSheetId="4" hidden="1">{"'Sheet1'!$L$16"}</definedName>
    <definedName name="____huy1" localSheetId="5" hidden="1">{"'Sheet1'!$L$16"}</definedName>
    <definedName name="____huy1" localSheetId="6" hidden="1">{"'Sheet1'!$L$16"}</definedName>
    <definedName name="____huy1" localSheetId="7" hidden="1">{"'Sheet1'!$L$16"}</definedName>
    <definedName name="____huy1" localSheetId="8" hidden="1">{"'Sheet1'!$L$16"}</definedName>
    <definedName name="____huy1" hidden="1">{"'Sheet1'!$L$16"}</definedName>
    <definedName name="____khu7" localSheetId="8">#REF!</definedName>
    <definedName name="____khu7">#REF!</definedName>
    <definedName name="____LAN3" localSheetId="1" hidden="1">{"'Sheet1'!$L$16"}</definedName>
    <definedName name="____LAN3" localSheetId="2" hidden="1">{"'Sheet1'!$L$16"}</definedName>
    <definedName name="____LAN3" localSheetId="4" hidden="1">{"'Sheet1'!$L$16"}</definedName>
    <definedName name="____LAN3" localSheetId="5" hidden="1">{"'Sheet1'!$L$16"}</definedName>
    <definedName name="____LAN3" localSheetId="6" hidden="1">{"'Sheet1'!$L$16"}</definedName>
    <definedName name="____LAN3" localSheetId="7" hidden="1">{"'Sheet1'!$L$16"}</definedName>
    <definedName name="____LAN3" localSheetId="8" hidden="1">{"'Sheet1'!$L$16"}</definedName>
    <definedName name="____LAN3" hidden="1">{"'Sheet1'!$L$16"}</definedName>
    <definedName name="____ld2" localSheetId="1" hidden="1">{"'Sheet1'!$L$16"}</definedName>
    <definedName name="____ld2" localSheetId="2" hidden="1">{"'Sheet1'!$L$16"}</definedName>
    <definedName name="____ld2" localSheetId="4" hidden="1">{"'Sheet1'!$L$16"}</definedName>
    <definedName name="____ld2" localSheetId="5" hidden="1">{"'Sheet1'!$L$16"}</definedName>
    <definedName name="____ld2" localSheetId="6" hidden="1">{"'Sheet1'!$L$16"}</definedName>
    <definedName name="____ld2" localSheetId="7" hidden="1">{"'Sheet1'!$L$16"}</definedName>
    <definedName name="____ld2" localSheetId="8" hidden="1">{"'Sheet1'!$L$16"}</definedName>
    <definedName name="____ld2" hidden="1">{"'Sheet1'!$L$16"}</definedName>
    <definedName name="____m1233" localSheetId="1" hidden="1">{"'Sheet1'!$L$16"}</definedName>
    <definedName name="____m1233" localSheetId="2" hidden="1">{"'Sheet1'!$L$16"}</definedName>
    <definedName name="____m1233" localSheetId="4" hidden="1">{"'Sheet1'!$L$16"}</definedName>
    <definedName name="____m1233" localSheetId="5" hidden="1">{"'Sheet1'!$L$16"}</definedName>
    <definedName name="____m1233" localSheetId="6" hidden="1">{"'Sheet1'!$L$16"}</definedName>
    <definedName name="____m1233" localSheetId="7" hidden="1">{"'Sheet1'!$L$16"}</definedName>
    <definedName name="____m1233" localSheetId="8" hidden="1">{"'Sheet1'!$L$16"}</definedName>
    <definedName name="____m1233" hidden="1">{"'Sheet1'!$L$16"}</definedName>
    <definedName name="____MB1" localSheetId="8">#REF!</definedName>
    <definedName name="____MB1">#REF!</definedName>
    <definedName name="____MB2" localSheetId="8">#REF!</definedName>
    <definedName name="____MB2">#REF!</definedName>
    <definedName name="____MN1" localSheetId="8">#REF!</definedName>
    <definedName name="____MN1">#REF!</definedName>
    <definedName name="____MN2" localSheetId="8">#REF!</definedName>
    <definedName name="____MN2">#REF!</definedName>
    <definedName name="____MT1" localSheetId="8">#REF!</definedName>
    <definedName name="____MT1">#REF!</definedName>
    <definedName name="____MT2" localSheetId="8">#REF!</definedName>
    <definedName name="____MT2">#REF!</definedName>
    <definedName name="____nc151" localSheetId="8">#REF!</definedName>
    <definedName name="____nc151">#REF!</definedName>
    <definedName name="____NET2" localSheetId="8">#REF!</definedName>
    <definedName name="____NET2">#REF!</definedName>
    <definedName name="____NSO2" localSheetId="1" hidden="1">{"'Sheet1'!$L$16"}</definedName>
    <definedName name="____NSO2" localSheetId="2" hidden="1">{"'Sheet1'!$L$16"}</definedName>
    <definedName name="____NSO2" localSheetId="4" hidden="1">{"'Sheet1'!$L$16"}</definedName>
    <definedName name="____NSO2" localSheetId="5" hidden="1">{"'Sheet1'!$L$16"}</definedName>
    <definedName name="____NSO2" localSheetId="6" hidden="1">{"'Sheet1'!$L$16"}</definedName>
    <definedName name="____NSO2" localSheetId="7" hidden="1">{"'Sheet1'!$L$16"}</definedName>
    <definedName name="____NSO2" localSheetId="8" hidden="1">{"'Sheet1'!$L$16"}</definedName>
    <definedName name="____NSO2" hidden="1">{"'Sheet1'!$L$16"}</definedName>
    <definedName name="____oto10" localSheetId="8">#REF!</definedName>
    <definedName name="____oto10">#REF!</definedName>
    <definedName name="____PA3" localSheetId="1" hidden="1">{"'Sheet1'!$L$16"}</definedName>
    <definedName name="____PA3" localSheetId="2" hidden="1">{"'Sheet1'!$L$16"}</definedName>
    <definedName name="____PA3" localSheetId="4" hidden="1">{"'Sheet1'!$L$16"}</definedName>
    <definedName name="____PA3" localSheetId="5" hidden="1">{"'Sheet1'!$L$16"}</definedName>
    <definedName name="____PA3" localSheetId="6" hidden="1">{"'Sheet1'!$L$16"}</definedName>
    <definedName name="____PA3" localSheetId="7" hidden="1">{"'Sheet1'!$L$16"}</definedName>
    <definedName name="____PA3" localSheetId="8" hidden="1">{"'Sheet1'!$L$16"}</definedName>
    <definedName name="____PA3" hidden="1">{"'Sheet1'!$L$16"}</definedName>
    <definedName name="____pa4" localSheetId="1" hidden="1">{"'Sheet1'!$L$16"}</definedName>
    <definedName name="____pa4" localSheetId="2" hidden="1">{"'Sheet1'!$L$16"}</definedName>
    <definedName name="____pa4" localSheetId="8" hidden="1">{"'Sheet1'!$L$16"}</definedName>
    <definedName name="____pa4" hidden="1">{"'Sheet1'!$L$16"}</definedName>
    <definedName name="____Piv1" localSheetId="8">#REF!,#REF!</definedName>
    <definedName name="____Piv1">#REF!,#REF!</definedName>
    <definedName name="____Piv2" localSheetId="8">#REF!,#REF!</definedName>
    <definedName name="____Piv2">#REF!,#REF!</definedName>
    <definedName name="____Q1111" localSheetId="1" hidden="1">{"'Sheet1'!$L$16"}</definedName>
    <definedName name="____Q1111" localSheetId="2" hidden="1">{"'Sheet1'!$L$16"}</definedName>
    <definedName name="____Q1111" localSheetId="8" hidden="1">{"'Sheet1'!$L$16"}</definedName>
    <definedName name="____Q1111" hidden="1">{"'Sheet1'!$L$16"}</definedName>
    <definedName name="____SCL4" localSheetId="1" hidden="1">{"'Sheet1'!$L$16"}</definedName>
    <definedName name="____SCL4" localSheetId="2" hidden="1">{"'Sheet1'!$L$16"}</definedName>
    <definedName name="____SCL4" localSheetId="4" hidden="1">{"'Sheet1'!$L$16"}</definedName>
    <definedName name="____SCL4" localSheetId="5" hidden="1">{"'Sheet1'!$L$16"}</definedName>
    <definedName name="____SCL4" localSheetId="6" hidden="1">{"'Sheet1'!$L$16"}</definedName>
    <definedName name="____SCL4" localSheetId="7" hidden="1">{"'Sheet1'!$L$16"}</definedName>
    <definedName name="____SCL4" localSheetId="8" hidden="1">{"'Sheet1'!$L$16"}</definedName>
    <definedName name="____SCL4" hidden="1">{"'Sheet1'!$L$16"}</definedName>
    <definedName name="____SPL4">#REF!</definedName>
    <definedName name="____tct3">#REF!</definedName>
    <definedName name="____tct5" localSheetId="8">#REF!</definedName>
    <definedName name="____tct5">#REF!</definedName>
    <definedName name="____TD1" localSheetId="1" hidden="1">{"'Sheet1'!$L$16"}</definedName>
    <definedName name="____TD1" localSheetId="2" hidden="1">{"'Sheet1'!$L$16"}</definedName>
    <definedName name="____TD1" localSheetId="4" hidden="1">{"'Sheet1'!$L$16"}</definedName>
    <definedName name="____TD1" localSheetId="5" hidden="1">{"'Sheet1'!$L$16"}</definedName>
    <definedName name="____TD1" localSheetId="6" hidden="1">{"'Sheet1'!$L$16"}</definedName>
    <definedName name="____TD1" localSheetId="7" hidden="1">{"'Sheet1'!$L$16"}</definedName>
    <definedName name="____TD1" localSheetId="8" hidden="1">{"'Sheet1'!$L$16"}</definedName>
    <definedName name="____TD1" hidden="1">{"'Sheet1'!$L$16"}</definedName>
    <definedName name="____tg427" localSheetId="8">#REF!</definedName>
    <definedName name="____tg427">#REF!</definedName>
    <definedName name="____TH20" localSheetId="8">#REF!</definedName>
    <definedName name="____TH20">#REF!</definedName>
    <definedName name="____TK1" localSheetId="8">#REF!</definedName>
    <definedName name="____TK1">#REF!</definedName>
    <definedName name="____TM2" localSheetId="1" hidden="1">{"'Sheet1'!$L$16"}</definedName>
    <definedName name="____TM2" localSheetId="2" hidden="1">{"'Sheet1'!$L$16"}</definedName>
    <definedName name="____TM2" localSheetId="4" hidden="1">{"'Sheet1'!$L$16"}</definedName>
    <definedName name="____TM2" localSheetId="5" hidden="1">{"'Sheet1'!$L$16"}</definedName>
    <definedName name="____TM2" localSheetId="6" hidden="1">{"'Sheet1'!$L$16"}</definedName>
    <definedName name="____TM2" localSheetId="7" hidden="1">{"'Sheet1'!$L$16"}</definedName>
    <definedName name="____TM2" localSheetId="8" hidden="1">{"'Sheet1'!$L$16"}</definedName>
    <definedName name="____TM2" hidden="1">{"'Sheet1'!$L$16"}</definedName>
    <definedName name="____tt3" localSheetId="1" hidden="1">{"'Sheet1'!$L$16"}</definedName>
    <definedName name="____tt3" localSheetId="2" hidden="1">{"'Sheet1'!$L$16"}</definedName>
    <definedName name="____tt3" localSheetId="4" hidden="1">{"'Sheet1'!$L$16"}</definedName>
    <definedName name="____tt3" localSheetId="5" hidden="1">{"'Sheet1'!$L$16"}</definedName>
    <definedName name="____tt3" localSheetId="6" hidden="1">{"'Sheet1'!$L$16"}</definedName>
    <definedName name="____tt3" localSheetId="7" hidden="1">{"'Sheet1'!$L$16"}</definedName>
    <definedName name="____tt3" localSheetId="8" hidden="1">{"'Sheet1'!$L$16"}</definedName>
    <definedName name="____tt3" hidden="1">{"'Sheet1'!$L$16"}</definedName>
    <definedName name="____UT2" localSheetId="8">#REF!</definedName>
    <definedName name="____UT2">#REF!</definedName>
    <definedName name="___a1" localSheetId="1" hidden="1">{"'Sheet1'!$L$16"}</definedName>
    <definedName name="___a1" localSheetId="2" hidden="1">{"'Sheet1'!$L$16"}</definedName>
    <definedName name="___a1" localSheetId="4" hidden="1">{"'Sheet1'!$L$16"}</definedName>
    <definedName name="___a1" localSheetId="5" hidden="1">{"'Sheet1'!$L$16"}</definedName>
    <definedName name="___a1" localSheetId="6" hidden="1">{"'Sheet1'!$L$16"}</definedName>
    <definedName name="___a1" localSheetId="7" hidden="1">{"'Sheet1'!$L$16"}</definedName>
    <definedName name="___a1" localSheetId="8" hidden="1">{"'Sheet1'!$L$16"}</definedName>
    <definedName name="___a1" hidden="1">{"'Sheet1'!$L$16"}</definedName>
    <definedName name="___a12" localSheetId="1" hidden="1">{"'Sheet1'!$L$16"}</definedName>
    <definedName name="___a12" localSheetId="2" hidden="1">{"'Sheet1'!$L$16"}</definedName>
    <definedName name="___a12" localSheetId="4" hidden="1">{"'Sheet1'!$L$16"}</definedName>
    <definedName name="___a12" localSheetId="5" hidden="1">{"'Sheet1'!$L$16"}</definedName>
    <definedName name="___a12" localSheetId="6" hidden="1">{"'Sheet1'!$L$16"}</definedName>
    <definedName name="___a12" localSheetId="7" hidden="1">{"'Sheet1'!$L$16"}</definedName>
    <definedName name="___a12" localSheetId="8" hidden="1">{"'Sheet1'!$L$16"}</definedName>
    <definedName name="___a12" hidden="1">{"'Sheet1'!$L$16"}</definedName>
    <definedName name="__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a129" localSheetId="4" hidden="1">{"Offgrid",#N/A,FALSE,"OFFGRID";"Region",#N/A,FALSE,"REGION";"Offgrid -2",#N/A,FALSE,"OFFGRID";"WTP",#N/A,FALSE,"WTP";"WTP -2",#N/A,FALSE,"WTP";"Project",#N/A,FALSE,"PROJECT";"Summary -2",#N/A,FALSE,"SUMMARY"}</definedName>
    <definedName name="___a129" localSheetId="5" hidden="1">{"Offgrid",#N/A,FALSE,"OFFGRID";"Region",#N/A,FALSE,"REGION";"Offgrid -2",#N/A,FALSE,"OFFGRID";"WTP",#N/A,FALSE,"WTP";"WTP -2",#N/A,FALSE,"WTP";"Project",#N/A,FALSE,"PROJECT";"Summary -2",#N/A,FALSE,"SUMMARY"}</definedName>
    <definedName name="___a129" localSheetId="6" hidden="1">{"Offgrid",#N/A,FALSE,"OFFGRID";"Region",#N/A,FALSE,"REGION";"Offgrid -2",#N/A,FALSE,"OFFGRID";"WTP",#N/A,FALSE,"WTP";"WTP -2",#N/A,FALSE,"WTP";"Project",#N/A,FALSE,"PROJECT";"Summary -2",#N/A,FALSE,"SUMMARY"}</definedName>
    <definedName name="___a129" localSheetId="7" hidden="1">{"Offgrid",#N/A,FALSE,"OFFGRID";"Region",#N/A,FALSE,"REGION";"Offgrid -2",#N/A,FALSE,"OFFGRID";"WTP",#N/A,FALSE,"WTP";"WTP -2",#N/A,FALSE,"WTP";"Project",#N/A,FALSE,"PROJECT";"Summary -2",#N/A,FALSE,"SUMMARY"}</definedName>
    <definedName name="___a129" localSheetId="8" hidden="1">{"Offgrid",#N/A,FALSE,"OFFGRID";"Region",#N/A,FALSE,"REGION";"Offgrid -2",#N/A,FALSE,"OFFGRID";"WTP",#N/A,FALSE,"WTP";"WTP -2",#N/A,FALSE,"WTP";"Project",#N/A,FALSE,"PROJECT";"Summary -2",#N/A,FALSE,"SUMMARY"}</definedName>
    <definedName name="___a129" hidden="1">{"Offgrid",#N/A,FALSE,"OFFGRID";"Region",#N/A,FALSE,"REGION";"Offgrid -2",#N/A,FALSE,"OFFGRID";"WTP",#N/A,FALSE,"WTP";"WTP -2",#N/A,FALSE,"WTP";"Project",#N/A,FALSE,"PROJECT";"Summary -2",#N/A,FALSE,"SUMMARY"}</definedName>
    <definedName name="___a13" localSheetId="1" hidden="1">{"'Sheet1'!$L$16"}</definedName>
    <definedName name="___a13" localSheetId="2" hidden="1">{"'Sheet1'!$L$16"}</definedName>
    <definedName name="___a13" localSheetId="4" hidden="1">{"'Sheet1'!$L$16"}</definedName>
    <definedName name="___a13" localSheetId="5" hidden="1">{"'Sheet1'!$L$16"}</definedName>
    <definedName name="___a13" localSheetId="6" hidden="1">{"'Sheet1'!$L$16"}</definedName>
    <definedName name="___a13" localSheetId="7" hidden="1">{"'Sheet1'!$L$16"}</definedName>
    <definedName name="___a13" localSheetId="8" hidden="1">{"'Sheet1'!$L$16"}</definedName>
    <definedName name="___a13" hidden="1">{"'Sheet1'!$L$16"}</definedName>
    <definedName name="_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a130" localSheetId="4" hidden="1">{"Offgrid",#N/A,FALSE,"OFFGRID";"Region",#N/A,FALSE,"REGION";"Offgrid -2",#N/A,FALSE,"OFFGRID";"WTP",#N/A,FALSE,"WTP";"WTP -2",#N/A,FALSE,"WTP";"Project",#N/A,FALSE,"PROJECT";"Summary -2",#N/A,FALSE,"SUMMARY"}</definedName>
    <definedName name="___a130" localSheetId="5" hidden="1">{"Offgrid",#N/A,FALSE,"OFFGRID";"Region",#N/A,FALSE,"REGION";"Offgrid -2",#N/A,FALSE,"OFFGRID";"WTP",#N/A,FALSE,"WTP";"WTP -2",#N/A,FALSE,"WTP";"Project",#N/A,FALSE,"PROJECT";"Summary -2",#N/A,FALSE,"SUMMARY"}</definedName>
    <definedName name="___a130" localSheetId="6" hidden="1">{"Offgrid",#N/A,FALSE,"OFFGRID";"Region",#N/A,FALSE,"REGION";"Offgrid -2",#N/A,FALSE,"OFFGRID";"WTP",#N/A,FALSE,"WTP";"WTP -2",#N/A,FALSE,"WTP";"Project",#N/A,FALSE,"PROJECT";"Summary -2",#N/A,FALSE,"SUMMARY"}</definedName>
    <definedName name="___a130" localSheetId="7" hidden="1">{"Offgrid",#N/A,FALSE,"OFFGRID";"Region",#N/A,FALSE,"REGION";"Offgrid -2",#N/A,FALSE,"OFFGRID";"WTP",#N/A,FALSE,"WTP";"WTP -2",#N/A,FALSE,"WTP";"Project",#N/A,FALSE,"PROJECT";"Summary -2",#N/A,FALSE,"SUMMARY"}</definedName>
    <definedName name="___a130" localSheetId="8" hidden="1">{"Offgrid",#N/A,FALSE,"OFFGRID";"Region",#N/A,FALSE,"REGION";"Offgrid -2",#N/A,FALSE,"OFFGRID";"WTP",#N/A,FALSE,"WTP";"WTP -2",#N/A,FALSE,"WTP";"Project",#N/A,FALSE,"PROJECT";"Summary -2",#N/A,FALSE,"SUMMARY"}</definedName>
    <definedName name="___a130" hidden="1">{"Offgrid",#N/A,FALSE,"OFFGRID";"Region",#N/A,FALSE,"REGION";"Offgrid -2",#N/A,FALSE,"OFFGRID";"WTP",#N/A,FALSE,"WTP";"WTP -2",#N/A,FALSE,"WTP";"Project",#N/A,FALSE,"PROJECT";"Summary -2",#N/A,FALSE,"SUMMARY"}</definedName>
    <definedName name="___a14" localSheetId="1" hidden="1">{"'Sheet1'!$L$16"}</definedName>
    <definedName name="___a14" localSheetId="2" hidden="1">{"'Sheet1'!$L$16"}</definedName>
    <definedName name="___a14" localSheetId="4" hidden="1">{"'Sheet1'!$L$16"}</definedName>
    <definedName name="___a14" localSheetId="5" hidden="1">{"'Sheet1'!$L$16"}</definedName>
    <definedName name="___a14" localSheetId="6" hidden="1">{"'Sheet1'!$L$16"}</definedName>
    <definedName name="___a14" localSheetId="7" hidden="1">{"'Sheet1'!$L$16"}</definedName>
    <definedName name="___a14" localSheetId="8" hidden="1">{"'Sheet1'!$L$16"}</definedName>
    <definedName name="___a14" hidden="1">{"'Sheet1'!$L$16"}</definedName>
    <definedName name="___a15" localSheetId="1" hidden="1">{"'Sheet1'!$L$16"}</definedName>
    <definedName name="___a15" localSheetId="2" hidden="1">{"'Sheet1'!$L$16"}</definedName>
    <definedName name="___a15" localSheetId="4" hidden="1">{"'Sheet1'!$L$16"}</definedName>
    <definedName name="___a15" localSheetId="5" hidden="1">{"'Sheet1'!$L$16"}</definedName>
    <definedName name="___a15" localSheetId="6" hidden="1">{"'Sheet1'!$L$16"}</definedName>
    <definedName name="___a15" localSheetId="7" hidden="1">{"'Sheet1'!$L$16"}</definedName>
    <definedName name="___a15" localSheetId="8" hidden="1">{"'Sheet1'!$L$16"}</definedName>
    <definedName name="___a15" hidden="1">{"'Sheet1'!$L$16"}</definedName>
    <definedName name="___a16" localSheetId="1" hidden="1">{#N/A,#N/A,FALSE,"Chi tiÆt"}</definedName>
    <definedName name="___a16" localSheetId="2" hidden="1">{#N/A,#N/A,FALSE,"Chi tiÆt"}</definedName>
    <definedName name="___a16" localSheetId="4" hidden="1">{#N/A,#N/A,FALSE,"Chi tiÆt"}</definedName>
    <definedName name="___a16" localSheetId="5" hidden="1">{#N/A,#N/A,FALSE,"Chi tiÆt"}</definedName>
    <definedName name="___a16" localSheetId="6" hidden="1">{#N/A,#N/A,FALSE,"Chi tiÆt"}</definedName>
    <definedName name="___a16" localSheetId="7" hidden="1">{#N/A,#N/A,FALSE,"Chi tiÆt"}</definedName>
    <definedName name="___a16" localSheetId="8" hidden="1">{#N/A,#N/A,FALSE,"Chi tiÆt"}</definedName>
    <definedName name="___a16" hidden="1">{#N/A,#N/A,FALSE,"Chi tiÆt"}</definedName>
    <definedName name="___a2" localSheetId="1" hidden="1">{"'Sheet1'!$L$16"}</definedName>
    <definedName name="___a2" localSheetId="2" hidden="1">{"'Sheet1'!$L$16"}</definedName>
    <definedName name="___a2" localSheetId="4" hidden="1">{"'Sheet1'!$L$16"}</definedName>
    <definedName name="___a2" localSheetId="5" hidden="1">{"'Sheet1'!$L$16"}</definedName>
    <definedName name="___a2" localSheetId="6" hidden="1">{"'Sheet1'!$L$16"}</definedName>
    <definedName name="___a2" localSheetId="7" hidden="1">{"'Sheet1'!$L$16"}</definedName>
    <definedName name="___a2" localSheetId="8" hidden="1">{"'Sheet1'!$L$16"}</definedName>
    <definedName name="___a2" hidden="1">{"'Sheet1'!$L$16"}</definedName>
    <definedName name="___a3" localSheetId="1" hidden="1">{"'Sheet1'!$L$16"}</definedName>
    <definedName name="___a3" localSheetId="2" hidden="1">{"'Sheet1'!$L$16"}</definedName>
    <definedName name="___a3" localSheetId="4" hidden="1">{"'Sheet1'!$L$16"}</definedName>
    <definedName name="___a3" localSheetId="5" hidden="1">{"'Sheet1'!$L$16"}</definedName>
    <definedName name="___a3" localSheetId="6" hidden="1">{"'Sheet1'!$L$16"}</definedName>
    <definedName name="___a3" localSheetId="7" hidden="1">{"'Sheet1'!$L$16"}</definedName>
    <definedName name="___a3" localSheetId="8" hidden="1">{"'Sheet1'!$L$16"}</definedName>
    <definedName name="___a3" hidden="1">{"'Sheet1'!$L$16"}</definedName>
    <definedName name="___A4" localSheetId="1" hidden="1">{"'Sheet1'!$L$16"}</definedName>
    <definedName name="___A4" localSheetId="2" hidden="1">{"'Sheet1'!$L$16"}</definedName>
    <definedName name="___A4" localSheetId="4" hidden="1">{"'Sheet1'!$L$16"}</definedName>
    <definedName name="___A4" localSheetId="5" hidden="1">{"'Sheet1'!$L$16"}</definedName>
    <definedName name="___A4" localSheetId="6" hidden="1">{"'Sheet1'!$L$16"}</definedName>
    <definedName name="___A4" localSheetId="7" hidden="1">{"'Sheet1'!$L$16"}</definedName>
    <definedName name="___A4" localSheetId="8" hidden="1">{"'Sheet1'!$L$16"}</definedName>
    <definedName name="___A4" hidden="1">{"'Sheet1'!$L$16"}</definedName>
    <definedName name="___a5" localSheetId="1" hidden="1">{#N/A,#N/A,FALSE,"Chi tiÆt"}</definedName>
    <definedName name="___a5" localSheetId="2" hidden="1">{#N/A,#N/A,FALSE,"Chi tiÆt"}</definedName>
    <definedName name="___a5" localSheetId="4" hidden="1">{#N/A,#N/A,FALSE,"Chi tiÆt"}</definedName>
    <definedName name="___a5" localSheetId="5" hidden="1">{#N/A,#N/A,FALSE,"Chi tiÆt"}</definedName>
    <definedName name="___a5" localSheetId="6" hidden="1">{#N/A,#N/A,FALSE,"Chi tiÆt"}</definedName>
    <definedName name="___a5" localSheetId="7" hidden="1">{#N/A,#N/A,FALSE,"Chi tiÆt"}</definedName>
    <definedName name="___a5" localSheetId="8" hidden="1">{#N/A,#N/A,FALSE,"Chi tiÆt"}</definedName>
    <definedName name="___a5" hidden="1">{#N/A,#N/A,FALSE,"Chi tiÆt"}</definedName>
    <definedName name="___A65700" localSheetId="8">#REF!</definedName>
    <definedName name="___A65700">#REF!</definedName>
    <definedName name="___A65800" localSheetId="8">#REF!</definedName>
    <definedName name="___A65800">#REF!</definedName>
    <definedName name="___A66000" localSheetId="8">#REF!</definedName>
    <definedName name="___A66000">#REF!</definedName>
    <definedName name="___A67000" localSheetId="8">#REF!</definedName>
    <definedName name="___A67000">#REF!</definedName>
    <definedName name="___A68000" localSheetId="8">#REF!</definedName>
    <definedName name="___A68000">#REF!</definedName>
    <definedName name="___A70000" localSheetId="8">#REF!</definedName>
    <definedName name="___A70000">#REF!</definedName>
    <definedName name="___A75000" localSheetId="8">#REF!</definedName>
    <definedName name="___A75000">#REF!</definedName>
    <definedName name="___A85000" localSheetId="8">#REF!</definedName>
    <definedName name="___A85000">#REF!</definedName>
    <definedName name="___abb91" localSheetId="8">#REF!</definedName>
    <definedName name="___abb91">#REF!</definedName>
    <definedName name="___atn1" localSheetId="8">#REF!</definedName>
    <definedName name="___atn1">#REF!</definedName>
    <definedName name="___atn10" localSheetId="8">#REF!</definedName>
    <definedName name="___atn10">#REF!</definedName>
    <definedName name="___atn2" localSheetId="8">#REF!</definedName>
    <definedName name="___atn2">#REF!</definedName>
    <definedName name="___atn3" localSheetId="8">#REF!</definedName>
    <definedName name="___atn3">#REF!</definedName>
    <definedName name="___atn4" localSheetId="8">#REF!</definedName>
    <definedName name="___atn4">#REF!</definedName>
    <definedName name="___atn5" localSheetId="8">#REF!</definedName>
    <definedName name="___atn5">#REF!</definedName>
    <definedName name="___atn6" localSheetId="8">#REF!</definedName>
    <definedName name="___atn6">#REF!</definedName>
    <definedName name="___atn7" localSheetId="8">#REF!</definedName>
    <definedName name="___atn7">#REF!</definedName>
    <definedName name="___atn8" localSheetId="8">#REF!</definedName>
    <definedName name="___atn8">#REF!</definedName>
    <definedName name="___atn9" localSheetId="8">#REF!</definedName>
    <definedName name="___atn9">#REF!</definedName>
    <definedName name="___boi1" localSheetId="8">#REF!</definedName>
    <definedName name="___boi1">#REF!</definedName>
    <definedName name="___boi2" localSheetId="8">#REF!</definedName>
    <definedName name="___boi2">#REF!</definedName>
    <definedName name="___BTM150" localSheetId="8">#REF!</definedName>
    <definedName name="___BTM150">#REF!</definedName>
    <definedName name="___BTM250" localSheetId="8">#REF!</definedName>
    <definedName name="___BTM250">#REF!</definedName>
    <definedName name="___btM300" localSheetId="8">#REF!</definedName>
    <definedName name="___btM300">#REF!</definedName>
    <definedName name="___cao1" localSheetId="8">#REF!</definedName>
    <definedName name="___cao1">#REF!</definedName>
    <definedName name="___cao2" localSheetId="8">#REF!</definedName>
    <definedName name="___cao2">#REF!</definedName>
    <definedName name="___cao3" localSheetId="8">#REF!</definedName>
    <definedName name="___cao3">#REF!</definedName>
    <definedName name="___cao4" localSheetId="8">#REF!</definedName>
    <definedName name="___cao4">#REF!</definedName>
    <definedName name="___cao5" localSheetId="8">#REF!</definedName>
    <definedName name="___cao5">#REF!</definedName>
    <definedName name="___cao6" localSheetId="8">#REF!</definedName>
    <definedName name="___cao6">#REF!</definedName>
    <definedName name="___Cau2" localSheetId="8">#REF!</definedName>
    <definedName name="___Cau2">#REF!</definedName>
    <definedName name="___Coc1" localSheetId="8">#REF!</definedName>
    <definedName name="___Coc1">#REF!</definedName>
    <definedName name="___CON1" localSheetId="8">#REF!</definedName>
    <definedName name="___CON1">#REF!</definedName>
    <definedName name="___CON2" localSheetId="8">#REF!</definedName>
    <definedName name="___CON2">#REF!</definedName>
    <definedName name="___cpd1" localSheetId="8">#REF!</definedName>
    <definedName name="___cpd1">#REF!</definedName>
    <definedName name="___cpd2" localSheetId="8">#REF!</definedName>
    <definedName name="___cpd2">#REF!</definedName>
    <definedName name="___CT4" localSheetId="1" hidden="1">{"'Sheet1'!$L$16"}</definedName>
    <definedName name="___CT4" localSheetId="2" hidden="1">{"'Sheet1'!$L$16"}</definedName>
    <definedName name="___CT4" localSheetId="4" hidden="1">{"'Sheet1'!$L$16"}</definedName>
    <definedName name="___CT4" localSheetId="5" hidden="1">{"'Sheet1'!$L$16"}</definedName>
    <definedName name="___CT4" localSheetId="6" hidden="1">{"'Sheet1'!$L$16"}</definedName>
    <definedName name="___CT4" localSheetId="7" hidden="1">{"'Sheet1'!$L$16"}</definedName>
    <definedName name="___CT4" localSheetId="8" hidden="1">{"'Sheet1'!$L$16"}</definedName>
    <definedName name="___CT4" hidden="1">{"'Sheet1'!$L$16"}</definedName>
    <definedName name="___d1500" localSheetId="1" hidden="1">{"'Sheet1'!$L$16"}</definedName>
    <definedName name="___d1500" localSheetId="2" hidden="1">{"'Sheet1'!$L$16"}</definedName>
    <definedName name="___d1500" localSheetId="4" hidden="1">{"'Sheet1'!$L$16"}</definedName>
    <definedName name="___d1500" localSheetId="5" hidden="1">{"'Sheet1'!$L$16"}</definedName>
    <definedName name="___d1500" localSheetId="6" hidden="1">{"'Sheet1'!$L$16"}</definedName>
    <definedName name="___d1500" localSheetId="7" hidden="1">{"'Sheet1'!$L$16"}</definedName>
    <definedName name="___d1500" localSheetId="8" hidden="1">{"'Sheet1'!$L$16"}</definedName>
    <definedName name="___d1500" hidden="1">{"'Sheet1'!$L$16"}</definedName>
    <definedName name="___dai1" localSheetId="8">#REF!</definedName>
    <definedName name="___dai1">#REF!</definedName>
    <definedName name="___dai2" localSheetId="8">#REF!</definedName>
    <definedName name="___dai2">#REF!</definedName>
    <definedName name="___dai3" localSheetId="8">#REF!</definedName>
    <definedName name="___dai3">#REF!</definedName>
    <definedName name="___dai4" localSheetId="8">#REF!</definedName>
    <definedName name="___dai4">#REF!</definedName>
    <definedName name="___dai5" localSheetId="8">#REF!</definedName>
    <definedName name="___dai5">#REF!</definedName>
    <definedName name="___dai6" localSheetId="8">#REF!</definedName>
    <definedName name="___dai6">#REF!</definedName>
    <definedName name="___dan1" localSheetId="8">#REF!</definedName>
    <definedName name="___dan1">#REF!</definedName>
    <definedName name="___dan2" localSheetId="8">#REF!</definedName>
    <definedName name="___dan2">#REF!</definedName>
    <definedName name="___ddn400" localSheetId="8">#REF!</definedName>
    <definedName name="___ddn400">#REF!</definedName>
    <definedName name="___ddn600" localSheetId="8">#REF!</definedName>
    <definedName name="___ddn600">#REF!</definedName>
    <definedName name="___deo1" localSheetId="8">#REF!</definedName>
    <definedName name="___deo1">#REF!</definedName>
    <definedName name="___deo10" localSheetId="8">#REF!</definedName>
    <definedName name="___deo10">#REF!</definedName>
    <definedName name="___deo2" localSheetId="8">#REF!</definedName>
    <definedName name="___deo2">#REF!</definedName>
    <definedName name="___deo3" localSheetId="8">#REF!</definedName>
    <definedName name="___deo3">#REF!</definedName>
    <definedName name="___deo4" localSheetId="8">#REF!</definedName>
    <definedName name="___deo4">#REF!</definedName>
    <definedName name="___deo5" localSheetId="8">#REF!</definedName>
    <definedName name="___deo5">#REF!</definedName>
    <definedName name="___deo6" localSheetId="8">#REF!</definedName>
    <definedName name="___deo6">#REF!</definedName>
    <definedName name="___deo7" localSheetId="8">#REF!</definedName>
    <definedName name="___deo7">#REF!</definedName>
    <definedName name="___deo8" localSheetId="8">#REF!</definedName>
    <definedName name="___deo8">#REF!</definedName>
    <definedName name="___deo9" localSheetId="8">#REF!</definedName>
    <definedName name="___deo9">#REF!</definedName>
    <definedName name="___E1200" localSheetId="1" hidden="1">{"'Sheet1'!$L$16"}</definedName>
    <definedName name="___E1200" localSheetId="2" hidden="1">{"'Sheet1'!$L$16"}</definedName>
    <definedName name="___E1200" localSheetId="4" hidden="1">{"'Sheet1'!$L$16"}</definedName>
    <definedName name="___E1200" localSheetId="5" hidden="1">{"'Sheet1'!$L$16"}</definedName>
    <definedName name="___E1200" localSheetId="6" hidden="1">{"'Sheet1'!$L$16"}</definedName>
    <definedName name="___E1200" localSheetId="7" hidden="1">{"'Sheet1'!$L$16"}</definedName>
    <definedName name="___E1200" localSheetId="8" hidden="1">{"'Sheet1'!$L$16"}</definedName>
    <definedName name="___E1200" hidden="1">{"'Sheet1'!$L$16"}</definedName>
    <definedName name="___Goi8" localSheetId="1" hidden="1">{"'Sheet1'!$L$16"}</definedName>
    <definedName name="___Goi8" localSheetId="2" hidden="1">{"'Sheet1'!$L$16"}</definedName>
    <definedName name="___Goi8" localSheetId="4" hidden="1">{"'Sheet1'!$L$16"}</definedName>
    <definedName name="___Goi8" localSheetId="5" hidden="1">{"'Sheet1'!$L$16"}</definedName>
    <definedName name="___Goi8" localSheetId="6" hidden="1">{"'Sheet1'!$L$16"}</definedName>
    <definedName name="___Goi8" localSheetId="7" hidden="1">{"'Sheet1'!$L$16"}</definedName>
    <definedName name="___Goi8" localSheetId="8" hidden="1">{"'Sheet1'!$L$16"}</definedName>
    <definedName name="___Goi8" hidden="1">{"'Sheet1'!$L$16"}</definedName>
    <definedName name="___khu7" localSheetId="8">#REF!</definedName>
    <definedName name="___khu7">#REF!</definedName>
    <definedName name="___Lan1" localSheetId="8" hidden="1">{"'Sheet1'!$L$16"}</definedName>
    <definedName name="___Lan1" hidden="1">{"'Sheet1'!$L$16"}</definedName>
    <definedName name="___LAN3" localSheetId="1" hidden="1">{"'Sheet1'!$L$16"}</definedName>
    <definedName name="___LAN3" localSheetId="2" hidden="1">{"'Sheet1'!$L$16"}</definedName>
    <definedName name="___LAN3" localSheetId="4" hidden="1">{"'Sheet1'!$L$16"}</definedName>
    <definedName name="___LAN3" localSheetId="5" hidden="1">{"'Sheet1'!$L$16"}</definedName>
    <definedName name="___LAN3" localSheetId="6" hidden="1">{"'Sheet1'!$L$16"}</definedName>
    <definedName name="___LAN3" localSheetId="7" hidden="1">{"'Sheet1'!$L$16"}</definedName>
    <definedName name="___LAN3" localSheetId="8" hidden="1">{"'Sheet1'!$L$16"}</definedName>
    <definedName name="___LAN3" hidden="1">{"'Sheet1'!$L$16"}</definedName>
    <definedName name="___ld2" localSheetId="1" hidden="1">{"'Sheet1'!$L$16"}</definedName>
    <definedName name="___ld2" localSheetId="2" hidden="1">{"'Sheet1'!$L$16"}</definedName>
    <definedName name="___ld2" localSheetId="4" hidden="1">{"'Sheet1'!$L$16"}</definedName>
    <definedName name="___ld2" localSheetId="5" hidden="1">{"'Sheet1'!$L$16"}</definedName>
    <definedName name="___ld2" localSheetId="6" hidden="1">{"'Sheet1'!$L$16"}</definedName>
    <definedName name="___ld2" localSheetId="7" hidden="1">{"'Sheet1'!$L$16"}</definedName>
    <definedName name="___ld2" localSheetId="8" hidden="1">{"'Sheet1'!$L$16"}</definedName>
    <definedName name="___ld2" hidden="1">{"'Sheet1'!$L$16"}</definedName>
    <definedName name="___m1233" localSheetId="1" hidden="1">{"'Sheet1'!$L$16"}</definedName>
    <definedName name="___m1233" localSheetId="2" hidden="1">{"'Sheet1'!$L$16"}</definedName>
    <definedName name="___m1233" localSheetId="4" hidden="1">{"'Sheet1'!$L$16"}</definedName>
    <definedName name="___m1233" localSheetId="5" hidden="1">{"'Sheet1'!$L$16"}</definedName>
    <definedName name="___m1233" localSheetId="6" hidden="1">{"'Sheet1'!$L$16"}</definedName>
    <definedName name="___m1233" localSheetId="7" hidden="1">{"'Sheet1'!$L$16"}</definedName>
    <definedName name="___m1233" localSheetId="8" hidden="1">{"'Sheet1'!$L$16"}</definedName>
    <definedName name="___m1233" hidden="1">{"'Sheet1'!$L$16"}</definedName>
    <definedName name="___MAC12" localSheetId="8">#REF!</definedName>
    <definedName name="___MAC12">#REF!</definedName>
    <definedName name="___MAC46" localSheetId="8">#REF!</definedName>
    <definedName name="___MAC46">#REF!</definedName>
    <definedName name="___MB1" localSheetId="8">#REF!</definedName>
    <definedName name="___MB1">#REF!</definedName>
    <definedName name="___MB2" localSheetId="8">#REF!</definedName>
    <definedName name="___MB2">#REF!</definedName>
    <definedName name="___MN1" localSheetId="8">#REF!</definedName>
    <definedName name="___MN1">#REF!</definedName>
    <definedName name="___MN2" localSheetId="8">#REF!</definedName>
    <definedName name="___MN2">#REF!</definedName>
    <definedName name="___MT1" localSheetId="8">#REF!</definedName>
    <definedName name="___MT1">#REF!</definedName>
    <definedName name="___MT2" localSheetId="8">#REF!</definedName>
    <definedName name="___MT2">#REF!</definedName>
    <definedName name="___nc151" localSheetId="8">#REF!</definedName>
    <definedName name="___nc151">#REF!</definedName>
    <definedName name="___NCL100" localSheetId="8">#REF!</definedName>
    <definedName name="___NCL100">#REF!</definedName>
    <definedName name="___NCL200" localSheetId="8">#REF!</definedName>
    <definedName name="___NCL200">#REF!</definedName>
    <definedName name="___NCL250" localSheetId="8">#REF!</definedName>
    <definedName name="___NCL250">#REF!</definedName>
    <definedName name="___NET2" localSheetId="8">#REF!</definedName>
    <definedName name="___NET2">#REF!</definedName>
    <definedName name="___nin190" localSheetId="8">#REF!</definedName>
    <definedName name="___nin190">#REF!</definedName>
    <definedName name="___No1" localSheetId="8">#REF!</definedName>
    <definedName name="___No1">#REF!</definedName>
    <definedName name="___NSO2" localSheetId="1" hidden="1">{"'Sheet1'!$L$16"}</definedName>
    <definedName name="___NSO2" localSheetId="2" hidden="1">{"'Sheet1'!$L$16"}</definedName>
    <definedName name="___NSO2" localSheetId="4" hidden="1">{"'Sheet1'!$L$16"}</definedName>
    <definedName name="___NSO2" localSheetId="5" hidden="1">{"'Sheet1'!$L$16"}</definedName>
    <definedName name="___NSO2" localSheetId="6" hidden="1">{"'Sheet1'!$L$16"}</definedName>
    <definedName name="___NSO2" localSheetId="7" hidden="1">{"'Sheet1'!$L$16"}</definedName>
    <definedName name="___NSO2" localSheetId="8" hidden="1">{"'Sheet1'!$L$16"}</definedName>
    <definedName name="___NSO2" hidden="1">{"'Sheet1'!$L$16"}</definedName>
    <definedName name="___oto10" localSheetId="8">#REF!</definedName>
    <definedName name="___oto10">#REF!</definedName>
    <definedName name="___PA3" localSheetId="1" hidden="1">{"'Sheet1'!$L$16"}</definedName>
    <definedName name="___PA3" localSheetId="2" hidden="1">{"'Sheet1'!$L$16"}</definedName>
    <definedName name="___PA3" localSheetId="4" hidden="1">{"'Sheet1'!$L$16"}</definedName>
    <definedName name="___PA3" localSheetId="5" hidden="1">{"'Sheet1'!$L$16"}</definedName>
    <definedName name="___PA3" localSheetId="6" hidden="1">{"'Sheet1'!$L$16"}</definedName>
    <definedName name="___PA3" localSheetId="7" hidden="1">{"'Sheet1'!$L$16"}</definedName>
    <definedName name="___PA3" localSheetId="8" hidden="1">{"'Sheet1'!$L$16"}</definedName>
    <definedName name="___PA3" hidden="1">{"'Sheet1'!$L$16"}</definedName>
    <definedName name="___pa4" localSheetId="1" hidden="1">{"'Sheet1'!$L$16"}</definedName>
    <definedName name="___pa4" localSheetId="2" hidden="1">{"'Sheet1'!$L$16"}</definedName>
    <definedName name="___pa4" localSheetId="4" hidden="1">{"'Sheet1'!$L$16"}</definedName>
    <definedName name="___pa4" localSheetId="5" hidden="1">{"'Sheet1'!$L$16"}</definedName>
    <definedName name="___pa4" localSheetId="6" hidden="1">{"'Sheet1'!$L$16"}</definedName>
    <definedName name="___pa4" localSheetId="7" hidden="1">{"'Sheet1'!$L$16"}</definedName>
    <definedName name="___pa4" localSheetId="8" hidden="1">{"'Sheet1'!$L$16"}</definedName>
    <definedName name="___pa4" hidden="1">{"'Sheet1'!$L$16"}</definedName>
    <definedName name="___phi10" localSheetId="8">#REF!</definedName>
    <definedName name="___phi10">#REF!</definedName>
    <definedName name="___phi12" localSheetId="8">#REF!</definedName>
    <definedName name="___phi12">#REF!</definedName>
    <definedName name="___phi14" localSheetId="8">#REF!</definedName>
    <definedName name="___phi14">#REF!</definedName>
    <definedName name="___phi16" localSheetId="8">#REF!</definedName>
    <definedName name="___phi16">#REF!</definedName>
    <definedName name="___phi18" localSheetId="8">#REF!</definedName>
    <definedName name="___phi18">#REF!</definedName>
    <definedName name="___phi20" localSheetId="8">#REF!</definedName>
    <definedName name="___phi20">#REF!</definedName>
    <definedName name="___phi22" localSheetId="8">#REF!</definedName>
    <definedName name="___phi22">#REF!</definedName>
    <definedName name="___phi25" localSheetId="8">#REF!</definedName>
    <definedName name="___phi25">#REF!</definedName>
    <definedName name="___phi28" localSheetId="8">#REF!</definedName>
    <definedName name="___phi28">#REF!</definedName>
    <definedName name="___phi6" localSheetId="8">#REF!</definedName>
    <definedName name="___phi6">#REF!</definedName>
    <definedName name="___phi8" localSheetId="8">#REF!</definedName>
    <definedName name="___phi8">#REF!</definedName>
    <definedName name="___Piv1" localSheetId="8">#REF!,#REF!</definedName>
    <definedName name="___Piv1">#REF!,#REF!</definedName>
    <definedName name="___Piv2" localSheetId="8">#REF!,#REF!</definedName>
    <definedName name="___Piv2">#REF!,#REF!</definedName>
    <definedName name="___Q1111" localSheetId="1" hidden="1">{"'Sheet1'!$L$16"}</definedName>
    <definedName name="___Q1111" localSheetId="2" hidden="1">{"'Sheet1'!$L$16"}</definedName>
    <definedName name="___Q1111" localSheetId="4" hidden="1">{"'Sheet1'!$L$16"}</definedName>
    <definedName name="___Q1111" localSheetId="5" hidden="1">{"'Sheet1'!$L$16"}</definedName>
    <definedName name="___Q1111" localSheetId="6" hidden="1">{"'Sheet1'!$L$16"}</definedName>
    <definedName name="___Q1111" localSheetId="7" hidden="1">{"'Sheet1'!$L$16"}</definedName>
    <definedName name="___Q1111" localSheetId="8" hidden="1">{"'Sheet1'!$L$16"}</definedName>
    <definedName name="___Q1111" hidden="1">{"'Sheet1'!$L$16"}</definedName>
    <definedName name="___sc1" localSheetId="8">#REF!</definedName>
    <definedName name="___sc1">#REF!</definedName>
    <definedName name="___SC2" localSheetId="8">#REF!</definedName>
    <definedName name="___SC2">#REF!</definedName>
    <definedName name="___sc3" localSheetId="8">#REF!</definedName>
    <definedName name="___sc3">#REF!</definedName>
    <definedName name="___SCL4" localSheetId="1" hidden="1">{"'Sheet1'!$L$16"}</definedName>
    <definedName name="___SCL4" localSheetId="2" hidden="1">{"'Sheet1'!$L$16"}</definedName>
    <definedName name="___SCL4" localSheetId="4" hidden="1">{"'Sheet1'!$L$16"}</definedName>
    <definedName name="___SCL4" localSheetId="5" hidden="1">{"'Sheet1'!$L$16"}</definedName>
    <definedName name="___SCL4" localSheetId="6" hidden="1">{"'Sheet1'!$L$16"}</definedName>
    <definedName name="___SCL4" localSheetId="7" hidden="1">{"'Sheet1'!$L$16"}</definedName>
    <definedName name="___SCL4" localSheetId="8" hidden="1">{"'Sheet1'!$L$16"}</definedName>
    <definedName name="___SCL4" hidden="1">{"'Sheet1'!$L$16"}</definedName>
    <definedName name="___slg1" localSheetId="8">#REF!</definedName>
    <definedName name="___slg1">#REF!</definedName>
    <definedName name="___slg2" localSheetId="8">#REF!</definedName>
    <definedName name="___slg2">#REF!</definedName>
    <definedName name="___slg3" localSheetId="8">#REF!</definedName>
    <definedName name="___slg3">#REF!</definedName>
    <definedName name="___slg4" localSheetId="8">#REF!</definedName>
    <definedName name="___slg4">#REF!</definedName>
    <definedName name="___slg5" localSheetId="8">#REF!</definedName>
    <definedName name="___slg5">#REF!</definedName>
    <definedName name="___slg6" localSheetId="8">#REF!</definedName>
    <definedName name="___slg6">#REF!</definedName>
    <definedName name="___SN3" localSheetId="8">#REF!</definedName>
    <definedName name="___SN3">#REF!</definedName>
    <definedName name="___SPL4">#REF!</definedName>
    <definedName name="___tct3">#REF!</definedName>
    <definedName name="___tct5" localSheetId="8">#REF!</definedName>
    <definedName name="___tct5">#REF!</definedName>
    <definedName name="___TD1" localSheetId="1" hidden="1">{"'Sheet1'!$L$16"}</definedName>
    <definedName name="___TD1" localSheetId="2" hidden="1">{"'Sheet1'!$L$16"}</definedName>
    <definedName name="___TD1" localSheetId="4" hidden="1">{"'Sheet1'!$L$16"}</definedName>
    <definedName name="___TD1" localSheetId="5" hidden="1">{"'Sheet1'!$L$16"}</definedName>
    <definedName name="___TD1" localSheetId="6" hidden="1">{"'Sheet1'!$L$16"}</definedName>
    <definedName name="___TD1" localSheetId="7" hidden="1">{"'Sheet1'!$L$16"}</definedName>
    <definedName name="___TD1" localSheetId="8" hidden="1">{"'Sheet1'!$L$16"}</definedName>
    <definedName name="___TD1" hidden="1">{"'Sheet1'!$L$16"}</definedName>
    <definedName name="___tg427" localSheetId="8">#REF!</definedName>
    <definedName name="___tg427">#REF!</definedName>
    <definedName name="___TH20" localSheetId="8">#REF!</definedName>
    <definedName name="___TH20">#REF!</definedName>
    <definedName name="___TK1" localSheetId="8">#REF!</definedName>
    <definedName name="___TK1">#REF!</definedName>
    <definedName name="___TL1" localSheetId="8">#REF!</definedName>
    <definedName name="___TL1">#REF!</definedName>
    <definedName name="___TL2" localSheetId="8">#REF!</definedName>
    <definedName name="___TL2">#REF!</definedName>
    <definedName name="___TL3" localSheetId="8">#REF!</definedName>
    <definedName name="___TL3">#REF!</definedName>
    <definedName name="___TLA120" localSheetId="8">#REF!</definedName>
    <definedName name="___TLA120">#REF!</definedName>
    <definedName name="___TLA35" localSheetId="8">#REF!</definedName>
    <definedName name="___TLA35">#REF!</definedName>
    <definedName name="___TLA50" localSheetId="8">#REF!</definedName>
    <definedName name="___TLA50">#REF!</definedName>
    <definedName name="___TLA70" localSheetId="8">#REF!</definedName>
    <definedName name="___TLA70">#REF!</definedName>
    <definedName name="___TLA95" localSheetId="8">#REF!</definedName>
    <definedName name="___TLA95">#REF!</definedName>
    <definedName name="___TM2" localSheetId="1" hidden="1">{"'Sheet1'!$L$16"}</definedName>
    <definedName name="___TM2" localSheetId="2" hidden="1">{"'Sheet1'!$L$16"}</definedName>
    <definedName name="___TM2" localSheetId="4" hidden="1">{"'Sheet1'!$L$16"}</definedName>
    <definedName name="___TM2" localSheetId="5" hidden="1">{"'Sheet1'!$L$16"}</definedName>
    <definedName name="___TM2" localSheetId="6" hidden="1">{"'Sheet1'!$L$16"}</definedName>
    <definedName name="___TM2" localSheetId="7" hidden="1">{"'Sheet1'!$L$16"}</definedName>
    <definedName name="___TM2" localSheetId="8" hidden="1">{"'Sheet1'!$L$16"}</definedName>
    <definedName name="___TM2" hidden="1">{"'Sheet1'!$L$16"}</definedName>
    <definedName name="___tra100" localSheetId="8">#REF!</definedName>
    <definedName name="___tra100">#REF!</definedName>
    <definedName name="___tra102" localSheetId="8">#REF!</definedName>
    <definedName name="___tra102">#REF!</definedName>
    <definedName name="___tra104" localSheetId="8">#REF!</definedName>
    <definedName name="___tra104">#REF!</definedName>
    <definedName name="___tra106" localSheetId="8">#REF!</definedName>
    <definedName name="___tra106">#REF!</definedName>
    <definedName name="___tra108" localSheetId="8">#REF!</definedName>
    <definedName name="___tra108">#REF!</definedName>
    <definedName name="___tra110" localSheetId="8">#REF!</definedName>
    <definedName name="___tra110">#REF!</definedName>
    <definedName name="___tra112" localSheetId="8">#REF!</definedName>
    <definedName name="___tra112">#REF!</definedName>
    <definedName name="___tra114" localSheetId="8">#REF!</definedName>
    <definedName name="___tra114">#REF!</definedName>
    <definedName name="___tra116" localSheetId="8">#REF!</definedName>
    <definedName name="___tra116">#REF!</definedName>
    <definedName name="___tra118" localSheetId="8">#REF!</definedName>
    <definedName name="___tra118">#REF!</definedName>
    <definedName name="___tra120" localSheetId="8">#REF!</definedName>
    <definedName name="___tra120">#REF!</definedName>
    <definedName name="___tra122" localSheetId="8">#REF!</definedName>
    <definedName name="___tra122">#REF!</definedName>
    <definedName name="___tra124" localSheetId="8">#REF!</definedName>
    <definedName name="___tra124">#REF!</definedName>
    <definedName name="___tra126" localSheetId="8">#REF!</definedName>
    <definedName name="___tra126">#REF!</definedName>
    <definedName name="___tra128" localSheetId="8">#REF!</definedName>
    <definedName name="___tra128">#REF!</definedName>
    <definedName name="___tra130" localSheetId="8">#REF!</definedName>
    <definedName name="___tra130">#REF!</definedName>
    <definedName name="___tra132" localSheetId="8">#REF!</definedName>
    <definedName name="___tra132">#REF!</definedName>
    <definedName name="___tra134" localSheetId="8">#REF!</definedName>
    <definedName name="___tra134">#REF!</definedName>
    <definedName name="___tra136" localSheetId="8">#REF!</definedName>
    <definedName name="___tra136">#REF!</definedName>
    <definedName name="___tra138" localSheetId="8">#REF!</definedName>
    <definedName name="___tra138">#REF!</definedName>
    <definedName name="___tra140" localSheetId="8">#REF!</definedName>
    <definedName name="___tra140">#REF!</definedName>
    <definedName name="___tra70" localSheetId="8">#REF!</definedName>
    <definedName name="___tra70">#REF!</definedName>
    <definedName name="___tra72" localSheetId="8">#REF!</definedName>
    <definedName name="___tra72">#REF!</definedName>
    <definedName name="___tra74" localSheetId="8">#REF!</definedName>
    <definedName name="___tra74">#REF!</definedName>
    <definedName name="___tra76" localSheetId="8">#REF!</definedName>
    <definedName name="___tra76">#REF!</definedName>
    <definedName name="___tra78" localSheetId="8">#REF!</definedName>
    <definedName name="___tra78">#REF!</definedName>
    <definedName name="___tra80" localSheetId="8">#REF!</definedName>
    <definedName name="___tra80">#REF!</definedName>
    <definedName name="___tra82" localSheetId="8">#REF!</definedName>
    <definedName name="___tra82">#REF!</definedName>
    <definedName name="___tra84" localSheetId="8">#REF!</definedName>
    <definedName name="___tra84">#REF!</definedName>
    <definedName name="___tra86" localSheetId="8">#REF!</definedName>
    <definedName name="___tra86">#REF!</definedName>
    <definedName name="___tra88" localSheetId="8">#REF!</definedName>
    <definedName name="___tra88">#REF!</definedName>
    <definedName name="___tra90" localSheetId="8">#REF!</definedName>
    <definedName name="___tra90">#REF!</definedName>
    <definedName name="___tra92" localSheetId="8">#REF!</definedName>
    <definedName name="___tra92">#REF!</definedName>
    <definedName name="___tra94" localSheetId="8">#REF!</definedName>
    <definedName name="___tra94">#REF!</definedName>
    <definedName name="___tra96" localSheetId="8">#REF!</definedName>
    <definedName name="___tra96">#REF!</definedName>
    <definedName name="___tra98" localSheetId="8">#REF!</definedName>
    <definedName name="___tra98">#REF!</definedName>
    <definedName name="___tt3" localSheetId="1" hidden="1">{"'Sheet1'!$L$16"}</definedName>
    <definedName name="___tt3" localSheetId="2" hidden="1">{"'Sheet1'!$L$16"}</definedName>
    <definedName name="___tt3" localSheetId="4" hidden="1">{"'Sheet1'!$L$16"}</definedName>
    <definedName name="___tt3" localSheetId="5" hidden="1">{"'Sheet1'!$L$16"}</definedName>
    <definedName name="___tt3" localSheetId="6" hidden="1">{"'Sheet1'!$L$16"}</definedName>
    <definedName name="___tt3" localSheetId="7" hidden="1">{"'Sheet1'!$L$16"}</definedName>
    <definedName name="___tt3" localSheetId="8" hidden="1">{"'Sheet1'!$L$16"}</definedName>
    <definedName name="___tt3" hidden="1">{"'Sheet1'!$L$16"}</definedName>
    <definedName name="___tz593" localSheetId="8">#REF!</definedName>
    <definedName name="___tz593">#REF!</definedName>
    <definedName name="___UT2" localSheetId="8">#REF!</definedName>
    <definedName name="___UT2">#REF!</definedName>
    <definedName name="___VL100" localSheetId="8">#REF!</definedName>
    <definedName name="___VL100">#REF!</definedName>
    <definedName name="___VL200" localSheetId="8">#REF!</definedName>
    <definedName name="___VL200">#REF!</definedName>
    <definedName name="___VL250" localSheetId="8">#REF!</definedName>
    <definedName name="___VL250">#REF!</definedName>
    <definedName name="___xx1">#REF!</definedName>
    <definedName name="___xx12">#REF!</definedName>
    <definedName name="___xx2">#REF!</definedName>
    <definedName name="___xx3" localSheetId="8">#REF!</definedName>
    <definedName name="___xx3">#REF!</definedName>
    <definedName name="___xx4" localSheetId="8">#REF!</definedName>
    <definedName name="___xx4">#REF!</definedName>
    <definedName name="___xx5" localSheetId="8">#REF!</definedName>
    <definedName name="___xx5">#REF!</definedName>
    <definedName name="___xx6" localSheetId="8">#REF!</definedName>
    <definedName name="___xx6">#REF!</definedName>
    <definedName name="___xx7" localSheetId="8">#REF!</definedName>
    <definedName name="___xx7">#REF!</definedName>
    <definedName name="___yy1">#REF!</definedName>
    <definedName name="___yy2">#REF!</definedName>
    <definedName name="___zx1">#REF!</definedName>
    <definedName name="__a1" localSheetId="1" hidden="1">{"'Sheet1'!$L$16"}</definedName>
    <definedName name="__a1" localSheetId="2" hidden="1">{"'Sheet1'!$L$16"}</definedName>
    <definedName name="__a1" localSheetId="3" hidden="1">{"'Sheet1'!$L$16"}</definedName>
    <definedName name="__a1" localSheetId="4" hidden="1">{"'Sheet1'!$L$16"}</definedName>
    <definedName name="__a1" localSheetId="5" hidden="1">{"'Sheet1'!$L$16"}</definedName>
    <definedName name="__a1" localSheetId="6" hidden="1">{"'Sheet1'!$L$16"}</definedName>
    <definedName name="__a1" localSheetId="7" hidden="1">{"'Sheet1'!$L$16"}</definedName>
    <definedName name="__a1" localSheetId="8" hidden="1">{"'Sheet1'!$L$16"}</definedName>
    <definedName name="__a1" hidden="1">{"'Sheet1'!$L$16"}</definedName>
    <definedName name="__a12" localSheetId="1" hidden="1">{"'Sheet1'!$L$16"}</definedName>
    <definedName name="__a12" localSheetId="2" hidden="1">{"'Sheet1'!$L$16"}</definedName>
    <definedName name="__a12" localSheetId="4" hidden="1">{"'Sheet1'!$L$16"}</definedName>
    <definedName name="__a12" localSheetId="5" hidden="1">{"'Sheet1'!$L$16"}</definedName>
    <definedName name="__a12" localSheetId="6" hidden="1">{"'Sheet1'!$L$16"}</definedName>
    <definedName name="__a12" localSheetId="7" hidden="1">{"'Sheet1'!$L$16"}</definedName>
    <definedName name="__a12" localSheetId="8" hidden="1">{"'Sheet1'!$L$16"}</definedName>
    <definedName name="__a12" hidden="1">{"'Sheet1'!$L$16"}</definedName>
    <definedName name="_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_a129" localSheetId="4" hidden="1">{"Offgrid",#N/A,FALSE,"OFFGRID";"Region",#N/A,FALSE,"REGION";"Offgrid -2",#N/A,FALSE,"OFFGRID";"WTP",#N/A,FALSE,"WTP";"WTP -2",#N/A,FALSE,"WTP";"Project",#N/A,FALSE,"PROJECT";"Summary -2",#N/A,FALSE,"SUMMARY"}</definedName>
    <definedName name="__a129" localSheetId="5" hidden="1">{"Offgrid",#N/A,FALSE,"OFFGRID";"Region",#N/A,FALSE,"REGION";"Offgrid -2",#N/A,FALSE,"OFFGRID";"WTP",#N/A,FALSE,"WTP";"WTP -2",#N/A,FALSE,"WTP";"Project",#N/A,FALSE,"PROJECT";"Summary -2",#N/A,FALSE,"SUMMARY"}</definedName>
    <definedName name="__a129" localSheetId="6" hidden="1">{"Offgrid",#N/A,FALSE,"OFFGRID";"Region",#N/A,FALSE,"REGION";"Offgrid -2",#N/A,FALSE,"OFFGRID";"WTP",#N/A,FALSE,"WTP";"WTP -2",#N/A,FALSE,"WTP";"Project",#N/A,FALSE,"PROJECT";"Summary -2",#N/A,FALSE,"SUMMARY"}</definedName>
    <definedName name="__a129" localSheetId="7" hidden="1">{"Offgrid",#N/A,FALSE,"OFFGRID";"Region",#N/A,FALSE,"REGION";"Offgrid -2",#N/A,FALSE,"OFFGRID";"WTP",#N/A,FALSE,"WTP";"WTP -2",#N/A,FALSE,"WTP";"Project",#N/A,FALSE,"PROJECT";"Summary -2",#N/A,FALSE,"SUMMARY"}</definedName>
    <definedName name="__a129" localSheetId="8" hidden="1">{"Offgrid",#N/A,FALSE,"OFFGRID";"Region",#N/A,FALSE,"REGION";"Offgrid -2",#N/A,FALSE,"OFFGRID";"WTP",#N/A,FALSE,"WTP";"WTP -2",#N/A,FALSE,"WTP";"Project",#N/A,FALSE,"PROJECT";"Summary -2",#N/A,FALSE,"SUMMARY"}</definedName>
    <definedName name="__a129" hidden="1">{"Offgrid",#N/A,FALSE,"OFFGRID";"Region",#N/A,FALSE,"REGION";"Offgrid -2",#N/A,FALSE,"OFFGRID";"WTP",#N/A,FALSE,"WTP";"WTP -2",#N/A,FALSE,"WTP";"Project",#N/A,FALSE,"PROJECT";"Summary -2",#N/A,FALSE,"SUMMARY"}</definedName>
    <definedName name="__a13" localSheetId="1" hidden="1">{"'Sheet1'!$L$16"}</definedName>
    <definedName name="__a13" localSheetId="2" hidden="1">{"'Sheet1'!$L$16"}</definedName>
    <definedName name="__a13" localSheetId="4" hidden="1">{"'Sheet1'!$L$16"}</definedName>
    <definedName name="__a13" localSheetId="5" hidden="1">{"'Sheet1'!$L$16"}</definedName>
    <definedName name="__a13" localSheetId="6" hidden="1">{"'Sheet1'!$L$16"}</definedName>
    <definedName name="__a13" localSheetId="7" hidden="1">{"'Sheet1'!$L$16"}</definedName>
    <definedName name="__a13" localSheetId="8" hidden="1">{"'Sheet1'!$L$16"}</definedName>
    <definedName name="__a13" hidden="1">{"'Sheet1'!$L$16"}</definedName>
    <definedName name="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_a130" localSheetId="4" hidden="1">{"Offgrid",#N/A,FALSE,"OFFGRID";"Region",#N/A,FALSE,"REGION";"Offgrid -2",#N/A,FALSE,"OFFGRID";"WTP",#N/A,FALSE,"WTP";"WTP -2",#N/A,FALSE,"WTP";"Project",#N/A,FALSE,"PROJECT";"Summary -2",#N/A,FALSE,"SUMMARY"}</definedName>
    <definedName name="__a130" localSheetId="5" hidden="1">{"Offgrid",#N/A,FALSE,"OFFGRID";"Region",#N/A,FALSE,"REGION";"Offgrid -2",#N/A,FALSE,"OFFGRID";"WTP",#N/A,FALSE,"WTP";"WTP -2",#N/A,FALSE,"WTP";"Project",#N/A,FALSE,"PROJECT";"Summary -2",#N/A,FALSE,"SUMMARY"}</definedName>
    <definedName name="__a130" localSheetId="6" hidden="1">{"Offgrid",#N/A,FALSE,"OFFGRID";"Region",#N/A,FALSE,"REGION";"Offgrid -2",#N/A,FALSE,"OFFGRID";"WTP",#N/A,FALSE,"WTP";"WTP -2",#N/A,FALSE,"WTP";"Project",#N/A,FALSE,"PROJECT";"Summary -2",#N/A,FALSE,"SUMMARY"}</definedName>
    <definedName name="__a130" localSheetId="7" hidden="1">{"Offgrid",#N/A,FALSE,"OFFGRID";"Region",#N/A,FALSE,"REGION";"Offgrid -2",#N/A,FALSE,"OFFGRID";"WTP",#N/A,FALSE,"WTP";"WTP -2",#N/A,FALSE,"WTP";"Project",#N/A,FALSE,"PROJECT";"Summary -2",#N/A,FALSE,"SUMMARY"}</definedName>
    <definedName name="__a130" localSheetId="8" hidden="1">{"Offgrid",#N/A,FALSE,"OFFGRID";"Region",#N/A,FALSE,"REGION";"Offgrid -2",#N/A,FALSE,"OFFGRID";"WTP",#N/A,FALSE,"WTP";"WTP -2",#N/A,FALSE,"WTP";"Project",#N/A,FALSE,"PROJECT";"Summary -2",#N/A,FALSE,"SUMMARY"}</definedName>
    <definedName name="__a130" hidden="1">{"Offgrid",#N/A,FALSE,"OFFGRID";"Region",#N/A,FALSE,"REGION";"Offgrid -2",#N/A,FALSE,"OFFGRID";"WTP",#N/A,FALSE,"WTP";"WTP -2",#N/A,FALSE,"WTP";"Project",#N/A,FALSE,"PROJECT";"Summary -2",#N/A,FALSE,"SUMMARY"}</definedName>
    <definedName name="__a14" localSheetId="1" hidden="1">{"'Sheet1'!$L$16"}</definedName>
    <definedName name="__a14" localSheetId="2" hidden="1">{"'Sheet1'!$L$16"}</definedName>
    <definedName name="__a14" localSheetId="4" hidden="1">{"'Sheet1'!$L$16"}</definedName>
    <definedName name="__a14" localSheetId="5" hidden="1">{"'Sheet1'!$L$16"}</definedName>
    <definedName name="__a14" localSheetId="6" hidden="1">{"'Sheet1'!$L$16"}</definedName>
    <definedName name="__a14" localSheetId="7" hidden="1">{"'Sheet1'!$L$16"}</definedName>
    <definedName name="__a14" localSheetId="8" hidden="1">{"'Sheet1'!$L$16"}</definedName>
    <definedName name="__a14" hidden="1">{"'Sheet1'!$L$16"}</definedName>
    <definedName name="__a15" localSheetId="1" hidden="1">{"'Sheet1'!$L$16"}</definedName>
    <definedName name="__a15" localSheetId="2" hidden="1">{"'Sheet1'!$L$16"}</definedName>
    <definedName name="__a15" localSheetId="4" hidden="1">{"'Sheet1'!$L$16"}</definedName>
    <definedName name="__a15" localSheetId="5" hidden="1">{"'Sheet1'!$L$16"}</definedName>
    <definedName name="__a15" localSheetId="6" hidden="1">{"'Sheet1'!$L$16"}</definedName>
    <definedName name="__a15" localSheetId="7" hidden="1">{"'Sheet1'!$L$16"}</definedName>
    <definedName name="__a15" localSheetId="8" hidden="1">{"'Sheet1'!$L$16"}</definedName>
    <definedName name="__a15" hidden="1">{"'Sheet1'!$L$16"}</definedName>
    <definedName name="__a16" localSheetId="1" hidden="1">{#N/A,#N/A,FALSE,"Chi tiÆt"}</definedName>
    <definedName name="__a16" localSheetId="2" hidden="1">{#N/A,#N/A,FALSE,"Chi tiÆt"}</definedName>
    <definedName name="__a16" localSheetId="4" hidden="1">{#N/A,#N/A,FALSE,"Chi tiÆt"}</definedName>
    <definedName name="__a16" localSheetId="5" hidden="1">{#N/A,#N/A,FALSE,"Chi tiÆt"}</definedName>
    <definedName name="__a16" localSheetId="6" hidden="1">{#N/A,#N/A,FALSE,"Chi tiÆt"}</definedName>
    <definedName name="__a16" localSheetId="7" hidden="1">{#N/A,#N/A,FALSE,"Chi tiÆt"}</definedName>
    <definedName name="__a16" localSheetId="8" hidden="1">{#N/A,#N/A,FALSE,"Chi tiÆt"}</definedName>
    <definedName name="__a16" hidden="1">{#N/A,#N/A,FALSE,"Chi tiÆt"}</definedName>
    <definedName name="__a2" localSheetId="1" hidden="1">{"'Sheet1'!$L$16"}</definedName>
    <definedName name="__a2" localSheetId="2" hidden="1">{"'Sheet1'!$L$16"}</definedName>
    <definedName name="__a2" localSheetId="4" hidden="1">{"'Sheet1'!$L$16"}</definedName>
    <definedName name="__a2" localSheetId="5" hidden="1">{"'Sheet1'!$L$16"}</definedName>
    <definedName name="__a2" localSheetId="6" hidden="1">{"'Sheet1'!$L$16"}</definedName>
    <definedName name="__a2" localSheetId="7" hidden="1">{"'Sheet1'!$L$16"}</definedName>
    <definedName name="__a2" localSheetId="8" hidden="1">{"'Sheet1'!$L$16"}</definedName>
    <definedName name="__a2" hidden="1">{"'Sheet1'!$L$16"}</definedName>
    <definedName name="__a3" localSheetId="1" hidden="1">{"'Sheet1'!$L$16"}</definedName>
    <definedName name="__a3" localSheetId="2" hidden="1">{"'Sheet1'!$L$16"}</definedName>
    <definedName name="__a3" localSheetId="4" hidden="1">{"'Sheet1'!$L$16"}</definedName>
    <definedName name="__a3" localSheetId="5" hidden="1">{"'Sheet1'!$L$16"}</definedName>
    <definedName name="__a3" localSheetId="6" hidden="1">{"'Sheet1'!$L$16"}</definedName>
    <definedName name="__a3" localSheetId="7" hidden="1">{"'Sheet1'!$L$16"}</definedName>
    <definedName name="__a3" localSheetId="8" hidden="1">{"'Sheet1'!$L$16"}</definedName>
    <definedName name="__a3" hidden="1">{"'Sheet1'!$L$16"}</definedName>
    <definedName name="__A4" localSheetId="1" hidden="1">{"'Sheet1'!$L$16"}</definedName>
    <definedName name="__A4" localSheetId="2" hidden="1">{"'Sheet1'!$L$16"}</definedName>
    <definedName name="__A4" localSheetId="4" hidden="1">{"'Sheet1'!$L$16"}</definedName>
    <definedName name="__A4" localSheetId="5" hidden="1">{"'Sheet1'!$L$16"}</definedName>
    <definedName name="__A4" localSheetId="6" hidden="1">{"'Sheet1'!$L$16"}</definedName>
    <definedName name="__A4" localSheetId="7" hidden="1">{"'Sheet1'!$L$16"}</definedName>
    <definedName name="__A4" localSheetId="8" hidden="1">{"'Sheet1'!$L$16"}</definedName>
    <definedName name="__A4" hidden="1">{"'Sheet1'!$L$16"}</definedName>
    <definedName name="__a5" localSheetId="1" hidden="1">{#N/A,#N/A,FALSE,"Chi tiÆt"}</definedName>
    <definedName name="__a5" localSheetId="2" hidden="1">{#N/A,#N/A,FALSE,"Chi tiÆt"}</definedName>
    <definedName name="__a5" localSheetId="4" hidden="1">{#N/A,#N/A,FALSE,"Chi tiÆt"}</definedName>
    <definedName name="__a5" localSheetId="5" hidden="1">{#N/A,#N/A,FALSE,"Chi tiÆt"}</definedName>
    <definedName name="__a5" localSheetId="6" hidden="1">{#N/A,#N/A,FALSE,"Chi tiÆt"}</definedName>
    <definedName name="__a5" localSheetId="7" hidden="1">{#N/A,#N/A,FALSE,"Chi tiÆt"}</definedName>
    <definedName name="__a5" localSheetId="8" hidden="1">{#N/A,#N/A,FALSE,"Chi tiÆt"}</definedName>
    <definedName name="__a5" hidden="1">{#N/A,#N/A,FALSE,"Chi tiÆt"}</definedName>
    <definedName name="__A65700" localSheetId="8">#REF!</definedName>
    <definedName name="__A65700">#REF!</definedName>
    <definedName name="__A65800" localSheetId="8">#REF!</definedName>
    <definedName name="__A65800">#REF!</definedName>
    <definedName name="__A66000" localSheetId="8">#REF!</definedName>
    <definedName name="__A66000">#REF!</definedName>
    <definedName name="__A67000" localSheetId="8">#REF!</definedName>
    <definedName name="__A67000">#REF!</definedName>
    <definedName name="__A68000" localSheetId="8">#REF!</definedName>
    <definedName name="__A68000">#REF!</definedName>
    <definedName name="__A70000" localSheetId="8">#REF!</definedName>
    <definedName name="__A70000">#REF!</definedName>
    <definedName name="__A75000" localSheetId="8">#REF!</definedName>
    <definedName name="__A75000">#REF!</definedName>
    <definedName name="__A85000" localSheetId="8">#REF!</definedName>
    <definedName name="__A85000">#REF!</definedName>
    <definedName name="__abb91" localSheetId="8">#REF!</definedName>
    <definedName name="__abb91">#REF!</definedName>
    <definedName name="__atn1" localSheetId="8">#REF!</definedName>
    <definedName name="__atn1">#REF!</definedName>
    <definedName name="__atn10" localSheetId="8">#REF!</definedName>
    <definedName name="__atn10">#REF!</definedName>
    <definedName name="__atn2" localSheetId="8">#REF!</definedName>
    <definedName name="__atn2">#REF!</definedName>
    <definedName name="__atn3" localSheetId="8">#REF!</definedName>
    <definedName name="__atn3">#REF!</definedName>
    <definedName name="__atn4" localSheetId="8">#REF!</definedName>
    <definedName name="__atn4">#REF!</definedName>
    <definedName name="__atn5" localSheetId="8">#REF!</definedName>
    <definedName name="__atn5">#REF!</definedName>
    <definedName name="__atn6" localSheetId="8">#REF!</definedName>
    <definedName name="__atn6">#REF!</definedName>
    <definedName name="__atn7" localSheetId="8">#REF!</definedName>
    <definedName name="__atn7">#REF!</definedName>
    <definedName name="__atn8" localSheetId="8">#REF!</definedName>
    <definedName name="__atn8">#REF!</definedName>
    <definedName name="__atn9" localSheetId="8">#REF!</definedName>
    <definedName name="__atn9">#REF!</definedName>
    <definedName name="__boi1" localSheetId="8">#REF!</definedName>
    <definedName name="__boi1">#REF!</definedName>
    <definedName name="__boi2" localSheetId="8">#REF!</definedName>
    <definedName name="__boi2">#REF!</definedName>
    <definedName name="__boi3" localSheetId="8">#REF!</definedName>
    <definedName name="__boi3">#REF!</definedName>
    <definedName name="__boi4" localSheetId="8">#REF!</definedName>
    <definedName name="__boi4">#REF!</definedName>
    <definedName name="__btm10" localSheetId="8">#REF!</definedName>
    <definedName name="__btm10">#REF!</definedName>
    <definedName name="__btm100" localSheetId="8">#REF!</definedName>
    <definedName name="__btm100">#REF!</definedName>
    <definedName name="__BTM150" localSheetId="8">#REF!</definedName>
    <definedName name="__BTM150">#REF!</definedName>
    <definedName name="__BTM200" localSheetId="8">#REF!</definedName>
    <definedName name="__BTM200">#REF!</definedName>
    <definedName name="__BTM250" localSheetId="8">#REF!</definedName>
    <definedName name="__BTM250">#REF!</definedName>
    <definedName name="__BTM300" localSheetId="8">#REF!</definedName>
    <definedName name="__BTM300">#REF!</definedName>
    <definedName name="__BTM50" localSheetId="8">#REF!</definedName>
    <definedName name="__BTM50">#REF!</definedName>
    <definedName name="__cao1" localSheetId="8">#REF!</definedName>
    <definedName name="__cao1">#REF!</definedName>
    <definedName name="__cao2" localSheetId="8">#REF!</definedName>
    <definedName name="__cao2">#REF!</definedName>
    <definedName name="__cao3" localSheetId="8">#REF!</definedName>
    <definedName name="__cao3">#REF!</definedName>
    <definedName name="__cao4" localSheetId="8">#REF!</definedName>
    <definedName name="__cao4">#REF!</definedName>
    <definedName name="__cao5" localSheetId="8">#REF!</definedName>
    <definedName name="__cao5">#REF!</definedName>
    <definedName name="__cao6" localSheetId="8">#REF!</definedName>
    <definedName name="__cao6">#REF!</definedName>
    <definedName name="__Cau2" localSheetId="8">#REF!</definedName>
    <definedName name="__Cau2">#REF!</definedName>
    <definedName name="__Coc1" localSheetId="8">#REF!</definedName>
    <definedName name="__Coc1">#REF!</definedName>
    <definedName name="__CON1" localSheetId="8">#REF!</definedName>
    <definedName name="__CON1">#REF!</definedName>
    <definedName name="__CON2" localSheetId="8">#REF!</definedName>
    <definedName name="__CON2">#REF!</definedName>
    <definedName name="__cpd1" localSheetId="8">#REF!</definedName>
    <definedName name="__cpd1">#REF!</definedName>
    <definedName name="__cpd2" localSheetId="8">#REF!</definedName>
    <definedName name="__cpd2">#REF!</definedName>
    <definedName name="__CT250" localSheetId="8">#REF!</definedName>
    <definedName name="__CT250">#REF!</definedName>
    <definedName name="__CT4" localSheetId="1" hidden="1">{"'Sheet1'!$L$16"}</definedName>
    <definedName name="__CT4" localSheetId="2" hidden="1">{"'Sheet1'!$L$16"}</definedName>
    <definedName name="__CT4" localSheetId="4" hidden="1">{"'Sheet1'!$L$16"}</definedName>
    <definedName name="__CT4" localSheetId="5" hidden="1">{"'Sheet1'!$L$16"}</definedName>
    <definedName name="__CT4" localSheetId="6" hidden="1">{"'Sheet1'!$L$16"}</definedName>
    <definedName name="__CT4" localSheetId="7" hidden="1">{"'Sheet1'!$L$16"}</definedName>
    <definedName name="__CT4" localSheetId="8" hidden="1">{"'Sheet1'!$L$16"}</definedName>
    <definedName name="__CT4" hidden="1">{"'Sheet1'!$L$16"}</definedName>
    <definedName name="__D2">#REF!</definedName>
    <definedName name="__dai1" localSheetId="8">#REF!</definedName>
    <definedName name="__dai1">#REF!</definedName>
    <definedName name="__dai2" localSheetId="8">#REF!</definedName>
    <definedName name="__dai2">#REF!</definedName>
    <definedName name="__dai3" localSheetId="8">#REF!</definedName>
    <definedName name="__dai3">#REF!</definedName>
    <definedName name="__dai4" localSheetId="8">#REF!</definedName>
    <definedName name="__dai4">#REF!</definedName>
    <definedName name="__dai5" localSheetId="8">#REF!</definedName>
    <definedName name="__dai5">#REF!</definedName>
    <definedName name="__dai6" localSheetId="8">#REF!</definedName>
    <definedName name="__dai6">#REF!</definedName>
    <definedName name="__dan1" localSheetId="8">#REF!</definedName>
    <definedName name="__dan1">#REF!</definedName>
    <definedName name="__dan2" localSheetId="8">#REF!</definedName>
    <definedName name="__dan2">#REF!</definedName>
    <definedName name="__dao1" localSheetId="8">#REF!</definedName>
    <definedName name="__dao1">#REF!</definedName>
    <definedName name="__dbu1" localSheetId="8">#REF!</definedName>
    <definedName name="__dbu1">#REF!</definedName>
    <definedName name="__dbu2" localSheetId="8">#REF!</definedName>
    <definedName name="__dbu2">#REF!</definedName>
    <definedName name="__DDC3" localSheetId="8">#REF!</definedName>
    <definedName name="__DDC3">#REF!</definedName>
    <definedName name="__ddn400" localSheetId="8">#REF!</definedName>
    <definedName name="__ddn400">#REF!</definedName>
    <definedName name="__ddn600" localSheetId="8">#REF!</definedName>
    <definedName name="__ddn600">#REF!</definedName>
    <definedName name="__deo1" localSheetId="8">#REF!</definedName>
    <definedName name="__deo1">#REF!</definedName>
    <definedName name="__deo10" localSheetId="8">#REF!</definedName>
    <definedName name="__deo10">#REF!</definedName>
    <definedName name="__deo2" localSheetId="8">#REF!</definedName>
    <definedName name="__deo2">#REF!</definedName>
    <definedName name="__deo3" localSheetId="8">#REF!</definedName>
    <definedName name="__deo3">#REF!</definedName>
    <definedName name="__deo4" localSheetId="8">#REF!</definedName>
    <definedName name="__deo4">#REF!</definedName>
    <definedName name="__deo5" localSheetId="8">#REF!</definedName>
    <definedName name="__deo5">#REF!</definedName>
    <definedName name="__deo6" localSheetId="8">#REF!</definedName>
    <definedName name="__deo6">#REF!</definedName>
    <definedName name="__deo7" localSheetId="8">#REF!</definedName>
    <definedName name="__deo7">#REF!</definedName>
    <definedName name="__deo8" localSheetId="8">#REF!</definedName>
    <definedName name="__deo8">#REF!</definedName>
    <definedName name="__deo9" localSheetId="8">#REF!</definedName>
    <definedName name="__deo9">#REF!</definedName>
    <definedName name="__dgt100" localSheetId="8">#REF!</definedName>
    <definedName name="__dgt100">#REF!</definedName>
    <definedName name="__E99999" localSheetId="8">#REF!</definedName>
    <definedName name="__E99999">#REF!</definedName>
    <definedName name="__FDS_HYPERLINK_TOGGLE_STATE__" hidden="1">"ON"</definedName>
    <definedName name="__GID1" localSheetId="8">#REF!</definedName>
    <definedName name="__GID1">#REF!</definedName>
    <definedName name="__Goi8" localSheetId="1" hidden="1">{"'Sheet1'!$L$16"}</definedName>
    <definedName name="__Goi8" localSheetId="2" hidden="1">{"'Sheet1'!$L$16"}</definedName>
    <definedName name="__Goi8" localSheetId="4" hidden="1">{"'Sheet1'!$L$16"}</definedName>
    <definedName name="__Goi8" localSheetId="5" hidden="1">{"'Sheet1'!$L$16"}</definedName>
    <definedName name="__Goi8" localSheetId="6" hidden="1">{"'Sheet1'!$L$16"}</definedName>
    <definedName name="__Goi8" localSheetId="7" hidden="1">{"'Sheet1'!$L$16"}</definedName>
    <definedName name="__Goi8" localSheetId="8" hidden="1">{"'Sheet1'!$L$16"}</definedName>
    <definedName name="__Goi8" hidden="1">{"'Sheet1'!$L$16"}</definedName>
    <definedName name="__gon4" localSheetId="8">#REF!</definedName>
    <definedName name="__gon4">#REF!</definedName>
    <definedName name="__h1" localSheetId="1" hidden="1">{"'Sheet1'!$L$16"}</definedName>
    <definedName name="__h1" localSheetId="2" hidden="1">{"'Sheet1'!$L$16"}</definedName>
    <definedName name="__h1" localSheetId="4" hidden="1">{"'Sheet1'!$L$16"}</definedName>
    <definedName name="__h1" localSheetId="5" hidden="1">{"'Sheet1'!$L$16"}</definedName>
    <definedName name="__h1" localSheetId="6" hidden="1">{"'Sheet1'!$L$16"}</definedName>
    <definedName name="__h1" localSheetId="7" hidden="1">{"'Sheet1'!$L$16"}</definedName>
    <definedName name="__h1" localSheetId="8" hidden="1">{"'Sheet1'!$L$16"}</definedName>
    <definedName name="__h1" hidden="1">{"'Sheet1'!$L$16"}</definedName>
    <definedName name="__hom2" localSheetId="8">#REF!</definedName>
    <definedName name="__hom2">#REF!</definedName>
    <definedName name="__hu1" localSheetId="1" hidden="1">{"'Sheet1'!$L$16"}</definedName>
    <definedName name="__hu1" localSheetId="2" hidden="1">{"'Sheet1'!$L$16"}</definedName>
    <definedName name="__hu1" localSheetId="4" hidden="1">{"'Sheet1'!$L$16"}</definedName>
    <definedName name="__hu1" localSheetId="5" hidden="1">{"'Sheet1'!$L$16"}</definedName>
    <definedName name="__hu1" localSheetId="6" hidden="1">{"'Sheet1'!$L$16"}</definedName>
    <definedName name="__hu1" localSheetId="7" hidden="1">{"'Sheet1'!$L$16"}</definedName>
    <definedName name="__hu1" localSheetId="8" hidden="1">{"'Sheet1'!$L$16"}</definedName>
    <definedName name="__hu1" hidden="1">{"'Sheet1'!$L$16"}</definedName>
    <definedName name="__hu2" localSheetId="1" hidden="1">{"'Sheet1'!$L$16"}</definedName>
    <definedName name="__hu2" localSheetId="2" hidden="1">{"'Sheet1'!$L$16"}</definedName>
    <definedName name="__hu2" localSheetId="4" hidden="1">{"'Sheet1'!$L$16"}</definedName>
    <definedName name="__hu2" localSheetId="5" hidden="1">{"'Sheet1'!$L$16"}</definedName>
    <definedName name="__hu2" localSheetId="6" hidden="1">{"'Sheet1'!$L$16"}</definedName>
    <definedName name="__hu2" localSheetId="7" hidden="1">{"'Sheet1'!$L$16"}</definedName>
    <definedName name="__hu2" localSheetId="8" hidden="1">{"'Sheet1'!$L$16"}</definedName>
    <definedName name="__hu2" hidden="1">{"'Sheet1'!$L$16"}</definedName>
    <definedName name="__hu5" localSheetId="1" hidden="1">{"'Sheet1'!$L$16"}</definedName>
    <definedName name="__hu5" localSheetId="2" hidden="1">{"'Sheet1'!$L$16"}</definedName>
    <definedName name="__hu5" localSheetId="4" hidden="1">{"'Sheet1'!$L$16"}</definedName>
    <definedName name="__hu5" localSheetId="5" hidden="1">{"'Sheet1'!$L$16"}</definedName>
    <definedName name="__hu5" localSheetId="6" hidden="1">{"'Sheet1'!$L$16"}</definedName>
    <definedName name="__hu5" localSheetId="7" hidden="1">{"'Sheet1'!$L$16"}</definedName>
    <definedName name="__hu5" localSheetId="8" hidden="1">{"'Sheet1'!$L$16"}</definedName>
    <definedName name="__hu5" hidden="1">{"'Sheet1'!$L$16"}</definedName>
    <definedName name="__hu6" localSheetId="1" hidden="1">{"'Sheet1'!$L$16"}</definedName>
    <definedName name="__hu6" localSheetId="2" hidden="1">{"'Sheet1'!$L$16"}</definedName>
    <definedName name="__hu6" localSheetId="4" hidden="1">{"'Sheet1'!$L$16"}</definedName>
    <definedName name="__hu6" localSheetId="5" hidden="1">{"'Sheet1'!$L$16"}</definedName>
    <definedName name="__hu6" localSheetId="6" hidden="1">{"'Sheet1'!$L$16"}</definedName>
    <definedName name="__hu6" localSheetId="7" hidden="1">{"'Sheet1'!$L$16"}</definedName>
    <definedName name="__hu6" localSheetId="8" hidden="1">{"'Sheet1'!$L$16"}</definedName>
    <definedName name="__hu6" hidden="1">{"'Sheet1'!$L$16"}</definedName>
    <definedName name="__huy1" localSheetId="1" hidden="1">{"'Sheet1'!$L$16"}</definedName>
    <definedName name="__huy1" localSheetId="2" hidden="1">{"'Sheet1'!$L$16"}</definedName>
    <definedName name="__huy1" localSheetId="4" hidden="1">{"'Sheet1'!$L$16"}</definedName>
    <definedName name="__huy1" localSheetId="5" hidden="1">{"'Sheet1'!$L$16"}</definedName>
    <definedName name="__huy1" localSheetId="6" hidden="1">{"'Sheet1'!$L$16"}</definedName>
    <definedName name="__huy1" localSheetId="7" hidden="1">{"'Sheet1'!$L$16"}</definedName>
    <definedName name="__huy1" localSheetId="8" hidden="1">{"'Sheet1'!$L$16"}</definedName>
    <definedName name="__huy1" hidden="1">{"'Sheet1'!$L$16"}</definedName>
    <definedName name="__IntlFixup" hidden="1">TRUE</definedName>
    <definedName name="__khu7" localSheetId="8">#REF!</definedName>
    <definedName name="__khu7">#REF!</definedName>
    <definedName name="__Lan1" localSheetId="1" hidden="1">{"'Sheet1'!$L$16"}</definedName>
    <definedName name="__Lan1" localSheetId="2" hidden="1">{"'Sheet1'!$L$16"}</definedName>
    <definedName name="__Lan1" localSheetId="4" hidden="1">{"'Sheet1'!$L$16"}</definedName>
    <definedName name="__Lan1" localSheetId="5" hidden="1">{"'Sheet1'!$L$16"}</definedName>
    <definedName name="__Lan1" localSheetId="6" hidden="1">{"'Sheet1'!$L$16"}</definedName>
    <definedName name="__Lan1" localSheetId="7" hidden="1">{"'Sheet1'!$L$16"}</definedName>
    <definedName name="__Lan1" localSheetId="8" hidden="1">{"'Sheet1'!$L$16"}</definedName>
    <definedName name="__Lan1" hidden="1">{"'Sheet1'!$L$16"}</definedName>
    <definedName name="__Lan2" localSheetId="1" hidden="1">{"'Sheet1'!$L$16"}</definedName>
    <definedName name="__Lan2" localSheetId="2" hidden="1">{"'Sheet1'!$L$16"}</definedName>
    <definedName name="__Lan2" localSheetId="4" hidden="1">{"'Sheet1'!$L$16"}</definedName>
    <definedName name="__Lan2" localSheetId="5" hidden="1">{"'Sheet1'!$L$16"}</definedName>
    <definedName name="__Lan2" localSheetId="6" hidden="1">{"'Sheet1'!$L$16"}</definedName>
    <definedName name="__Lan2" localSheetId="7" hidden="1">{"'Sheet1'!$L$16"}</definedName>
    <definedName name="__Lan2" localSheetId="8" hidden="1">{"'Sheet1'!$L$16"}</definedName>
    <definedName name="__Lan2" hidden="1">{"'Sheet1'!$L$16"}</definedName>
    <definedName name="__LAN3" localSheetId="1" hidden="1">{"'Sheet1'!$L$16"}</definedName>
    <definedName name="__LAN3" localSheetId="2" hidden="1">{"'Sheet1'!$L$16"}</definedName>
    <definedName name="__LAN3" localSheetId="4" hidden="1">{"'Sheet1'!$L$16"}</definedName>
    <definedName name="__LAN3" localSheetId="5" hidden="1">{"'Sheet1'!$L$16"}</definedName>
    <definedName name="__LAN3" localSheetId="6" hidden="1">{"'Sheet1'!$L$16"}</definedName>
    <definedName name="__LAN3" localSheetId="7" hidden="1">{"'Sheet1'!$L$16"}</definedName>
    <definedName name="__LAN3" localSheetId="8" hidden="1">{"'Sheet1'!$L$16"}</definedName>
    <definedName name="__LAN3" hidden="1">{"'Sheet1'!$L$16"}</definedName>
    <definedName name="__lap1" localSheetId="8">#REF!</definedName>
    <definedName name="__lap1">#REF!</definedName>
    <definedName name="__lap2" localSheetId="8">#REF!</definedName>
    <definedName name="__lap2">#REF!</definedName>
    <definedName name="__ld2" localSheetId="1" hidden="1">{"'Sheet1'!$L$16"}</definedName>
    <definedName name="__ld2" localSheetId="2" hidden="1">{"'Sheet1'!$L$16"}</definedName>
    <definedName name="__ld2" localSheetId="4" hidden="1">{"'Sheet1'!$L$16"}</definedName>
    <definedName name="__ld2" localSheetId="5" hidden="1">{"'Sheet1'!$L$16"}</definedName>
    <definedName name="__ld2" localSheetId="6" hidden="1">{"'Sheet1'!$L$16"}</definedName>
    <definedName name="__ld2" localSheetId="7" hidden="1">{"'Sheet1'!$L$16"}</definedName>
    <definedName name="__ld2" localSheetId="8" hidden="1">{"'Sheet1'!$L$16"}</definedName>
    <definedName name="__ld2" hidden="1">{"'Sheet1'!$L$16"}</definedName>
    <definedName name="__LX100" localSheetId="8">#REF!</definedName>
    <definedName name="__LX100">#REF!</definedName>
    <definedName name="__MAC12" localSheetId="8">#REF!</definedName>
    <definedName name="__MAC12">#REF!</definedName>
    <definedName name="__MAC46" localSheetId="8">#REF!</definedName>
    <definedName name="__MAC46">#REF!</definedName>
    <definedName name="__MB1" localSheetId="8">#REF!</definedName>
    <definedName name="__MB1">#REF!</definedName>
    <definedName name="__MB2" localSheetId="8">#REF!</definedName>
    <definedName name="__MB2">#REF!</definedName>
    <definedName name="__MN1" localSheetId="8">#REF!</definedName>
    <definedName name="__MN1">#REF!</definedName>
    <definedName name="__MN2" localSheetId="8">#REF!</definedName>
    <definedName name="__MN2">#REF!</definedName>
    <definedName name="__moi2" localSheetId="1" hidden="1">{"'Sheet1'!$L$16"}</definedName>
    <definedName name="__moi2" localSheetId="2" hidden="1">{"'Sheet1'!$L$16"}</definedName>
    <definedName name="__moi2" localSheetId="4" hidden="1">{"'Sheet1'!$L$16"}</definedName>
    <definedName name="__moi2" localSheetId="5" hidden="1">{"'Sheet1'!$L$16"}</definedName>
    <definedName name="__moi2" localSheetId="6" hidden="1">{"'Sheet1'!$L$16"}</definedName>
    <definedName name="__moi2" localSheetId="7" hidden="1">{"'Sheet1'!$L$16"}</definedName>
    <definedName name="__moi2" localSheetId="8" hidden="1">{"'Sheet1'!$L$16"}</definedName>
    <definedName name="__moi2" hidden="1">{"'Sheet1'!$L$16"}</definedName>
    <definedName name="__MT1" localSheetId="8">#REF!</definedName>
    <definedName name="__MT1">#REF!</definedName>
    <definedName name="__MT2" localSheetId="8">#REF!</definedName>
    <definedName name="__MT2">#REF!</definedName>
    <definedName name="__NC100" localSheetId="8">#REF!</definedName>
    <definedName name="__NC100">#REF!</definedName>
    <definedName name="__nc151" localSheetId="8">#REF!</definedName>
    <definedName name="__nc151">#REF!</definedName>
    <definedName name="__NCL100" localSheetId="8">#REF!</definedName>
    <definedName name="__NCL100">#REF!</definedName>
    <definedName name="__NCL200" localSheetId="8">#REF!</definedName>
    <definedName name="__NCL200">#REF!</definedName>
    <definedName name="__NCL250" localSheetId="8">#REF!</definedName>
    <definedName name="__NCL250">#REF!</definedName>
    <definedName name="__NET2" localSheetId="8">#REF!</definedName>
    <definedName name="__NET2">#REF!</definedName>
    <definedName name="__nin190" localSheetId="8">#REF!</definedName>
    <definedName name="__nin190">#REF!</definedName>
    <definedName name="__No1" localSheetId="8">#REF!</definedName>
    <definedName name="__No1">#REF!</definedName>
    <definedName name="__NSO2" localSheetId="1" hidden="1">{"'Sheet1'!$L$16"}</definedName>
    <definedName name="__NSO2" localSheetId="2" hidden="1">{"'Sheet1'!$L$16"}</definedName>
    <definedName name="__NSO2" localSheetId="4" hidden="1">{"'Sheet1'!$L$16"}</definedName>
    <definedName name="__NSO2" localSheetId="5" hidden="1">{"'Sheet1'!$L$16"}</definedName>
    <definedName name="__NSO2" localSheetId="6" hidden="1">{"'Sheet1'!$L$16"}</definedName>
    <definedName name="__NSO2" localSheetId="7" hidden="1">{"'Sheet1'!$L$16"}</definedName>
    <definedName name="__NSO2" localSheetId="8" hidden="1">{"'Sheet1'!$L$16"}</definedName>
    <definedName name="__NSO2" hidden="1">{"'Sheet1'!$L$16"}</definedName>
    <definedName name="__oto10" localSheetId="8">#REF!</definedName>
    <definedName name="__oto10">#REF!</definedName>
    <definedName name="__PA3" localSheetId="1" hidden="1">{"'Sheet1'!$L$16"}</definedName>
    <definedName name="__PA3" localSheetId="2" hidden="1">{"'Sheet1'!$L$16"}</definedName>
    <definedName name="__PA3" localSheetId="4" hidden="1">{"'Sheet1'!$L$16"}</definedName>
    <definedName name="__PA3" localSheetId="5" hidden="1">{"'Sheet1'!$L$16"}</definedName>
    <definedName name="__PA3" localSheetId="6" hidden="1">{"'Sheet1'!$L$16"}</definedName>
    <definedName name="__PA3" localSheetId="7" hidden="1">{"'Sheet1'!$L$16"}</definedName>
    <definedName name="__PA3" localSheetId="8" hidden="1">{"'Sheet1'!$L$16"}</definedName>
    <definedName name="__PA3" hidden="1">{"'Sheet1'!$L$16"}</definedName>
    <definedName name="__pa4" localSheetId="1" hidden="1">{"'Sheet1'!$L$16"}</definedName>
    <definedName name="__pa4" localSheetId="2" hidden="1">{"'Sheet1'!$L$16"}</definedName>
    <definedName name="__pa4" localSheetId="4" hidden="1">{"'Sheet1'!$L$16"}</definedName>
    <definedName name="__pa4" localSheetId="5" hidden="1">{"'Sheet1'!$L$16"}</definedName>
    <definedName name="__pa4" localSheetId="6" hidden="1">{"'Sheet1'!$L$16"}</definedName>
    <definedName name="__pa4" localSheetId="7" hidden="1">{"'Sheet1'!$L$16"}</definedName>
    <definedName name="__pa4" localSheetId="8" hidden="1">{"'Sheet1'!$L$16"}</definedName>
    <definedName name="__pa4" hidden="1">{"'Sheet1'!$L$16"}</definedName>
    <definedName name="__phi10" localSheetId="8">#REF!</definedName>
    <definedName name="__phi10">#REF!</definedName>
    <definedName name="__phi12" localSheetId="8">#REF!</definedName>
    <definedName name="__phi12">#REF!</definedName>
    <definedName name="__phi14" localSheetId="8">#REF!</definedName>
    <definedName name="__phi14">#REF!</definedName>
    <definedName name="__phi16" localSheetId="8">#REF!</definedName>
    <definedName name="__phi16">#REF!</definedName>
    <definedName name="__phi18" localSheetId="8">#REF!</definedName>
    <definedName name="__phi18">#REF!</definedName>
    <definedName name="__phi20" localSheetId="8">#REF!</definedName>
    <definedName name="__phi20">#REF!</definedName>
    <definedName name="__phi22" localSheetId="8">#REF!</definedName>
    <definedName name="__phi22">#REF!</definedName>
    <definedName name="__phi25" localSheetId="8">#REF!</definedName>
    <definedName name="__phi25">#REF!</definedName>
    <definedName name="__phi28" localSheetId="8">#REF!</definedName>
    <definedName name="__phi28">#REF!</definedName>
    <definedName name="__phi6" localSheetId="8">#REF!</definedName>
    <definedName name="__phi6">#REF!</definedName>
    <definedName name="__phi8" localSheetId="8">#REF!</definedName>
    <definedName name="__phi8">#REF!</definedName>
    <definedName name="__Piv1" localSheetId="8">#REF!,#REF!</definedName>
    <definedName name="__Piv1">#REF!,#REF!</definedName>
    <definedName name="__Piv2" localSheetId="8">#REF!,#REF!</definedName>
    <definedName name="__Piv2">#REF!,#REF!</definedName>
    <definedName name="__Q1111" localSheetId="1" hidden="1">{"'Sheet1'!$L$16"}</definedName>
    <definedName name="__Q1111" localSheetId="2" hidden="1">{"'Sheet1'!$L$16"}</definedName>
    <definedName name="__Q1111" localSheetId="4" hidden="1">{"'Sheet1'!$L$16"}</definedName>
    <definedName name="__Q1111" localSheetId="5" hidden="1">{"'Sheet1'!$L$16"}</definedName>
    <definedName name="__Q1111" localSheetId="6" hidden="1">{"'Sheet1'!$L$16"}</definedName>
    <definedName name="__Q1111" localSheetId="7" hidden="1">{"'Sheet1'!$L$16"}</definedName>
    <definedName name="__Q1111" localSheetId="8" hidden="1">{"'Sheet1'!$L$16"}</definedName>
    <definedName name="__Q1111" hidden="1">{"'Sheet1'!$L$16"}</definedName>
    <definedName name="__RHH1" localSheetId="8">#REF!</definedName>
    <definedName name="__RHH1">#REF!</definedName>
    <definedName name="__RHH10" localSheetId="8">#REF!</definedName>
    <definedName name="__RHH10">#REF!</definedName>
    <definedName name="__RHP1" localSheetId="8">#REF!</definedName>
    <definedName name="__RHP1">#REF!</definedName>
    <definedName name="__RHP10" localSheetId="8">#REF!</definedName>
    <definedName name="__RHP10">#REF!</definedName>
    <definedName name="__RI1" localSheetId="8">#REF!</definedName>
    <definedName name="__RI1">#REF!</definedName>
    <definedName name="__RI10" localSheetId="8">#REF!</definedName>
    <definedName name="__RI10">#REF!</definedName>
    <definedName name="__RII1" localSheetId="8">#REF!</definedName>
    <definedName name="__RII1">#REF!</definedName>
    <definedName name="__RII10" localSheetId="8">#REF!</definedName>
    <definedName name="__RII10">#REF!</definedName>
    <definedName name="__RIP1" localSheetId="8">#REF!</definedName>
    <definedName name="__RIP1">#REF!</definedName>
    <definedName name="__RIP10" localSheetId="8">#REF!</definedName>
    <definedName name="__RIP10">#REF!</definedName>
    <definedName name="__sat10" localSheetId="8">#REF!</definedName>
    <definedName name="__sat10">#REF!</definedName>
    <definedName name="__sat12" localSheetId="8">#REF!</definedName>
    <definedName name="__sat12">#REF!</definedName>
    <definedName name="__sat14" localSheetId="8">#REF!</definedName>
    <definedName name="__sat14">#REF!</definedName>
    <definedName name="__sat16" localSheetId="8">#REF!</definedName>
    <definedName name="__sat16">#REF!</definedName>
    <definedName name="__sat20" localSheetId="8">#REF!</definedName>
    <definedName name="__sat20">#REF!</definedName>
    <definedName name="__sat6" localSheetId="8">#REF!</definedName>
    <definedName name="__sat6">#REF!</definedName>
    <definedName name="__sat8" localSheetId="8">#REF!</definedName>
    <definedName name="__sat8">#REF!</definedName>
    <definedName name="__sc1" localSheetId="8">#REF!</definedName>
    <definedName name="__sc1">#REF!</definedName>
    <definedName name="__SC2" localSheetId="8">#REF!</definedName>
    <definedName name="__SC2">#REF!</definedName>
    <definedName name="__sc3" localSheetId="8">#REF!</definedName>
    <definedName name="__sc3">#REF!</definedName>
    <definedName name="__slg1" localSheetId="8">#REF!</definedName>
    <definedName name="__slg1">#REF!</definedName>
    <definedName name="__slg2" localSheetId="8">#REF!</definedName>
    <definedName name="__slg2">#REF!</definedName>
    <definedName name="__slg3" localSheetId="8">#REF!</definedName>
    <definedName name="__slg3">#REF!</definedName>
    <definedName name="__slg4" localSheetId="8">#REF!</definedName>
    <definedName name="__slg4">#REF!</definedName>
    <definedName name="__slg5" localSheetId="8">#REF!</definedName>
    <definedName name="__slg5">#REF!</definedName>
    <definedName name="__slg6" localSheetId="8">#REF!</definedName>
    <definedName name="__slg6">#REF!</definedName>
    <definedName name="__SN3" localSheetId="8">#REF!</definedName>
    <definedName name="__SN3">#REF!</definedName>
    <definedName name="__SPL4">#REF!</definedName>
    <definedName name="__STD0898" localSheetId="8">#REF!</definedName>
    <definedName name="__STD0898">#REF!</definedName>
    <definedName name="__su12" localSheetId="8">#REF!</definedName>
    <definedName name="__su12">#REF!</definedName>
    <definedName name="__Su70" localSheetId="8">#REF!</definedName>
    <definedName name="__Su70">#REF!</definedName>
    <definedName name="__sua20" localSheetId="8">#REF!</definedName>
    <definedName name="__sua20">#REF!</definedName>
    <definedName name="__sua30" localSheetId="8">#REF!</definedName>
    <definedName name="__sua30">#REF!</definedName>
    <definedName name="__tam1">#REF!</definedName>
    <definedName name="__tct3">#REF!</definedName>
    <definedName name="__tct5" localSheetId="8">#REF!</definedName>
    <definedName name="__tct5">#REF!</definedName>
    <definedName name="__TD1" localSheetId="1" hidden="1">{"'Sheet1'!$L$16"}</definedName>
    <definedName name="__TD1" localSheetId="2" hidden="1">{"'Sheet1'!$L$16"}</definedName>
    <definedName name="__TD1" localSheetId="4" hidden="1">{"'Sheet1'!$L$16"}</definedName>
    <definedName name="__TD1" localSheetId="5" hidden="1">{"'Sheet1'!$L$16"}</definedName>
    <definedName name="__TD1" localSheetId="6" hidden="1">{"'Sheet1'!$L$16"}</definedName>
    <definedName name="__TD1" localSheetId="7" hidden="1">{"'Sheet1'!$L$16"}</definedName>
    <definedName name="__TD1" localSheetId="8" hidden="1">{"'Sheet1'!$L$16"}</definedName>
    <definedName name="__TD1" hidden="1">{"'Sheet1'!$L$16"}</definedName>
    <definedName name="__tg427" localSheetId="8">#REF!</definedName>
    <definedName name="__tg427">#REF!</definedName>
    <definedName name="__TH1" localSheetId="8">#REF!</definedName>
    <definedName name="__TH1">#REF!</definedName>
    <definedName name="__th100" localSheetId="8">#REF!</definedName>
    <definedName name="__th100">#REF!</definedName>
    <definedName name="__TH160" localSheetId="8">#REF!</definedName>
    <definedName name="__TH160">#REF!</definedName>
    <definedName name="__TH2" localSheetId="8">#REF!</definedName>
    <definedName name="__TH2">#REF!</definedName>
    <definedName name="__TH20" localSheetId="8">#REF!</definedName>
    <definedName name="__TH20">#REF!</definedName>
    <definedName name="__TH3" localSheetId="8">#REF!</definedName>
    <definedName name="__TH3">#REF!</definedName>
    <definedName name="__TK1" localSheetId="8">#REF!</definedName>
    <definedName name="__TK1">#REF!</definedName>
    <definedName name="__TL1" localSheetId="8">#REF!</definedName>
    <definedName name="__TL1">#REF!</definedName>
    <definedName name="__TL2" localSheetId="8">#REF!</definedName>
    <definedName name="__TL2">#REF!</definedName>
    <definedName name="__TL3" localSheetId="8">#REF!</definedName>
    <definedName name="__TL3">#REF!</definedName>
    <definedName name="__TLA120" localSheetId="8">#REF!</definedName>
    <definedName name="__TLA120">#REF!</definedName>
    <definedName name="__TLA35" localSheetId="8">#REF!</definedName>
    <definedName name="__TLA35">#REF!</definedName>
    <definedName name="__TLA50" localSheetId="8">#REF!</definedName>
    <definedName name="__TLA50">#REF!</definedName>
    <definedName name="__TLA70" localSheetId="8">#REF!</definedName>
    <definedName name="__TLA70">#REF!</definedName>
    <definedName name="__TLA95" localSheetId="8">#REF!</definedName>
    <definedName name="__TLA95">#REF!</definedName>
    <definedName name="__TM2" localSheetId="1" hidden="1">{"'Sheet1'!$L$16"}</definedName>
    <definedName name="__TM2" localSheetId="2" hidden="1">{"'Sheet1'!$L$16"}</definedName>
    <definedName name="__TM2" localSheetId="4" hidden="1">{"'Sheet1'!$L$16"}</definedName>
    <definedName name="__TM2" localSheetId="5" hidden="1">{"'Sheet1'!$L$16"}</definedName>
    <definedName name="__TM2" localSheetId="6" hidden="1">{"'Sheet1'!$L$16"}</definedName>
    <definedName name="__TM2" localSheetId="7" hidden="1">{"'Sheet1'!$L$16"}</definedName>
    <definedName name="__TM2" localSheetId="8" hidden="1">{"'Sheet1'!$L$16"}</definedName>
    <definedName name="__TM2" hidden="1">{"'Sheet1'!$L$16"}</definedName>
    <definedName name="__TR250" localSheetId="8">#REF!</definedName>
    <definedName name="__TR250">#REF!</definedName>
    <definedName name="__tr375" localSheetId="8">#REF!</definedName>
    <definedName name="__tr375">#REF!</definedName>
    <definedName name="__tra100" localSheetId="8">#REF!</definedName>
    <definedName name="__tra100">#REF!</definedName>
    <definedName name="__tra102" localSheetId="8">#REF!</definedName>
    <definedName name="__tra102">#REF!</definedName>
    <definedName name="__tra104" localSheetId="8">#REF!</definedName>
    <definedName name="__tra104">#REF!</definedName>
    <definedName name="__tra106" localSheetId="8">#REF!</definedName>
    <definedName name="__tra106">#REF!</definedName>
    <definedName name="__tra108" localSheetId="8">#REF!</definedName>
    <definedName name="__tra108">#REF!</definedName>
    <definedName name="__tra110" localSheetId="8">#REF!</definedName>
    <definedName name="__tra110">#REF!</definedName>
    <definedName name="__tra112" localSheetId="8">#REF!</definedName>
    <definedName name="__tra112">#REF!</definedName>
    <definedName name="__tra114" localSheetId="8">#REF!</definedName>
    <definedName name="__tra114">#REF!</definedName>
    <definedName name="__tra116" localSheetId="8">#REF!</definedName>
    <definedName name="__tra116">#REF!</definedName>
    <definedName name="__tra118" localSheetId="8">#REF!</definedName>
    <definedName name="__tra118">#REF!</definedName>
    <definedName name="__tra120" localSheetId="8">#REF!</definedName>
    <definedName name="__tra120">#REF!</definedName>
    <definedName name="__tra122" localSheetId="8">#REF!</definedName>
    <definedName name="__tra122">#REF!</definedName>
    <definedName name="__tra124" localSheetId="8">#REF!</definedName>
    <definedName name="__tra124">#REF!</definedName>
    <definedName name="__tra126" localSheetId="8">#REF!</definedName>
    <definedName name="__tra126">#REF!</definedName>
    <definedName name="__tra128" localSheetId="8">#REF!</definedName>
    <definedName name="__tra128">#REF!</definedName>
    <definedName name="__tra130" localSheetId="8">#REF!</definedName>
    <definedName name="__tra130">#REF!</definedName>
    <definedName name="__tra132" localSheetId="8">#REF!</definedName>
    <definedName name="__tra132">#REF!</definedName>
    <definedName name="__tra134" localSheetId="8">#REF!</definedName>
    <definedName name="__tra134">#REF!</definedName>
    <definedName name="__tra136" localSheetId="8">#REF!</definedName>
    <definedName name="__tra136">#REF!</definedName>
    <definedName name="__tra138" localSheetId="8">#REF!</definedName>
    <definedName name="__tra138">#REF!</definedName>
    <definedName name="__tra140" localSheetId="8">#REF!</definedName>
    <definedName name="__tra140">#REF!</definedName>
    <definedName name="__tra70" localSheetId="8">#REF!</definedName>
    <definedName name="__tra70">#REF!</definedName>
    <definedName name="__tra72" localSheetId="8">#REF!</definedName>
    <definedName name="__tra72">#REF!</definedName>
    <definedName name="__tra74" localSheetId="8">#REF!</definedName>
    <definedName name="__tra74">#REF!</definedName>
    <definedName name="__tra76" localSheetId="8">#REF!</definedName>
    <definedName name="__tra76">#REF!</definedName>
    <definedName name="__tra78" localSheetId="8">#REF!</definedName>
    <definedName name="__tra78">#REF!</definedName>
    <definedName name="__tra80" localSheetId="8">#REF!</definedName>
    <definedName name="__tra80">#REF!</definedName>
    <definedName name="__tra82" localSheetId="8">#REF!</definedName>
    <definedName name="__tra82">#REF!</definedName>
    <definedName name="__tra84" localSheetId="8">#REF!</definedName>
    <definedName name="__tra84">#REF!</definedName>
    <definedName name="__tra86" localSheetId="8">#REF!</definedName>
    <definedName name="__tra86">#REF!</definedName>
    <definedName name="__tra88" localSheetId="8">#REF!</definedName>
    <definedName name="__tra88">#REF!</definedName>
    <definedName name="__tra90" localSheetId="8">#REF!</definedName>
    <definedName name="__tra90">#REF!</definedName>
    <definedName name="__tra92" localSheetId="8">#REF!</definedName>
    <definedName name="__tra92">#REF!</definedName>
    <definedName name="__tra94" localSheetId="8">#REF!</definedName>
    <definedName name="__tra94">#REF!</definedName>
    <definedName name="__tra96" localSheetId="8">#REF!</definedName>
    <definedName name="__tra96">#REF!</definedName>
    <definedName name="__tra98" localSheetId="8">#REF!</definedName>
    <definedName name="__tra98">#REF!</definedName>
    <definedName name="__tt3" localSheetId="1" hidden="1">{"'Sheet1'!$L$16"}</definedName>
    <definedName name="__tt3" localSheetId="2" hidden="1">{"'Sheet1'!$L$16"}</definedName>
    <definedName name="__tt3" localSheetId="4" hidden="1">{"'Sheet1'!$L$16"}</definedName>
    <definedName name="__tt3" localSheetId="5" hidden="1">{"'Sheet1'!$L$16"}</definedName>
    <definedName name="__tt3" localSheetId="6" hidden="1">{"'Sheet1'!$L$16"}</definedName>
    <definedName name="__tt3" localSheetId="7" hidden="1">{"'Sheet1'!$L$16"}</definedName>
    <definedName name="__tt3" localSheetId="8" hidden="1">{"'Sheet1'!$L$16"}</definedName>
    <definedName name="__tt3" hidden="1">{"'Sheet1'!$L$16"}</definedName>
    <definedName name="__tz593" localSheetId="8">#REF!</definedName>
    <definedName name="__tz593">#REF!</definedName>
    <definedName name="__UT2" localSheetId="8">#REF!</definedName>
    <definedName name="__UT2">#REF!</definedName>
    <definedName name="__vc1" localSheetId="8">#REF!</definedName>
    <definedName name="__vc1">#REF!</definedName>
    <definedName name="__vc2" localSheetId="8">#REF!</definedName>
    <definedName name="__vc2">#REF!</definedName>
    <definedName name="__vc3" localSheetId="8">#REF!</definedName>
    <definedName name="__vc3">#REF!</definedName>
    <definedName name="__VC400" localSheetId="8">#REF!</definedName>
    <definedName name="__VC400">#REF!</definedName>
    <definedName name="__VL100" localSheetId="8">#REF!</definedName>
    <definedName name="__VL100">#REF!</definedName>
    <definedName name="__VL200" localSheetId="8">#REF!</definedName>
    <definedName name="__VL200">#REF!</definedName>
    <definedName name="__VL250" localSheetId="8">#REF!</definedName>
    <definedName name="__VL250">#REF!</definedName>
    <definedName name="__xlfn.BAHTTEXT" hidden="1">#NAME?</definedName>
    <definedName name="__xx1" localSheetId="8">#REF!</definedName>
    <definedName name="__xx1">#REF!</definedName>
    <definedName name="__xx12" localSheetId="8">#REF!</definedName>
    <definedName name="__xx12">#REF!</definedName>
    <definedName name="__xx2" localSheetId="8">#REF!</definedName>
    <definedName name="__xx2">#REF!</definedName>
    <definedName name="__xx3" localSheetId="8">#REF!</definedName>
    <definedName name="__xx3">#REF!</definedName>
    <definedName name="__xx4" localSheetId="8">#REF!</definedName>
    <definedName name="__xx4">#REF!</definedName>
    <definedName name="__xx5" localSheetId="8">#REF!</definedName>
    <definedName name="__xx5">#REF!</definedName>
    <definedName name="__xx6" localSheetId="8">#REF!</definedName>
    <definedName name="__xx6">#REF!</definedName>
    <definedName name="__xx7" localSheetId="8">#REF!</definedName>
    <definedName name="__xx7">#REF!</definedName>
    <definedName name="__yy1">#REF!</definedName>
    <definedName name="__yy2">#REF!</definedName>
    <definedName name="__zx1">#REF!</definedName>
    <definedName name="_01_01_99" localSheetId="8">#REF!</definedName>
    <definedName name="_01_01_99">#REF!</definedName>
    <definedName name="_01_02_99" localSheetId="8">#REF!</definedName>
    <definedName name="_01_02_99">#REF!</definedName>
    <definedName name="_01_03_99" localSheetId="8">#REF!</definedName>
    <definedName name="_01_03_99">#REF!</definedName>
    <definedName name="_01_04_99" localSheetId="8">#REF!</definedName>
    <definedName name="_01_04_99">#REF!</definedName>
    <definedName name="_01_05_99" localSheetId="8">#REF!</definedName>
    <definedName name="_01_05_99">#REF!</definedName>
    <definedName name="_01_06_99" localSheetId="8">#REF!</definedName>
    <definedName name="_01_06_99">#REF!</definedName>
    <definedName name="_01_07_99" localSheetId="8">#REF!</definedName>
    <definedName name="_01_07_99">#REF!</definedName>
    <definedName name="_01_08_1999" localSheetId="8">#REF!</definedName>
    <definedName name="_01_08_1999">#REF!</definedName>
    <definedName name="_01_11_2001">#N/A</definedName>
    <definedName name="_1" localSheetId="8">#REF!</definedName>
    <definedName name="_1">#REF!</definedName>
    <definedName name="_1__123Graph_AS_CURVE" localSheetId="4" hidden="1">#REF!</definedName>
    <definedName name="_1__123Graph_AS_CURVE" localSheetId="5" hidden="1">#REF!</definedName>
    <definedName name="_1__123Graph_AS_CURVE" localSheetId="6" hidden="1">#REF!</definedName>
    <definedName name="_1__123Graph_AS_CURVE" localSheetId="7" hidden="1">#REF!</definedName>
    <definedName name="_1__123Graph_AS_CURVE" localSheetId="8" hidden="1">#REF!</definedName>
    <definedName name="_1__123Graph_AS_CURVE" hidden="1">#REF!</definedName>
    <definedName name="_1000A01">#N/A</definedName>
    <definedName name="_102TRÒ_GIAÙ__VAT" localSheetId="8">#REF!</definedName>
    <definedName name="_102TRÒ_GIAÙ__VAT">#REF!</definedName>
    <definedName name="_17a1_" localSheetId="1" hidden="1">{"'Sheet1'!$L$16"}</definedName>
    <definedName name="_17a1_" localSheetId="2" hidden="1">{"'Sheet1'!$L$16"}</definedName>
    <definedName name="_17a1_" localSheetId="4" hidden="1">{"'Sheet1'!$L$16"}</definedName>
    <definedName name="_17a1_" localSheetId="5" hidden="1">{"'Sheet1'!$L$16"}</definedName>
    <definedName name="_17a1_" localSheetId="6" hidden="1">{"'Sheet1'!$L$16"}</definedName>
    <definedName name="_17a1_" localSheetId="7" hidden="1">{"'Sheet1'!$L$16"}</definedName>
    <definedName name="_17a1_" localSheetId="8" hidden="1">{"'Sheet1'!$L$16"}</definedName>
    <definedName name="_17a1_" hidden="1">{"'Sheet1'!$L$16"}</definedName>
    <definedName name="_1957CotThep" localSheetId="8">#REF!</definedName>
    <definedName name="_1957CotThep">#REF!</definedName>
    <definedName name="_1957DaoDat" localSheetId="8">#REF!</definedName>
    <definedName name="_1957DaoDat">#REF!</definedName>
    <definedName name="_1957DoBeTong" localSheetId="8">#REF!</definedName>
    <definedName name="_1957DoBeTong">#REF!</definedName>
    <definedName name="_1957Door" localSheetId="8">#REF!</definedName>
    <definedName name="_1957Door">#REF!</definedName>
    <definedName name="_1957HoanThien" localSheetId="8">#REF!</definedName>
    <definedName name="_1957HoanThien">#REF!</definedName>
    <definedName name="_1957Nuoc" localSheetId="8">#REF!</definedName>
    <definedName name="_1957Nuoc">#REF!</definedName>
    <definedName name="_1957ThaoDo" localSheetId="8">#REF!</definedName>
    <definedName name="_1957ThaoDo">#REF!</definedName>
    <definedName name="_1957Xay" localSheetId="8">#REF!</definedName>
    <definedName name="_1957Xay">#REF!</definedName>
    <definedName name="_1BLnhungkem" localSheetId="8">#REF!</definedName>
    <definedName name="_1BLnhungkem">#REF!</definedName>
    <definedName name="_1CAP002" localSheetId="8">#REF!</definedName>
    <definedName name="_1CAP002">#REF!</definedName>
    <definedName name="_1CB" localSheetId="8">#REF!</definedName>
    <definedName name="_1CB">#REF!</definedName>
    <definedName name="_1DauNoi" localSheetId="8">#REF!</definedName>
    <definedName name="_1DauNoi">#REF!</definedName>
    <definedName name="_1DayDanDien" localSheetId="8">#REF!</definedName>
    <definedName name="_1DayDanDien">#REF!</definedName>
    <definedName name="_1DeMongDeNeo" localSheetId="8">#REF!</definedName>
    <definedName name="_1DeMongDeNeo">#REF!</definedName>
    <definedName name="_1HeThongNuoc" localSheetId="8">#REF!</definedName>
    <definedName name="_1HeThongNuoc">#REF!</definedName>
    <definedName name="_1LinhTinh" localSheetId="8">#REF!</definedName>
    <definedName name="_1LinhTinh">#REF!</definedName>
    <definedName name="_1LiTi" localSheetId="8">#REF!</definedName>
    <definedName name="_1LiTi">#REF!</definedName>
    <definedName name="_1NeoChang" localSheetId="8">#REF!</definedName>
    <definedName name="_1NeoChang">#REF!</definedName>
    <definedName name="_1PKTram" localSheetId="8">#REF!</definedName>
    <definedName name="_1PKTram">#REF!</definedName>
    <definedName name="_1SuCachDien" localSheetId="8">#REF!</definedName>
    <definedName name="_1SuCachDien">#REF!</definedName>
    <definedName name="_1Terre" localSheetId="8">#REF!</definedName>
    <definedName name="_1Terre">#REF!</definedName>
    <definedName name="_1ThepHinh" localSheetId="8">#REF!</definedName>
    <definedName name="_1ThepHinh">#REF!</definedName>
    <definedName name="_1ThepThanhPham" localSheetId="8">#REF!</definedName>
    <definedName name="_1ThepThanhPham">#REF!</definedName>
    <definedName name="_1TruDien" localSheetId="8">#REF!</definedName>
    <definedName name="_1TruDien">#REF!</definedName>
    <definedName name="_1TuDien" localSheetId="8">#REF!</definedName>
    <definedName name="_1TuDien">#REF!</definedName>
    <definedName name="_2" localSheetId="8">#REF!</definedName>
    <definedName name="_2">#REF!</definedName>
    <definedName name="_2__123Graph_BS_CURVE" localSheetId="4" hidden="1">#REF!</definedName>
    <definedName name="_2__123Graph_BS_CURVE" localSheetId="5" hidden="1">#REF!</definedName>
    <definedName name="_2__123Graph_BS_CURVE" localSheetId="6" hidden="1">#REF!</definedName>
    <definedName name="_2__123Graph_BS_CURVE" localSheetId="7" hidden="1">#REF!</definedName>
    <definedName name="_2__123Graph_BS_CURVE" localSheetId="8" hidden="1">#REF!</definedName>
    <definedName name="_2__123Graph_BS_CURVE" hidden="1">#REF!</definedName>
    <definedName name="_28MAÕ_HAØNG" localSheetId="8">#REF!</definedName>
    <definedName name="_28MAÕ_HAØNG">#REF!</definedName>
    <definedName name="_2STREO7" localSheetId="8">#REF!</definedName>
    <definedName name="_2STREO7">#REF!</definedName>
    <definedName name="_3__123Graph_CS_CURVE" localSheetId="4" hidden="1">#REF!</definedName>
    <definedName name="_3__123Graph_CS_CURVE" localSheetId="8" hidden="1">#REF!</definedName>
    <definedName name="_3__123Graph_CS_CURVE" hidden="1">#REF!</definedName>
    <definedName name="_3285BocDo" localSheetId="8">#REF!</definedName>
    <definedName name="_3285BocDo">#REF!</definedName>
    <definedName name="_3285ChatCay" localSheetId="8">#REF!</definedName>
    <definedName name="_3285ChatCay">#REF!</definedName>
    <definedName name="_3285DaoDapMongCot" localSheetId="8">#REF!</definedName>
    <definedName name="_3285DaoDapMongCot">#REF!</definedName>
    <definedName name="_3285DaoRanhTiepDia" localSheetId="8">#REF!</definedName>
    <definedName name="_3285DaoRanhTiepDia">#REF!</definedName>
    <definedName name="_3285PhatTuyen" localSheetId="8">#REF!</definedName>
    <definedName name="_3285PhatTuyen">#REF!</definedName>
    <definedName name="_3285VCcogioithucong" localSheetId="8">#REF!</definedName>
    <definedName name="_3285VCcogioithucong">#REF!</definedName>
    <definedName name="_3285VCduongdai" localSheetId="8">#REF!</definedName>
    <definedName name="_3285VCduongdai">#REF!</definedName>
    <definedName name="_3285VCthucong" localSheetId="8">#REF!</definedName>
    <definedName name="_3285VCthucong">#REF!</definedName>
    <definedName name="_37MAÕ_SOÁ_THUEÁ" localSheetId="8">#REF!</definedName>
    <definedName name="_37MAÕ_SOÁ_THUEÁ">#REF!</definedName>
    <definedName name="_3983Cable" localSheetId="8">#REF!</definedName>
    <definedName name="_3983Cable">#REF!</definedName>
    <definedName name="_3983Cosse" localSheetId="8">#REF!</definedName>
    <definedName name="_3983Cosse">#REF!</definedName>
    <definedName name="_3983CotXa" localSheetId="8">#REF!</definedName>
    <definedName name="_3983CotXa">#REF!</definedName>
    <definedName name="_3983DayDanThanhCai" localSheetId="8">#REF!</definedName>
    <definedName name="_3983DayDanThanhCai">#REF!</definedName>
    <definedName name="_3983MBApp" localSheetId="8">#REF!</definedName>
    <definedName name="_3983MBApp">#REF!</definedName>
    <definedName name="_3983Panel" localSheetId="8">#REF!</definedName>
    <definedName name="_3983Panel">#REF!</definedName>
    <definedName name="_3983Su" localSheetId="8">#REF!</definedName>
    <definedName name="_3983Su">#REF!</definedName>
    <definedName name="_3983Terre" localSheetId="8">#REF!</definedName>
    <definedName name="_3983Terre">#REF!</definedName>
    <definedName name="_4__123Graph_LBL_CS_CURVE" localSheetId="4" hidden="1">#REF!</definedName>
    <definedName name="_4__123Graph_LBL_CS_CURVE" localSheetId="5" hidden="1">#REF!</definedName>
    <definedName name="_4__123Graph_LBL_CS_CURVE" localSheetId="6" hidden="1">#REF!</definedName>
    <definedName name="_4__123Graph_LBL_CS_CURVE" localSheetId="7" hidden="1">#REF!</definedName>
    <definedName name="_4__123Graph_LBL_CS_CURVE" localSheetId="8" hidden="1">#REF!</definedName>
    <definedName name="_4__123Graph_LBL_CS_CURVE" hidden="1">#REF!</definedName>
    <definedName name="_46ÑÔN_GIAÙ" localSheetId="8">#REF!</definedName>
    <definedName name="_46ÑÔN_GIAÙ">#REF!</definedName>
    <definedName name="_4GOIC01" localSheetId="8">#REF!</definedName>
    <definedName name="_4GOIC01">#REF!</definedName>
    <definedName name="_4OSLCTT" localSheetId="8">#REF!</definedName>
    <definedName name="_4OSLCTT">#REF!</definedName>
    <definedName name="_55SOÁ_CTÖØ" localSheetId="8">#REF!</definedName>
    <definedName name="_55SOÁ_CTÖØ">#REF!</definedName>
    <definedName name="_57SOÁ_LÖÔÏNG" localSheetId="8">#REF!</definedName>
    <definedName name="_57SOÁ_LÖÔÏNG">#REF!</definedName>
    <definedName name="_66TEÂN_HAØNG" localSheetId="8">#REF!</definedName>
    <definedName name="_66TEÂN_HAØNG">#REF!</definedName>
    <definedName name="_6BNTTTH" localSheetId="8">#REF!</definedName>
    <definedName name="_6BNTTTH">#REF!</definedName>
    <definedName name="_6DCTTBO" localSheetId="8">#REF!</definedName>
    <definedName name="_6DCTTBO">#REF!</definedName>
    <definedName name="_6DD24TT" localSheetId="8">#REF!</definedName>
    <definedName name="_6DD24TT">#REF!</definedName>
    <definedName name="_6FCOTBU" localSheetId="8">#REF!</definedName>
    <definedName name="_6FCOTBU">#REF!</definedName>
    <definedName name="_6LATUBU" localSheetId="8">#REF!</definedName>
    <definedName name="_6LATUBU">#REF!</definedName>
    <definedName name="_6SDTT24" localSheetId="8">#REF!</definedName>
    <definedName name="_6SDTT24">#REF!</definedName>
    <definedName name="_6TBUDTT" localSheetId="8">#REF!</definedName>
    <definedName name="_6TBUDTT">#REF!</definedName>
    <definedName name="_6TDDDTT" localSheetId="8">#REF!</definedName>
    <definedName name="_6TDDDTT">#REF!</definedName>
    <definedName name="_6TLTTTH" localSheetId="8">#REF!</definedName>
    <definedName name="_6TLTTTH">#REF!</definedName>
    <definedName name="_6TUBUTT" localSheetId="8">#REF!</definedName>
    <definedName name="_6TUBUTT">#REF!</definedName>
    <definedName name="_6UCLVIS" localSheetId="8">#REF!</definedName>
    <definedName name="_6UCLVIS">#REF!</definedName>
    <definedName name="_75TEÂN_KHAÙCH_HAØ" localSheetId="8">#REF!</definedName>
    <definedName name="_75TEÂN_KHAÙCH_HAØ">#REF!</definedName>
    <definedName name="_7DNCABC" localSheetId="8">#REF!</definedName>
    <definedName name="_7DNCABC">#REF!</definedName>
    <definedName name="_7HDCTBU" localSheetId="8">#REF!</definedName>
    <definedName name="_7HDCTBU">#REF!</definedName>
    <definedName name="_7Mong" localSheetId="8">#REF!</definedName>
    <definedName name="_7Mong">#REF!</definedName>
    <definedName name="_7Neo" localSheetId="8">#REF!</definedName>
    <definedName name="_7Neo">#REF!</definedName>
    <definedName name="_7PKTUBU" localSheetId="8">#REF!</definedName>
    <definedName name="_7PKTUBU">#REF!</definedName>
    <definedName name="_7TBHT20" localSheetId="8">#REF!</definedName>
    <definedName name="_7TBHT20">#REF!</definedName>
    <definedName name="_7TBHT30" localSheetId="8">#REF!</definedName>
    <definedName name="_7TBHT30">#REF!</definedName>
    <definedName name="_7TDCABC" localSheetId="8">#REF!</definedName>
    <definedName name="_7TDCABC">#REF!</definedName>
    <definedName name="_7TiepDia" localSheetId="8">#REF!</definedName>
    <definedName name="_7TiepDia">#REF!</definedName>
    <definedName name="_7Tru" localSheetId="8">#REF!</definedName>
    <definedName name="_7Tru">#REF!</definedName>
    <definedName name="_7Xa" localSheetId="8">#REF!</definedName>
    <definedName name="_7Xa">#REF!</definedName>
    <definedName name="_84THAØNH_TIEÀN" localSheetId="8">#REF!</definedName>
    <definedName name="_84THAØNH_TIEÀN">#REF!</definedName>
    <definedName name="_93TRÒ_GIAÙ" localSheetId="8">#REF!</definedName>
    <definedName name="_93TRÒ_GIAÙ">#REF!</definedName>
    <definedName name="_a1" localSheetId="1" hidden="1">{"'Sheet1'!$L$16"}</definedName>
    <definedName name="_a1" localSheetId="2" hidden="1">{"'Sheet1'!$L$16"}</definedName>
    <definedName name="_a1" localSheetId="3" hidden="1">{"'Sheet1'!$L$16"}</definedName>
    <definedName name="_a1" localSheetId="4" hidden="1">{"'Sheet1'!$L$16"}</definedName>
    <definedName name="_a1" localSheetId="5" hidden="1">{"'Sheet1'!$L$16"}</definedName>
    <definedName name="_a1" localSheetId="6" hidden="1">{"'Sheet1'!$L$16"}</definedName>
    <definedName name="_a1" localSheetId="7" hidden="1">{"'Sheet1'!$L$16"}</definedName>
    <definedName name="_a1" localSheetId="8" hidden="1">{"'Sheet1'!$L$16"}</definedName>
    <definedName name="_a1" hidden="1">{"'Sheet1'!$L$16"}</definedName>
    <definedName name="_a12" localSheetId="1" hidden="1">{"'Sheet1'!$L$16"}</definedName>
    <definedName name="_a12" localSheetId="2" hidden="1">{"'Sheet1'!$L$16"}</definedName>
    <definedName name="_a12" localSheetId="4" hidden="1">{"'Sheet1'!$L$16"}</definedName>
    <definedName name="_a12" localSheetId="5" hidden="1">{"'Sheet1'!$L$16"}</definedName>
    <definedName name="_a12" localSheetId="6" hidden="1">{"'Sheet1'!$L$16"}</definedName>
    <definedName name="_a12" localSheetId="7" hidden="1">{"'Sheet1'!$L$16"}</definedName>
    <definedName name="_a12" localSheetId="8" hidden="1">{"'Sheet1'!$L$16"}</definedName>
    <definedName name="_a12" hidden="1">{"'Sheet1'!$L$16"}</definedName>
    <definedName name="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a129" localSheetId="3" hidden="1">{"Offgrid",#N/A,FALSE,"OFFGRID";"Region",#N/A,FALSE,"REGION";"Offgrid -2",#N/A,FALSE,"OFFGRID";"WTP",#N/A,FALSE,"WTP";"WTP -2",#N/A,FALSE,"WTP";"Project",#N/A,FALSE,"PROJECT";"Summary -2",#N/A,FALSE,"SUMMARY"}</definedName>
    <definedName name="_a129" localSheetId="4" hidden="1">{"Offgrid",#N/A,FALSE,"OFFGRID";"Region",#N/A,FALSE,"REGION";"Offgrid -2",#N/A,FALSE,"OFFGRID";"WTP",#N/A,FALSE,"WTP";"WTP -2",#N/A,FALSE,"WTP";"Project",#N/A,FALSE,"PROJECT";"Summary -2",#N/A,FALSE,"SUMMARY"}</definedName>
    <definedName name="_a129" localSheetId="5" hidden="1">{"Offgrid",#N/A,FALSE,"OFFGRID";"Region",#N/A,FALSE,"REGION";"Offgrid -2",#N/A,FALSE,"OFFGRID";"WTP",#N/A,FALSE,"WTP";"WTP -2",#N/A,FALSE,"WTP";"Project",#N/A,FALSE,"PROJECT";"Summary -2",#N/A,FALSE,"SUMMARY"}</definedName>
    <definedName name="_a129" localSheetId="6" hidden="1">{"Offgrid",#N/A,FALSE,"OFFGRID";"Region",#N/A,FALSE,"REGION";"Offgrid -2",#N/A,FALSE,"OFFGRID";"WTP",#N/A,FALSE,"WTP";"WTP -2",#N/A,FALSE,"WTP";"Project",#N/A,FALSE,"PROJECT";"Summary -2",#N/A,FALSE,"SUMMARY"}</definedName>
    <definedName name="_a129" localSheetId="7" hidden="1">{"Offgrid",#N/A,FALSE,"OFFGRID";"Region",#N/A,FALSE,"REGION";"Offgrid -2",#N/A,FALSE,"OFFGRID";"WTP",#N/A,FALSE,"WTP";"WTP -2",#N/A,FALSE,"WTP";"Project",#N/A,FALSE,"PROJECT";"Summary -2",#N/A,FALSE,"SUMMARY"}</definedName>
    <definedName name="_a129" localSheetId="8" hidden="1">{"Offgrid",#N/A,FALSE,"OFFGRID";"Region",#N/A,FALSE,"REGION";"Offgrid -2",#N/A,FALSE,"OFFGRID";"WTP",#N/A,FALSE,"WTP";"WTP -2",#N/A,FALSE,"WTP";"Project",#N/A,FALSE,"PROJECT";"Summary -2",#N/A,FALSE,"SUMMARY"}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3" localSheetId="1" hidden="1">{"'Sheet1'!$L$16"}</definedName>
    <definedName name="_a13" localSheetId="2" hidden="1">{"'Sheet1'!$L$16"}</definedName>
    <definedName name="_a13" localSheetId="4" hidden="1">{"'Sheet1'!$L$16"}</definedName>
    <definedName name="_a13" localSheetId="5" hidden="1">{"'Sheet1'!$L$16"}</definedName>
    <definedName name="_a13" localSheetId="6" hidden="1">{"'Sheet1'!$L$16"}</definedName>
    <definedName name="_a13" localSheetId="7" hidden="1">{"'Sheet1'!$L$16"}</definedName>
    <definedName name="_a13" localSheetId="8" hidden="1">{"'Sheet1'!$L$16"}</definedName>
    <definedName name="_a13" hidden="1">{"'Sheet1'!$L$16"}</definedName>
    <definedName name="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3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4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5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6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7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8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14" localSheetId="1" hidden="1">{"'Sheet1'!$L$16"}</definedName>
    <definedName name="_a14" localSheetId="2" hidden="1">{"'Sheet1'!$L$16"}</definedName>
    <definedName name="_a14" localSheetId="4" hidden="1">{"'Sheet1'!$L$16"}</definedName>
    <definedName name="_a14" localSheetId="5" hidden="1">{"'Sheet1'!$L$16"}</definedName>
    <definedName name="_a14" localSheetId="6" hidden="1">{"'Sheet1'!$L$16"}</definedName>
    <definedName name="_a14" localSheetId="7" hidden="1">{"'Sheet1'!$L$16"}</definedName>
    <definedName name="_a14" localSheetId="8" hidden="1">{"'Sheet1'!$L$16"}</definedName>
    <definedName name="_a14" hidden="1">{"'Sheet1'!$L$16"}</definedName>
    <definedName name="_a15" localSheetId="1" hidden="1">{"'Sheet1'!$L$16"}</definedName>
    <definedName name="_a15" localSheetId="2" hidden="1">{"'Sheet1'!$L$16"}</definedName>
    <definedName name="_a15" localSheetId="4" hidden="1">{"'Sheet1'!$L$16"}</definedName>
    <definedName name="_a15" localSheetId="5" hidden="1">{"'Sheet1'!$L$16"}</definedName>
    <definedName name="_a15" localSheetId="6" hidden="1">{"'Sheet1'!$L$16"}</definedName>
    <definedName name="_a15" localSheetId="7" hidden="1">{"'Sheet1'!$L$16"}</definedName>
    <definedName name="_a15" localSheetId="8" hidden="1">{"'Sheet1'!$L$16"}</definedName>
    <definedName name="_a15" hidden="1">{"'Sheet1'!$L$16"}</definedName>
    <definedName name="_a16" localSheetId="1" hidden="1">{#N/A,#N/A,FALSE,"Chi tiÆt"}</definedName>
    <definedName name="_a16" localSheetId="2" hidden="1">{#N/A,#N/A,FALSE,"Chi tiÆt"}</definedName>
    <definedName name="_a16" localSheetId="4" hidden="1">{#N/A,#N/A,FALSE,"Chi tiÆt"}</definedName>
    <definedName name="_a16" localSheetId="5" hidden="1">{#N/A,#N/A,FALSE,"Chi tiÆt"}</definedName>
    <definedName name="_a16" localSheetId="6" hidden="1">{#N/A,#N/A,FALSE,"Chi tiÆt"}</definedName>
    <definedName name="_a16" localSheetId="7" hidden="1">{#N/A,#N/A,FALSE,"Chi tiÆt"}</definedName>
    <definedName name="_a16" localSheetId="8" hidden="1">{#N/A,#N/A,FALSE,"Chi tiÆt"}</definedName>
    <definedName name="_a16" hidden="1">{#N/A,#N/A,FALSE,"Chi tiÆt"}</definedName>
    <definedName name="_a16550" localSheetId="8">#REF!</definedName>
    <definedName name="_a16550">#REF!</definedName>
    <definedName name="_a2" localSheetId="1" hidden="1">{"'Sheet1'!$L$16"}</definedName>
    <definedName name="_a2" localSheetId="2" hidden="1">{"'Sheet1'!$L$16"}</definedName>
    <definedName name="_a2" localSheetId="4" hidden="1">{"'Sheet1'!$L$16"}</definedName>
    <definedName name="_a2" localSheetId="5" hidden="1">{"'Sheet1'!$L$16"}</definedName>
    <definedName name="_a2" localSheetId="6" hidden="1">{"'Sheet1'!$L$16"}</definedName>
    <definedName name="_a2" localSheetId="7" hidden="1">{"'Sheet1'!$L$16"}</definedName>
    <definedName name="_a2" localSheetId="8" hidden="1">{"'Sheet1'!$L$16"}</definedName>
    <definedName name="_a2" hidden="1">{"'Sheet1'!$L$16"}</definedName>
    <definedName name="_a3" localSheetId="1" hidden="1">{"'Sheet1'!$L$16"}</definedName>
    <definedName name="_a3" localSheetId="2" hidden="1">{"'Sheet1'!$L$16"}</definedName>
    <definedName name="_a3" localSheetId="8" hidden="1">{"'Sheet1'!$L$16"}</definedName>
    <definedName name="_a3" hidden="1">{"'Sheet1'!$L$16"}</definedName>
    <definedName name="_A4" localSheetId="1" hidden="1">{"'Sheet1'!$L$16"}</definedName>
    <definedName name="_A4" localSheetId="2" hidden="1">{"'Sheet1'!$L$16"}</definedName>
    <definedName name="_A4" localSheetId="4" hidden="1">{"'Sheet1'!$L$16"}</definedName>
    <definedName name="_A4" localSheetId="5" hidden="1">{"'Sheet1'!$L$16"}</definedName>
    <definedName name="_A4" localSheetId="6" hidden="1">{"'Sheet1'!$L$16"}</definedName>
    <definedName name="_A4" localSheetId="7" hidden="1">{"'Sheet1'!$L$16"}</definedName>
    <definedName name="_A4" localSheetId="8" hidden="1">{"'Sheet1'!$L$16"}</definedName>
    <definedName name="_A4" hidden="1">{"'Sheet1'!$L$16"}</definedName>
    <definedName name="_a5" localSheetId="1" hidden="1">{#N/A,#N/A,FALSE,"Chi tiÆt"}</definedName>
    <definedName name="_a5" localSheetId="2" hidden="1">{#N/A,#N/A,FALSE,"Chi tiÆt"}</definedName>
    <definedName name="_a5" localSheetId="4" hidden="1">{#N/A,#N/A,FALSE,"Chi tiÆt"}</definedName>
    <definedName name="_a5" localSheetId="5" hidden="1">{#N/A,#N/A,FALSE,"Chi tiÆt"}</definedName>
    <definedName name="_a5" localSheetId="6" hidden="1">{#N/A,#N/A,FALSE,"Chi tiÆt"}</definedName>
    <definedName name="_a5" localSheetId="7" hidden="1">{#N/A,#N/A,FALSE,"Chi tiÆt"}</definedName>
    <definedName name="_a5" localSheetId="8" hidden="1">{#N/A,#N/A,FALSE,"Chi tiÆt"}</definedName>
    <definedName name="_a5" hidden="1">{#N/A,#N/A,FALSE,"Chi tiÆt"}</definedName>
    <definedName name="_A65700" localSheetId="8">#REF!</definedName>
    <definedName name="_A65700">#REF!</definedName>
    <definedName name="_A65800" localSheetId="8">#REF!</definedName>
    <definedName name="_A65800">#REF!</definedName>
    <definedName name="_A66000" localSheetId="8">#REF!</definedName>
    <definedName name="_A66000">#REF!</definedName>
    <definedName name="_A67000" localSheetId="8">#REF!</definedName>
    <definedName name="_A67000">#REF!</definedName>
    <definedName name="_A68000" localSheetId="8">#REF!</definedName>
    <definedName name="_A68000">#REF!</definedName>
    <definedName name="_A70000" localSheetId="8">#REF!</definedName>
    <definedName name="_A70000">#REF!</definedName>
    <definedName name="_A75000" localSheetId="8">#REF!</definedName>
    <definedName name="_A75000">#REF!</definedName>
    <definedName name="_A85000" localSheetId="8">#REF!</definedName>
    <definedName name="_A85000">#REF!</definedName>
    <definedName name="_abb91" localSheetId="8">#REF!</definedName>
    <definedName name="_abb91">#REF!</definedName>
    <definedName name="_atn1" localSheetId="8">#REF!</definedName>
    <definedName name="_atn1">#REF!</definedName>
    <definedName name="_atn10" localSheetId="8">#REF!</definedName>
    <definedName name="_atn10">#REF!</definedName>
    <definedName name="_atn2" localSheetId="8">#REF!</definedName>
    <definedName name="_atn2">#REF!</definedName>
    <definedName name="_atn3" localSheetId="8">#REF!</definedName>
    <definedName name="_atn3">#REF!</definedName>
    <definedName name="_atn4" localSheetId="8">#REF!</definedName>
    <definedName name="_atn4">#REF!</definedName>
    <definedName name="_atn5" localSheetId="8">#REF!</definedName>
    <definedName name="_atn5">#REF!</definedName>
    <definedName name="_atn6" localSheetId="8">#REF!</definedName>
    <definedName name="_atn6">#REF!</definedName>
    <definedName name="_atn7" localSheetId="8">#REF!</definedName>
    <definedName name="_atn7">#REF!</definedName>
    <definedName name="_atn8" localSheetId="8">#REF!</definedName>
    <definedName name="_atn8">#REF!</definedName>
    <definedName name="_atn9" localSheetId="8">#REF!</definedName>
    <definedName name="_atn9">#REF!</definedName>
    <definedName name="_B" localSheetId="8">#REF!</definedName>
    <definedName name="_B">#REF!</definedName>
    <definedName name="_B129" localSheetId="4" hidden="1">{"Offgrid",#N/A,FALSE,"OFFGRID";"Region",#N/A,FALSE,"REGION";"Offgrid -2",#N/A,FALSE,"OFFGRID";"WTP",#N/A,FALSE,"WTP";"WTP -2",#N/A,FALSE,"WTP";"Project",#N/A,FALSE,"PROJECT";"Summary -2",#N/A,FALSE,"SUMMARY"}</definedName>
    <definedName name="_B129" localSheetId="5" hidden="1">{"Offgrid",#N/A,FALSE,"OFFGRID";"Region",#N/A,FALSE,"REGION";"Offgrid -2",#N/A,FALSE,"OFFGRID";"WTP",#N/A,FALSE,"WTP";"WTP -2",#N/A,FALSE,"WTP";"Project",#N/A,FALSE,"PROJECT";"Summary -2",#N/A,FALSE,"SUMMARY"}</definedName>
    <definedName name="_B129" localSheetId="6" hidden="1">{"Offgrid",#N/A,FALSE,"OFFGRID";"Region",#N/A,FALSE,"REGION";"Offgrid -2",#N/A,FALSE,"OFFGRID";"WTP",#N/A,FALSE,"WTP";"WTP -2",#N/A,FALSE,"WTP";"Project",#N/A,FALSE,"PROJECT";"Summary -2",#N/A,FALSE,"SUMMARY"}</definedName>
    <definedName name="_B129" localSheetId="7" hidden="1">{"Offgrid",#N/A,FALSE,"OFFGRID";"Region",#N/A,FALSE,"REGION";"Offgrid -2",#N/A,FALSE,"OFFGRID";"WTP",#N/A,FALSE,"WTP";"WTP -2",#N/A,FALSE,"WTP";"Project",#N/A,FALSE,"PROJECT";"Summary -2",#N/A,FALSE,"SUMMARY"}</definedName>
    <definedName name="_B129" localSheetId="8" hidden="1">{"Offgrid",#N/A,FALSE,"OFFGRID";"Region",#N/A,FALSE,"REGION";"Offgrid -2",#N/A,FALSE,"OFFGRID";"WTP",#N/A,FALSE,"WTP";"WTP -2",#N/A,FALSE,"WTP";"Project",#N/A,FALSE,"PROJECT";"Summary -2",#N/A,FALSE,"SUMMARY"}</definedName>
    <definedName name="_B129" hidden="1">{"Offgrid",#N/A,FALSE,"OFFGRID";"Region",#N/A,FALSE,"REGION";"Offgrid -2",#N/A,FALSE,"OFFGRID";"WTP",#N/A,FALSE,"WTP";"WTP -2",#N/A,FALSE,"WTP";"Project",#N/A,FALSE,"PROJECT";"Summary -2",#N/A,FALSE,"SUMMARY"}</definedName>
    <definedName name="_boi1" localSheetId="8">#REF!</definedName>
    <definedName name="_boi1">#REF!</definedName>
    <definedName name="_boi2" localSheetId="8">#REF!</definedName>
    <definedName name="_boi2">#REF!</definedName>
    <definedName name="_boi3" localSheetId="8">#REF!</definedName>
    <definedName name="_boi3">#REF!</definedName>
    <definedName name="_boi4" localSheetId="8">#REF!</definedName>
    <definedName name="_boi4">#REF!</definedName>
    <definedName name="_btm10" localSheetId="8">#REF!</definedName>
    <definedName name="_btm10">#REF!</definedName>
    <definedName name="_btm100" localSheetId="8">#REF!</definedName>
    <definedName name="_btm100">#REF!</definedName>
    <definedName name="_BTM150" localSheetId="8">#REF!</definedName>
    <definedName name="_BTM150">#REF!</definedName>
    <definedName name="_BTM200" localSheetId="8">#REF!</definedName>
    <definedName name="_BTM200">#REF!</definedName>
    <definedName name="_BTM250" localSheetId="8">#REF!</definedName>
    <definedName name="_BTM250">#REF!</definedName>
    <definedName name="_btM300" localSheetId="8">#REF!</definedName>
    <definedName name="_btM300">#REF!</definedName>
    <definedName name="_BTM50" localSheetId="8">#REF!</definedName>
    <definedName name="_BTM50">#REF!</definedName>
    <definedName name="_bug1" localSheetId="8">#REF!</definedName>
    <definedName name="_bug1">#REF!</definedName>
    <definedName name="_bug10" localSheetId="8">#REF!</definedName>
    <definedName name="_bug10">#REF!</definedName>
    <definedName name="_bug11" localSheetId="8">#REF!</definedName>
    <definedName name="_bug11">#REF!</definedName>
    <definedName name="_bug12" localSheetId="8">#REF!</definedName>
    <definedName name="_bug12">#REF!</definedName>
    <definedName name="_bug13" localSheetId="8">#REF!</definedName>
    <definedName name="_bug13">#REF!</definedName>
    <definedName name="_bug14" localSheetId="8">#REF!</definedName>
    <definedName name="_bug14">#REF!</definedName>
    <definedName name="_bug15" localSheetId="8">#REF!</definedName>
    <definedName name="_bug15">#REF!</definedName>
    <definedName name="_bug2" localSheetId="8">#REF!</definedName>
    <definedName name="_bug2">#REF!</definedName>
    <definedName name="_bug3" localSheetId="8">#REF!</definedName>
    <definedName name="_bug3">#REF!</definedName>
    <definedName name="_bug4" localSheetId="8">#REF!</definedName>
    <definedName name="_bug4">#REF!</definedName>
    <definedName name="_bug5" localSheetId="8">#REF!</definedName>
    <definedName name="_bug5">#REF!</definedName>
    <definedName name="_bug6" localSheetId="8">#REF!</definedName>
    <definedName name="_bug6">#REF!</definedName>
    <definedName name="_bug7" localSheetId="8">#REF!</definedName>
    <definedName name="_bug7">#REF!</definedName>
    <definedName name="_bug8" localSheetId="8">#REF!</definedName>
    <definedName name="_bug8">#REF!</definedName>
    <definedName name="_bug9" localSheetId="8">#REF!</definedName>
    <definedName name="_bug9">#REF!</definedName>
    <definedName name="_but1" localSheetId="8">#REF!</definedName>
    <definedName name="_but1">#REF!</definedName>
    <definedName name="_but11" localSheetId="8">#REF!</definedName>
    <definedName name="_but11">#REF!</definedName>
    <definedName name="_but2" localSheetId="8">#REF!</definedName>
    <definedName name="_but2">#REF!</definedName>
    <definedName name="_but22" localSheetId="8">#REF!</definedName>
    <definedName name="_but22">#REF!</definedName>
    <definedName name="_but3" localSheetId="8">#REF!</definedName>
    <definedName name="_but3">#REF!</definedName>
    <definedName name="_but33" localSheetId="8">#REF!</definedName>
    <definedName name="_but33">#REF!</definedName>
    <definedName name="_but4" localSheetId="8">#REF!</definedName>
    <definedName name="_but4">#REF!</definedName>
    <definedName name="_but44" localSheetId="8">#REF!</definedName>
    <definedName name="_but44">#REF!</definedName>
    <definedName name="_but5" localSheetId="8">#REF!</definedName>
    <definedName name="_but5">#REF!</definedName>
    <definedName name="_but55" localSheetId="8">#REF!</definedName>
    <definedName name="_but55">#REF!</definedName>
    <definedName name="_but6" localSheetId="8">#REF!</definedName>
    <definedName name="_but6">#REF!</definedName>
    <definedName name="_but66" localSheetId="8">#REF!</definedName>
    <definedName name="_but66">#REF!</definedName>
    <definedName name="_C_Lphi_4ab" localSheetId="8">#REF!</definedName>
    <definedName name="_C_Lphi_4ab">#REF!</definedName>
    <definedName name="_cao1" localSheetId="8">#REF!</definedName>
    <definedName name="_cao1">#REF!</definedName>
    <definedName name="_cao2" localSheetId="8">#REF!</definedName>
    <definedName name="_cao2">#REF!</definedName>
    <definedName name="_cao3" localSheetId="8">#REF!</definedName>
    <definedName name="_cao3">#REF!</definedName>
    <definedName name="_cao4" localSheetId="8">#REF!</definedName>
    <definedName name="_cao4">#REF!</definedName>
    <definedName name="_cao5" localSheetId="8">#REF!</definedName>
    <definedName name="_cao5">#REF!</definedName>
    <definedName name="_cao6" localSheetId="8">#REF!</definedName>
    <definedName name="_cao6">#REF!</definedName>
    <definedName name="_cap2005">#REF!</definedName>
    <definedName name="_Cau2" localSheetId="8">#REF!</definedName>
    <definedName name="_Cau2">#REF!</definedName>
    <definedName name="_ccl1" localSheetId="8">#REF!</definedName>
    <definedName name="_ccl1">#REF!</definedName>
    <definedName name="_ccl2" localSheetId="8">#REF!</definedName>
    <definedName name="_ccl2">#REF!</definedName>
    <definedName name="_CCY1">#REF!</definedName>
    <definedName name="_CCY2">#REF!</definedName>
    <definedName name="_ckn12" localSheetId="8">#REF!</definedName>
    <definedName name="_ckn12">#REF!</definedName>
    <definedName name="_ckn80" localSheetId="8">#REF!</definedName>
    <definedName name="_ckn80">#REF!</definedName>
    <definedName name="_Coc1" localSheetId="8">#REF!</definedName>
    <definedName name="_Coc1">#REF!</definedName>
    <definedName name="_coc250" localSheetId="8">#REF!</definedName>
    <definedName name="_coc250">#REF!</definedName>
    <definedName name="_coc300" localSheetId="8">#REF!</definedName>
    <definedName name="_coc300">#REF!</definedName>
    <definedName name="_coc350" localSheetId="8">#REF!</definedName>
    <definedName name="_coc350">#REF!</definedName>
    <definedName name="_coc400">#REF!</definedName>
    <definedName name="_CON1" localSheetId="8">#REF!</definedName>
    <definedName name="_CON1">#REF!</definedName>
    <definedName name="_CON2" localSheetId="8">#REF!</definedName>
    <definedName name="_CON2">#REF!</definedName>
    <definedName name="_cpd1" localSheetId="8">#REF!</definedName>
    <definedName name="_cpd1">#REF!</definedName>
    <definedName name="_cpd2" localSheetId="8">#REF!</definedName>
    <definedName name="_cpd2">#REF!</definedName>
    <definedName name="_CPhi_Bhiem" localSheetId="8">#REF!</definedName>
    <definedName name="_CPhi_Bhiem">#REF!</definedName>
    <definedName name="_CPhi_BQLDA" localSheetId="8">#REF!</definedName>
    <definedName name="_CPhi_BQLDA">#REF!</definedName>
    <definedName name="_CPhi_DBaoGT" localSheetId="8">#REF!</definedName>
    <definedName name="_CPhi_DBaoGT">#REF!</definedName>
    <definedName name="_CPhi_Kdinh" localSheetId="8">#REF!</definedName>
    <definedName name="_CPhi_Kdinh">#REF!</definedName>
    <definedName name="_CPhi_Nthu_KThanh" localSheetId="8">#REF!</definedName>
    <definedName name="_CPhi_Nthu_KThanh">#REF!</definedName>
    <definedName name="_CPhi_QToan" localSheetId="8">#REF!</definedName>
    <definedName name="_CPhi_QToan">#REF!</definedName>
    <definedName name="_CPhiTKe_13" localSheetId="8">#REF!</definedName>
    <definedName name="_CPhiTKe_13">#REF!</definedName>
    <definedName name="_cs805" localSheetId="8">#REF!</definedName>
    <definedName name="_cs805">#REF!</definedName>
    <definedName name="_CT250" localSheetId="8">#REF!</definedName>
    <definedName name="_CT250">#REF!</definedName>
    <definedName name="_CT4" localSheetId="1" hidden="1">{"'Sheet1'!$L$16"}</definedName>
    <definedName name="_CT4" localSheetId="2" hidden="1">{"'Sheet1'!$L$16"}</definedName>
    <definedName name="_CT4" localSheetId="4" hidden="1">{"'Sheet1'!$L$16"}</definedName>
    <definedName name="_CT4" localSheetId="5" hidden="1">{"'Sheet1'!$L$16"}</definedName>
    <definedName name="_CT4" localSheetId="6" hidden="1">{"'Sheet1'!$L$16"}</definedName>
    <definedName name="_CT4" localSheetId="7" hidden="1">{"'Sheet1'!$L$16"}</definedName>
    <definedName name="_CT4" localSheetId="8" hidden="1">{"'Sheet1'!$L$16"}</definedName>
    <definedName name="_CT4" hidden="1">{"'Sheet1'!$L$16"}</definedName>
    <definedName name="_D1">#REF!</definedName>
    <definedName name="_d1500" localSheetId="1" hidden="1">{"'Sheet1'!$L$16"}</definedName>
    <definedName name="_d1500" localSheetId="2" hidden="1">{"'Sheet1'!$L$16"}</definedName>
    <definedName name="_d1500" localSheetId="3" hidden="1">{"'Sheet1'!$L$16"}</definedName>
    <definedName name="_d1500" localSheetId="4" hidden="1">{"'Sheet1'!$L$16"}</definedName>
    <definedName name="_d1500" localSheetId="5" hidden="1">{"'Sheet1'!$L$16"}</definedName>
    <definedName name="_d1500" localSheetId="6" hidden="1">{"'Sheet1'!$L$16"}</definedName>
    <definedName name="_d1500" localSheetId="7" hidden="1">{"'Sheet1'!$L$16"}</definedName>
    <definedName name="_d1500" localSheetId="8" hidden="1">{"'Sheet1'!$L$16"}</definedName>
    <definedName name="_d1500" hidden="1">{"'Sheet1'!$L$16"}</definedName>
    <definedName name="_d2" localSheetId="8">#REF!</definedName>
    <definedName name="_d2">#REF!</definedName>
    <definedName name="_dai1" localSheetId="8">#REF!</definedName>
    <definedName name="_dai1">#REF!</definedName>
    <definedName name="_dai2" localSheetId="8">#REF!</definedName>
    <definedName name="_dai2">#REF!</definedName>
    <definedName name="_dai3" localSheetId="8">#REF!</definedName>
    <definedName name="_dai3">#REF!</definedName>
    <definedName name="_dai4" localSheetId="8">#REF!</definedName>
    <definedName name="_dai4">#REF!</definedName>
    <definedName name="_dai5" localSheetId="8">#REF!</definedName>
    <definedName name="_dai5">#REF!</definedName>
    <definedName name="_dai6" localSheetId="8">#REF!</definedName>
    <definedName name="_dai6">#REF!</definedName>
    <definedName name="_dan1" localSheetId="8">#REF!</definedName>
    <definedName name="_dan1">#REF!</definedName>
    <definedName name="_dan2" localSheetId="8">#REF!</definedName>
    <definedName name="_dan2">#REF!</definedName>
    <definedName name="_dao1" localSheetId="8">#REF!</definedName>
    <definedName name="_dao1">#REF!</definedName>
    <definedName name="_dao2">#REF!</definedName>
    <definedName name="_dap2">#REF!</definedName>
    <definedName name="_day1" localSheetId="8">#REF!</definedName>
    <definedName name="_day1">#REF!</definedName>
    <definedName name="_day2">#REF!</definedName>
    <definedName name="_dbu1" localSheetId="8">#REF!</definedName>
    <definedName name="_dbu1">#REF!</definedName>
    <definedName name="_dbu2" localSheetId="8">#REF!</definedName>
    <definedName name="_dbu2">#REF!</definedName>
    <definedName name="_DDC3" localSheetId="8">#REF!</definedName>
    <definedName name="_DDC3">#REF!</definedName>
    <definedName name="_ddn400" localSheetId="8">#REF!</definedName>
    <definedName name="_ddn400">#REF!</definedName>
    <definedName name="_ddn600" localSheetId="8">#REF!</definedName>
    <definedName name="_ddn600">#REF!</definedName>
    <definedName name="_deo1" localSheetId="8">#REF!</definedName>
    <definedName name="_deo1">#REF!</definedName>
    <definedName name="_deo10" localSheetId="8">#REF!</definedName>
    <definedName name="_deo10">#REF!</definedName>
    <definedName name="_deo2" localSheetId="8">#REF!</definedName>
    <definedName name="_deo2">#REF!</definedName>
    <definedName name="_deo3" localSheetId="8">#REF!</definedName>
    <definedName name="_deo3">#REF!</definedName>
    <definedName name="_deo4" localSheetId="8">#REF!</definedName>
    <definedName name="_deo4">#REF!</definedName>
    <definedName name="_deo5" localSheetId="8">#REF!</definedName>
    <definedName name="_deo5">#REF!</definedName>
    <definedName name="_deo6" localSheetId="8">#REF!</definedName>
    <definedName name="_deo6">#REF!</definedName>
    <definedName name="_deo7" localSheetId="8">#REF!</definedName>
    <definedName name="_deo7">#REF!</definedName>
    <definedName name="_deo8" localSheetId="8">#REF!</definedName>
    <definedName name="_deo8">#REF!</definedName>
    <definedName name="_deo9" localSheetId="8">#REF!</definedName>
    <definedName name="_deo9">#REF!</definedName>
    <definedName name="_dgt100" localSheetId="8">#REF!</definedName>
    <definedName name="_dgt100">#REF!</definedName>
    <definedName name="_doi3" localSheetId="8">#REF!</definedName>
    <definedName name="_doi3">#REF!</definedName>
    <definedName name="_dui15">#REF!</definedName>
    <definedName name="_E1200" localSheetId="1" hidden="1">{"'Sheet1'!$L$16"}</definedName>
    <definedName name="_E1200" localSheetId="2" hidden="1">{"'Sheet1'!$L$16"}</definedName>
    <definedName name="_E1200" localSheetId="4" hidden="1">{"'Sheet1'!$L$16"}</definedName>
    <definedName name="_E1200" localSheetId="5" hidden="1">{"'Sheet1'!$L$16"}</definedName>
    <definedName name="_E1200" localSheetId="6" hidden="1">{"'Sheet1'!$L$16"}</definedName>
    <definedName name="_E1200" localSheetId="7" hidden="1">{"'Sheet1'!$L$16"}</definedName>
    <definedName name="_E1200" localSheetId="8" hidden="1">{"'Sheet1'!$L$16"}</definedName>
    <definedName name="_E1200" hidden="1">{"'Sheet1'!$L$16"}</definedName>
    <definedName name="_E99999" localSheetId="8">#REF!</definedName>
    <definedName name="_E99999">#REF!</definedName>
    <definedName name="_FIL2" localSheetId="8">#REF!</definedName>
    <definedName name="_FIL2">#REF!</definedName>
    <definedName name="_Fill" localSheetId="3" hidden="1">#REF!</definedName>
    <definedName name="_Fill" localSheetId="4" hidden="1">#REF!</definedName>
    <definedName name="_Fill" localSheetId="5" hidden="1">#REF!</definedName>
    <definedName name="_Fill" localSheetId="6" hidden="1">#REF!</definedName>
    <definedName name="_Fill" localSheetId="7" hidden="1">#REF!</definedName>
    <definedName name="_Fill" localSheetId="8" hidden="1">#REF!</definedName>
    <definedName name="_Fill" hidden="1">#REF!</definedName>
    <definedName name="_xlnm._FilterDatabase" localSheetId="3" hidden="1">#REF!</definedName>
    <definedName name="_xlnm._FilterDatabase" localSheetId="10" hidden="1">'40 CĂN ĐỦ ĐK BH '!$A$8:$M$48</definedName>
    <definedName name="_xlnm._FilterDatabase" localSheetId="4" hidden="1">'5. KHBH'!$A$2:$GY$12</definedName>
    <definedName name="_xlnm._FilterDatabase" localSheetId="5" hidden="1">#REF!</definedName>
    <definedName name="_xlnm._FilterDatabase" localSheetId="6" hidden="1">#REF!</definedName>
    <definedName name="_xlnm._FilterDatabase" localSheetId="7" hidden="1">#REF!</definedName>
    <definedName name="_xlnm._FilterDatabase" localSheetId="8" hidden="1">#REF!</definedName>
    <definedName name="_xlnm._FilterDatabase" hidden="1">#REF!</definedName>
    <definedName name="_gdc1">#REF!</definedName>
    <definedName name="_gdw2">#REF!</definedName>
    <definedName name="_GID1">#REF!</definedName>
    <definedName name="_Goi8" localSheetId="1" hidden="1">{"'Sheet1'!$L$16"}</definedName>
    <definedName name="_Goi8" localSheetId="2" hidden="1">{"'Sheet1'!$L$16"}</definedName>
    <definedName name="_Goi8" localSheetId="3" hidden="1">{"'Sheet1'!$L$16"}</definedName>
    <definedName name="_Goi8" localSheetId="4" hidden="1">{"'Sheet1'!$L$16"}</definedName>
    <definedName name="_Goi8" localSheetId="5" hidden="1">{"'Sheet1'!$L$16"}</definedName>
    <definedName name="_Goi8" localSheetId="6" hidden="1">{"'Sheet1'!$L$16"}</definedName>
    <definedName name="_Goi8" localSheetId="7" hidden="1">{"'Sheet1'!$L$16"}</definedName>
    <definedName name="_Goi8" localSheetId="8" hidden="1">{"'Sheet1'!$L$16"}</definedName>
    <definedName name="_Goi8" hidden="1">{"'Sheet1'!$L$16"}</definedName>
    <definedName name="_gon4" localSheetId="8">#REF!</definedName>
    <definedName name="_gon4">#REF!</definedName>
    <definedName name="_H1">#REF!</definedName>
    <definedName name="_h10" localSheetId="8">#REF!</definedName>
    <definedName name="_h10">#REF!</definedName>
    <definedName name="_hh1">#REF!</definedName>
    <definedName name="_hh1219" localSheetId="1" hidden="1">{"'Sheet1'!$L$16"}</definedName>
    <definedName name="_hh1219" localSheetId="2" hidden="1">{"'Sheet1'!$L$16"}</definedName>
    <definedName name="_hh1219" localSheetId="4" hidden="1">{"'Sheet1'!$L$16"}</definedName>
    <definedName name="_hh1219" localSheetId="5" hidden="1">{"'Sheet1'!$L$16"}</definedName>
    <definedName name="_hh1219" localSheetId="6" hidden="1">{"'Sheet1'!$L$16"}</definedName>
    <definedName name="_hh1219" localSheetId="7" hidden="1">{"'Sheet1'!$L$16"}</definedName>
    <definedName name="_hh1219" localSheetId="8" hidden="1">{"'Sheet1'!$L$16"}</definedName>
    <definedName name="_hh1219" hidden="1">{"'Sheet1'!$L$16"}</definedName>
    <definedName name="_hh2">#REF!</definedName>
    <definedName name="_HKy2" localSheetId="8">#REF!</definedName>
    <definedName name="_HKy2">#REF!</definedName>
    <definedName name="_hom2" localSheetId="8">#REF!</definedName>
    <definedName name="_hom2">#REF!</definedName>
    <definedName name="_hom4" localSheetId="8">#REF!</definedName>
    <definedName name="_hom4">#REF!</definedName>
    <definedName name="_hsm2">1.1289</definedName>
    <definedName name="_htb1" localSheetId="8">#REF!</definedName>
    <definedName name="_htb1">#REF!</definedName>
    <definedName name="_hu1" localSheetId="1" hidden="1">{"'Sheet1'!$L$16"}</definedName>
    <definedName name="_hu1" localSheetId="2" hidden="1">{"'Sheet1'!$L$16"}</definedName>
    <definedName name="_hu1" localSheetId="3" hidden="1">{"'Sheet1'!$L$16"}</definedName>
    <definedName name="_hu1" localSheetId="4" hidden="1">{"'Sheet1'!$L$16"}</definedName>
    <definedName name="_hu1" localSheetId="5" hidden="1">{"'Sheet1'!$L$16"}</definedName>
    <definedName name="_hu1" localSheetId="6" hidden="1">{"'Sheet1'!$L$16"}</definedName>
    <definedName name="_hu1" localSheetId="7" hidden="1">{"'Sheet1'!$L$16"}</definedName>
    <definedName name="_hu1" localSheetId="8" hidden="1">{"'Sheet1'!$L$16"}</definedName>
    <definedName name="_hu1" hidden="1">{"'Sheet1'!$L$16"}</definedName>
    <definedName name="_hu2" localSheetId="1" hidden="1">{"'Sheet1'!$L$16"}</definedName>
    <definedName name="_hu2" localSheetId="2" hidden="1">{"'Sheet1'!$L$16"}</definedName>
    <definedName name="_hu2" localSheetId="3" hidden="1">{"'Sheet1'!$L$16"}</definedName>
    <definedName name="_hu2" localSheetId="4" hidden="1">{"'Sheet1'!$L$16"}</definedName>
    <definedName name="_hu2" localSheetId="5" hidden="1">{"'Sheet1'!$L$16"}</definedName>
    <definedName name="_hu2" localSheetId="6" hidden="1">{"'Sheet1'!$L$16"}</definedName>
    <definedName name="_hu2" localSheetId="7" hidden="1">{"'Sheet1'!$L$16"}</definedName>
    <definedName name="_hu2" localSheetId="8" hidden="1">{"'Sheet1'!$L$16"}</definedName>
    <definedName name="_hu2" hidden="1">{"'Sheet1'!$L$16"}</definedName>
    <definedName name="_hu5" localSheetId="1" hidden="1">{"'Sheet1'!$L$16"}</definedName>
    <definedName name="_hu5" localSheetId="2" hidden="1">{"'Sheet1'!$L$16"}</definedName>
    <definedName name="_hu5" localSheetId="3" hidden="1">{"'Sheet1'!$L$16"}</definedName>
    <definedName name="_hu5" localSheetId="4" hidden="1">{"'Sheet1'!$L$16"}</definedName>
    <definedName name="_hu5" localSheetId="5" hidden="1">{"'Sheet1'!$L$16"}</definedName>
    <definedName name="_hu5" localSheetId="6" hidden="1">{"'Sheet1'!$L$16"}</definedName>
    <definedName name="_hu5" localSheetId="7" hidden="1">{"'Sheet1'!$L$16"}</definedName>
    <definedName name="_hu5" localSheetId="8" hidden="1">{"'Sheet1'!$L$16"}</definedName>
    <definedName name="_hu5" hidden="1">{"'Sheet1'!$L$16"}</definedName>
    <definedName name="_hu6" localSheetId="1" hidden="1">{"'Sheet1'!$L$16"}</definedName>
    <definedName name="_hu6" localSheetId="2" hidden="1">{"'Sheet1'!$L$16"}</definedName>
    <definedName name="_hu6" localSheetId="3" hidden="1">{"'Sheet1'!$L$16"}</definedName>
    <definedName name="_hu6" localSheetId="4" hidden="1">{"'Sheet1'!$L$16"}</definedName>
    <definedName name="_hu6" localSheetId="5" hidden="1">{"'Sheet1'!$L$16"}</definedName>
    <definedName name="_hu6" localSheetId="6" hidden="1">{"'Sheet1'!$L$16"}</definedName>
    <definedName name="_hu6" localSheetId="7" hidden="1">{"'Sheet1'!$L$16"}</definedName>
    <definedName name="_hu6" localSheetId="8" hidden="1">{"'Sheet1'!$L$16"}</definedName>
    <definedName name="_hu6" hidden="1">{"'Sheet1'!$L$16"}</definedName>
    <definedName name="_hu7" localSheetId="1" hidden="1">{"'Sheet1'!$L$16"}</definedName>
    <definedName name="_hu7" localSheetId="2" hidden="1">{"'Sheet1'!$L$16"}</definedName>
    <definedName name="_hu7" localSheetId="3" hidden="1">{"'Sheet1'!$L$16"}</definedName>
    <definedName name="_hu7" localSheetId="4" hidden="1">{"'Sheet1'!$L$16"}</definedName>
    <definedName name="_hu7" localSheetId="5" hidden="1">{"'Sheet1'!$L$16"}</definedName>
    <definedName name="_hu7" localSheetId="6" hidden="1">{"'Sheet1'!$L$16"}</definedName>
    <definedName name="_hu7" localSheetId="7" hidden="1">{"'Sheet1'!$L$16"}</definedName>
    <definedName name="_hu7" localSheetId="8" hidden="1">{"'Sheet1'!$L$16"}</definedName>
    <definedName name="_hu7" hidden="1">{"'Sheet1'!$L$16"}</definedName>
    <definedName name="_huy1" localSheetId="1" hidden="1">{"'Sheet1'!$L$16"}</definedName>
    <definedName name="_huy1" localSheetId="2" hidden="1">{"'Sheet1'!$L$16"}</definedName>
    <definedName name="_huy1" localSheetId="4" hidden="1">{"'Sheet1'!$L$16"}</definedName>
    <definedName name="_huy1" localSheetId="5" hidden="1">{"'Sheet1'!$L$16"}</definedName>
    <definedName name="_huy1" localSheetId="6" hidden="1">{"'Sheet1'!$L$16"}</definedName>
    <definedName name="_huy1" localSheetId="7" hidden="1">{"'Sheet1'!$L$16"}</definedName>
    <definedName name="_huy1" localSheetId="8" hidden="1">{"'Sheet1'!$L$16"}</definedName>
    <definedName name="_huy1" hidden="1">{"'Sheet1'!$L$16"}</definedName>
    <definedName name="_Key1" localSheetId="3" hidden="1">#REF!</definedName>
    <definedName name="_Key1" localSheetId="4" hidden="1">#REF!</definedName>
    <definedName name="_Key1" localSheetId="5" hidden="1">#REF!</definedName>
    <definedName name="_Key1" localSheetId="6" hidden="1">#REF!</definedName>
    <definedName name="_Key1" localSheetId="7" hidden="1">#REF!</definedName>
    <definedName name="_Key1" localSheetId="8" hidden="1">#REF!</definedName>
    <definedName name="_Key1" hidden="1">#REF!</definedName>
    <definedName name="_Key2" localSheetId="3" hidden="1">#REF!</definedName>
    <definedName name="_Key2" localSheetId="4" hidden="1">#REF!</definedName>
    <definedName name="_Key2" localSheetId="5" hidden="1">#REF!</definedName>
    <definedName name="_Key2" localSheetId="6" hidden="1">#REF!</definedName>
    <definedName name="_Key2" localSheetId="7" hidden="1">#REF!</definedName>
    <definedName name="_Key2" localSheetId="8" hidden="1">#REF!</definedName>
    <definedName name="_Key2" hidden="1">#REF!</definedName>
    <definedName name="_khu7" localSheetId="8">#REF!</definedName>
    <definedName name="_khu7">#REF!</definedName>
    <definedName name="_kl1" localSheetId="8">#REF!</definedName>
    <definedName name="_kl1">#REF!</definedName>
    <definedName name="_kn12" localSheetId="8">#REF!</definedName>
    <definedName name="_kn12">#REF!</definedName>
    <definedName name="_L1">#REF!</definedName>
    <definedName name="_L6">#REF!</definedName>
    <definedName name="_Lan1" localSheetId="1" hidden="1">{"'Sheet1'!$L$16"}</definedName>
    <definedName name="_Lan1" localSheetId="2" hidden="1">{"'Sheet1'!$L$16"}</definedName>
    <definedName name="_Lan1" localSheetId="4" hidden="1">{"'Sheet1'!$L$16"}</definedName>
    <definedName name="_Lan1" localSheetId="5" hidden="1">{"'Sheet1'!$L$16"}</definedName>
    <definedName name="_Lan1" localSheetId="6" hidden="1">{"'Sheet1'!$L$16"}</definedName>
    <definedName name="_Lan1" localSheetId="7" hidden="1">{"'Sheet1'!$L$16"}</definedName>
    <definedName name="_Lan1" localSheetId="8" hidden="1">{"'Sheet1'!$L$16"}</definedName>
    <definedName name="_Lan1" hidden="1">{"'Sheet1'!$L$16"}</definedName>
    <definedName name="_Lan2" localSheetId="1" hidden="1">{"'Sheet1'!$L$16"}</definedName>
    <definedName name="_Lan2" localSheetId="2" hidden="1">{"'Sheet1'!$L$16"}</definedName>
    <definedName name="_Lan2" localSheetId="4" hidden="1">{"'Sheet1'!$L$16"}</definedName>
    <definedName name="_Lan2" localSheetId="5" hidden="1">{"'Sheet1'!$L$16"}</definedName>
    <definedName name="_Lan2" localSheetId="6" hidden="1">{"'Sheet1'!$L$16"}</definedName>
    <definedName name="_Lan2" localSheetId="7" hidden="1">{"'Sheet1'!$L$16"}</definedName>
    <definedName name="_Lan2" localSheetId="8" hidden="1">{"'Sheet1'!$L$16"}</definedName>
    <definedName name="_Lan2" hidden="1">{"'Sheet1'!$L$16"}</definedName>
    <definedName name="_LAN3" localSheetId="1" hidden="1">{"'Sheet1'!$L$16"}</definedName>
    <definedName name="_LAN3" localSheetId="2" hidden="1">{"'Sheet1'!$L$16"}</definedName>
    <definedName name="_LAN3" localSheetId="4" hidden="1">{"'Sheet1'!$L$16"}</definedName>
    <definedName name="_LAN3" localSheetId="5" hidden="1">{"'Sheet1'!$L$16"}</definedName>
    <definedName name="_LAN3" localSheetId="6" hidden="1">{"'Sheet1'!$L$16"}</definedName>
    <definedName name="_LAN3" localSheetId="7" hidden="1">{"'Sheet1'!$L$16"}</definedName>
    <definedName name="_LAN3" localSheetId="8" hidden="1">{"'Sheet1'!$L$16"}</definedName>
    <definedName name="_LAN3" hidden="1">{"'Sheet1'!$L$16"}</definedName>
    <definedName name="_lap1" localSheetId="8">#REF!</definedName>
    <definedName name="_lap1">#REF!</definedName>
    <definedName name="_lap2" localSheetId="8">#REF!</definedName>
    <definedName name="_lap2">#REF!</definedName>
    <definedName name="_ld2" localSheetId="1" hidden="1">{"'Sheet1'!$L$16"}</definedName>
    <definedName name="_ld2" localSheetId="2" hidden="1">{"'Sheet1'!$L$16"}</definedName>
    <definedName name="_ld2" localSheetId="4" hidden="1">{"'Sheet1'!$L$16"}</definedName>
    <definedName name="_ld2" localSheetId="5" hidden="1">{"'Sheet1'!$L$16"}</definedName>
    <definedName name="_ld2" localSheetId="6" hidden="1">{"'Sheet1'!$L$16"}</definedName>
    <definedName name="_ld2" localSheetId="7" hidden="1">{"'Sheet1'!$L$16"}</definedName>
    <definedName name="_ld2" localSheetId="8" hidden="1">{"'Sheet1'!$L$16"}</definedName>
    <definedName name="_ld2" hidden="1">{"'Sheet1'!$L$16"}</definedName>
    <definedName name="_lu13" localSheetId="8">#REF!</definedName>
    <definedName name="_lu13">#REF!</definedName>
    <definedName name="_LX100" localSheetId="8">#REF!</definedName>
    <definedName name="_LX100">#REF!</definedName>
    <definedName name="_m">#REF!</definedName>
    <definedName name="_m1233" localSheetId="1" hidden="1">{"'Sheet1'!$L$16"}</definedName>
    <definedName name="_m1233" localSheetId="2" hidden="1">{"'Sheet1'!$L$16"}</definedName>
    <definedName name="_m1233" localSheetId="4" hidden="1">{"'Sheet1'!$L$16"}</definedName>
    <definedName name="_m1233" localSheetId="5" hidden="1">{"'Sheet1'!$L$16"}</definedName>
    <definedName name="_m1233" localSheetId="6" hidden="1">{"'Sheet1'!$L$16"}</definedName>
    <definedName name="_m1233" localSheetId="7" hidden="1">{"'Sheet1'!$L$16"}</definedName>
    <definedName name="_m1233" localSheetId="8" hidden="1">{"'Sheet1'!$L$16"}</definedName>
    <definedName name="_m1233" hidden="1">{"'Sheet1'!$L$16"}</definedName>
    <definedName name="_MAC12" localSheetId="8">#REF!</definedName>
    <definedName name="_MAC12">#REF!</definedName>
    <definedName name="_MAC46" localSheetId="8">#REF!</definedName>
    <definedName name="_MAC46">#REF!</definedName>
    <definedName name="_MB1" localSheetId="8">#REF!</definedName>
    <definedName name="_MB1">#REF!</definedName>
    <definedName name="_MB2" localSheetId="8">#REF!</definedName>
    <definedName name="_MB2">#REF!</definedName>
    <definedName name="_MCC3" localSheetId="1" hidden="1">{#N/A,#N/A,FALSE,"CCTV"}</definedName>
    <definedName name="_MCC3" localSheetId="2" hidden="1">{#N/A,#N/A,FALSE,"CCTV"}</definedName>
    <definedName name="_MCC3" localSheetId="4" hidden="1">{#N/A,#N/A,FALSE,"CCTV"}</definedName>
    <definedName name="_MCC3" localSheetId="5" hidden="1">{#N/A,#N/A,FALSE,"CCTV"}</definedName>
    <definedName name="_MCC3" localSheetId="6" hidden="1">{#N/A,#N/A,FALSE,"CCTV"}</definedName>
    <definedName name="_MCC3" localSheetId="7" hidden="1">{#N/A,#N/A,FALSE,"CCTV"}</definedName>
    <definedName name="_MCC3" localSheetId="8" hidden="1">{#N/A,#N/A,FALSE,"CCTV"}</definedName>
    <definedName name="_MCC3" hidden="1">{#N/A,#N/A,FALSE,"CCTV"}</definedName>
    <definedName name="_mdc1" localSheetId="8">#REF!</definedName>
    <definedName name="_mdc1">#REF!</definedName>
    <definedName name="_mdc2" localSheetId="8">#REF!</definedName>
    <definedName name="_mdc2">#REF!</definedName>
    <definedName name="_MEP2" localSheetId="1" hidden="1">{#N/A,#N/A,FALSE,"CCTV"}</definedName>
    <definedName name="_MEP2" localSheetId="2" hidden="1">{#N/A,#N/A,FALSE,"CCTV"}</definedName>
    <definedName name="_MEP2" localSheetId="4" hidden="1">{#N/A,#N/A,FALSE,"CCTV"}</definedName>
    <definedName name="_MEP2" localSheetId="5" hidden="1">{#N/A,#N/A,FALSE,"CCTV"}</definedName>
    <definedName name="_MEP2" localSheetId="6" hidden="1">{#N/A,#N/A,FALSE,"CCTV"}</definedName>
    <definedName name="_MEP2" localSheetId="7" hidden="1">{#N/A,#N/A,FALSE,"CCTV"}</definedName>
    <definedName name="_MEP2" localSheetId="8" hidden="1">{#N/A,#N/A,FALSE,"CCTV"}</definedName>
    <definedName name="_MEP2" hidden="1">{#N/A,#N/A,FALSE,"CCTV"}</definedName>
    <definedName name="_mh2" localSheetId="8">#REF!</definedName>
    <definedName name="_mh2">#REF!</definedName>
    <definedName name="_mm11" localSheetId="8">#REF!</definedName>
    <definedName name="_mm11">#REF!</definedName>
    <definedName name="_mm12" localSheetId="8">#REF!</definedName>
    <definedName name="_mm12">#REF!</definedName>
    <definedName name="_mm13">#REF!</definedName>
    <definedName name="_mm14">#REF!</definedName>
    <definedName name="_mm15">#REF!</definedName>
    <definedName name="_mm3">#REF!</definedName>
    <definedName name="_mm4">#REF!</definedName>
    <definedName name="_mm5">#REF!</definedName>
    <definedName name="_mm6">#REF!</definedName>
    <definedName name="_MN1" localSheetId="8">#REF!</definedName>
    <definedName name="_MN1">#REF!</definedName>
    <definedName name="_MN2" localSheetId="8">#REF!</definedName>
    <definedName name="_MN2">#REF!</definedName>
    <definedName name="_moi2" localSheetId="1" hidden="1">{"'Sheet1'!$L$16"}</definedName>
    <definedName name="_moi2" localSheetId="2" hidden="1">{"'Sheet1'!$L$16"}</definedName>
    <definedName name="_moi2" localSheetId="4" hidden="1">{"'Sheet1'!$L$16"}</definedName>
    <definedName name="_moi2" localSheetId="5" hidden="1">{"'Sheet1'!$L$16"}</definedName>
    <definedName name="_moi2" localSheetId="6" hidden="1">{"'Sheet1'!$L$16"}</definedName>
    <definedName name="_moi2" localSheetId="7" hidden="1">{"'Sheet1'!$L$16"}</definedName>
    <definedName name="_moi2" localSheetId="8" hidden="1">{"'Sheet1'!$L$16"}</definedName>
    <definedName name="_moi2" hidden="1">{"'Sheet1'!$L$16"}</definedName>
    <definedName name="_MT1" localSheetId="8">#REF!</definedName>
    <definedName name="_MT1">#REF!</definedName>
    <definedName name="_MT2" localSheetId="8">#REF!</definedName>
    <definedName name="_MT2">#REF!</definedName>
    <definedName name="_MVL486">#REF!</definedName>
    <definedName name="_mw2" localSheetId="8">#REF!</definedName>
    <definedName name="_mw2">#REF!</definedName>
    <definedName name="_NC100" localSheetId="8">#REF!</definedName>
    <definedName name="_NC100">#REF!</definedName>
    <definedName name="_nc150" localSheetId="8">#REF!</definedName>
    <definedName name="_nc150">#REF!</definedName>
    <definedName name="_nc151" localSheetId="8">#REF!</definedName>
    <definedName name="_nc151">#REF!</definedName>
    <definedName name="_NC200" localSheetId="8">#REF!</definedName>
    <definedName name="_NC200">#REF!</definedName>
    <definedName name="_nc27" localSheetId="8">#REF!</definedName>
    <definedName name="_nc27">#REF!</definedName>
    <definedName name="_nc3" localSheetId="8">#REF!</definedName>
    <definedName name="_nc3">#REF!</definedName>
    <definedName name="_nc35">#REF!</definedName>
    <definedName name="_nc4" localSheetId="8">#REF!</definedName>
    <definedName name="_nc4">#REF!</definedName>
    <definedName name="_nc50" localSheetId="8">#REF!</definedName>
    <definedName name="_nc50">#REF!</definedName>
    <definedName name="_NCL100" localSheetId="8">#REF!</definedName>
    <definedName name="_NCL100">#REF!</definedName>
    <definedName name="_NCL200" localSheetId="8">#REF!</definedName>
    <definedName name="_NCL200">#REF!</definedName>
    <definedName name="_NCL250" localSheetId="8">#REF!</definedName>
    <definedName name="_NCL250">#REF!</definedName>
    <definedName name="_NCO150" localSheetId="8">#REF!</definedName>
    <definedName name="_NCO150">#REF!</definedName>
    <definedName name="_NCO200" localSheetId="8">#REF!</definedName>
    <definedName name="_NCO200">#REF!</definedName>
    <definedName name="_NCO50" localSheetId="8">#REF!</definedName>
    <definedName name="_NCO50">#REF!</definedName>
    <definedName name="_NET2" localSheetId="8">#REF!</definedName>
    <definedName name="_NET2">#REF!</definedName>
    <definedName name="_nh1">#REF!</definedName>
    <definedName name="_nh2">#REF!</definedName>
    <definedName name="_nh3">#REF!</definedName>
    <definedName name="_nh4">#REF!</definedName>
    <definedName name="_nh5">#REF!</definedName>
    <definedName name="_nh6">#REF!</definedName>
    <definedName name="_nh7">#REF!</definedName>
    <definedName name="_nin190" localSheetId="8">#REF!</definedName>
    <definedName name="_nin190">#REF!</definedName>
    <definedName name="_No1" localSheetId="8">#REF!</definedName>
    <definedName name="_No1">#REF!</definedName>
    <definedName name="_NPV11" localSheetId="8">#REF!</definedName>
    <definedName name="_NPV11">#REF!</definedName>
    <definedName name="_npv22" localSheetId="8">#REF!</definedName>
    <definedName name="_npv22">#REF!</definedName>
    <definedName name="_NSO2" localSheetId="1" hidden="1">{"'Sheet1'!$L$16"}</definedName>
    <definedName name="_NSO2" localSheetId="2" hidden="1">{"'Sheet1'!$L$16"}</definedName>
    <definedName name="_NSO2" localSheetId="4" hidden="1">{"'Sheet1'!$L$16"}</definedName>
    <definedName name="_NSO2" localSheetId="5" hidden="1">{"'Sheet1'!$L$16"}</definedName>
    <definedName name="_NSO2" localSheetId="6" hidden="1">{"'Sheet1'!$L$16"}</definedName>
    <definedName name="_NSO2" localSheetId="7" hidden="1">{"'Sheet1'!$L$16"}</definedName>
    <definedName name="_NSO2" localSheetId="8" hidden="1">{"'Sheet1'!$L$16"}</definedName>
    <definedName name="_NSO2" hidden="1">{"'Sheet1'!$L$16"}</definedName>
    <definedName name="_Order1" hidden="1">255</definedName>
    <definedName name="_Order2" hidden="1">255</definedName>
    <definedName name="_oto10" localSheetId="8">#REF!</definedName>
    <definedName name="_oto10">#REF!</definedName>
    <definedName name="_PA3" localSheetId="1" hidden="1">{"'Sheet1'!$L$16"}</definedName>
    <definedName name="_PA3" localSheetId="2" hidden="1">{"'Sheet1'!$L$16"}</definedName>
    <definedName name="_PA3" localSheetId="3" hidden="1">{"'Sheet1'!$L$16"}</definedName>
    <definedName name="_PA3" localSheetId="4" hidden="1">{"'Sheet1'!$L$16"}</definedName>
    <definedName name="_PA3" localSheetId="5" hidden="1">{"'Sheet1'!$L$16"}</definedName>
    <definedName name="_PA3" localSheetId="6" hidden="1">{"'Sheet1'!$L$16"}</definedName>
    <definedName name="_PA3" localSheetId="7" hidden="1">{"'Sheet1'!$L$16"}</definedName>
    <definedName name="_PA3" localSheetId="8" hidden="1">{"'Sheet1'!$L$16"}</definedName>
    <definedName name="_PA3" hidden="1">{"'Sheet1'!$L$16"}</definedName>
    <definedName name="_pa4" localSheetId="1" hidden="1">{"'Sheet1'!$L$16"}</definedName>
    <definedName name="_pa4" localSheetId="2" hidden="1">{"'Sheet1'!$L$16"}</definedName>
    <definedName name="_pa4" localSheetId="4" hidden="1">{"'Sheet1'!$L$16"}</definedName>
    <definedName name="_pa4" localSheetId="5" hidden="1">{"'Sheet1'!$L$16"}</definedName>
    <definedName name="_pa4" localSheetId="6" hidden="1">{"'Sheet1'!$L$16"}</definedName>
    <definedName name="_pa4" localSheetId="7" hidden="1">{"'Sheet1'!$L$16"}</definedName>
    <definedName name="_pa4" localSheetId="8" hidden="1">{"'Sheet1'!$L$16"}</definedName>
    <definedName name="_pa4" hidden="1">{"'Sheet1'!$L$16"}</definedName>
    <definedName name="_Parse_Out" localSheetId="3" hidden="1">#REF!</definedName>
    <definedName name="_Parse_Out" localSheetId="4" hidden="1">#REF!</definedName>
    <definedName name="_Parse_Out" localSheetId="8" hidden="1">#REF!</definedName>
    <definedName name="_Parse_Out" hidden="1">#REF!</definedName>
    <definedName name="_pbn1">#REF!</definedName>
    <definedName name="_pbn2">#REF!</definedName>
    <definedName name="_pbn3">#REF!</definedName>
    <definedName name="_pc30">#REF!</definedName>
    <definedName name="_pc40">#REF!</definedName>
    <definedName name="_Ph30" localSheetId="8">#REF!</definedName>
    <definedName name="_Ph30">#REF!</definedName>
    <definedName name="_phi10" localSheetId="8">#REF!</definedName>
    <definedName name="_phi10">#REF!</definedName>
    <definedName name="_phi12" localSheetId="8">#REF!</definedName>
    <definedName name="_phi12">#REF!</definedName>
    <definedName name="_phi14" localSheetId="8">#REF!</definedName>
    <definedName name="_phi14">#REF!</definedName>
    <definedName name="_phi16" localSheetId="8">#REF!</definedName>
    <definedName name="_phi16">#REF!</definedName>
    <definedName name="_phi18" localSheetId="8">#REF!</definedName>
    <definedName name="_phi18">#REF!</definedName>
    <definedName name="_phi20" localSheetId="8">#REF!</definedName>
    <definedName name="_phi20">#REF!</definedName>
    <definedName name="_phi22" localSheetId="8">#REF!</definedName>
    <definedName name="_phi22">#REF!</definedName>
    <definedName name="_phi25" localSheetId="8">#REF!</definedName>
    <definedName name="_phi25">#REF!</definedName>
    <definedName name="_phi28" localSheetId="8">#REF!</definedName>
    <definedName name="_phi28">#REF!</definedName>
    <definedName name="_phi6" localSheetId="8">#REF!</definedName>
    <definedName name="_phi6">#REF!</definedName>
    <definedName name="_phi8" localSheetId="8">#REF!</definedName>
    <definedName name="_phi8">#REF!</definedName>
    <definedName name="_Piv1" localSheetId="8">#REF!,#REF!</definedName>
    <definedName name="_Piv1">#REF!,#REF!</definedName>
    <definedName name="_Piv2" localSheetId="8">#REF!,#REF!</definedName>
    <definedName name="_Piv2">#REF!,#REF!</definedName>
    <definedName name="_PL10">#REF!</definedName>
    <definedName name="_PL12">#REF!</definedName>
    <definedName name="_PL14">#REF!</definedName>
    <definedName name="_PL18">#REF!</definedName>
    <definedName name="_PL22">#REF!</definedName>
    <definedName name="_PL23">#REF!</definedName>
    <definedName name="_PL24">#REF!</definedName>
    <definedName name="_PL3">#REF!</definedName>
    <definedName name="_PL31">#REF!</definedName>
    <definedName name="_PL40">#REF!</definedName>
    <definedName name="_PL41">#REF!</definedName>
    <definedName name="_PL42">#REF!</definedName>
    <definedName name="_PL52">#REF!</definedName>
    <definedName name="_PL54">#REF!</definedName>
    <definedName name="_PL55">#REF!</definedName>
    <definedName name="_PL60">#REF!</definedName>
    <definedName name="_PL61">#REF!</definedName>
    <definedName name="_PL62">#REF!</definedName>
    <definedName name="_PN3">#REF!</definedName>
    <definedName name="_PXB80" localSheetId="8">#REF!</definedName>
    <definedName name="_PXB80">#REF!</definedName>
    <definedName name="_Q1111" localSheetId="1" hidden="1">{"'Sheet1'!$L$16"}</definedName>
    <definedName name="_Q1111" localSheetId="2" hidden="1">{"'Sheet1'!$L$16"}</definedName>
    <definedName name="_Q1111" localSheetId="4" hidden="1">{"'Sheet1'!$L$16"}</definedName>
    <definedName name="_Q1111" localSheetId="5" hidden="1">{"'Sheet1'!$L$16"}</definedName>
    <definedName name="_Q1111" localSheetId="6" hidden="1">{"'Sheet1'!$L$16"}</definedName>
    <definedName name="_Q1111" localSheetId="7" hidden="1">{"'Sheet1'!$L$16"}</definedName>
    <definedName name="_Q1111" localSheetId="8" hidden="1">{"'Sheet1'!$L$16"}</definedName>
    <definedName name="_Q1111" hidden="1">{"'Sheet1'!$L$16"}</definedName>
    <definedName name="_qh2" localSheetId="8">#REF!</definedName>
    <definedName name="_qh2">#REF!</definedName>
    <definedName name="_QLO7" localSheetId="3" hidden="1">#REF!</definedName>
    <definedName name="_QLO7" localSheetId="4" hidden="1">#REF!</definedName>
    <definedName name="_QLO7" localSheetId="5" hidden="1">#REF!</definedName>
    <definedName name="_QLO7" localSheetId="6" hidden="1">#REF!</definedName>
    <definedName name="_QLO7" localSheetId="7" hidden="1">#REF!</definedName>
    <definedName name="_QLO7" localSheetId="8" hidden="1">#REF!</definedName>
    <definedName name="_QLO7" hidden="1">#REF!</definedName>
    <definedName name="_Rd1">#REF!</definedName>
    <definedName name="_Regression_Int" hidden="1">1</definedName>
    <definedName name="_RHH1" localSheetId="8">#REF!</definedName>
    <definedName name="_RHH1">#REF!</definedName>
    <definedName name="_RHH10" localSheetId="8">#REF!</definedName>
    <definedName name="_RHH10">#REF!</definedName>
    <definedName name="_RHP1" localSheetId="8">#REF!</definedName>
    <definedName name="_RHP1">#REF!</definedName>
    <definedName name="_RHP10" localSheetId="8">#REF!</definedName>
    <definedName name="_RHP10">#REF!</definedName>
    <definedName name="_RI1" localSheetId="8">#REF!</definedName>
    <definedName name="_RI1">#REF!</definedName>
    <definedName name="_RI10" localSheetId="8">#REF!</definedName>
    <definedName name="_RI10">#REF!</definedName>
    <definedName name="_RII1" localSheetId="8">#REF!</definedName>
    <definedName name="_RII1">#REF!</definedName>
    <definedName name="_RII10" localSheetId="8">#REF!</definedName>
    <definedName name="_RII10">#REF!</definedName>
    <definedName name="_RIP1" localSheetId="8">#REF!</definedName>
    <definedName name="_RIP1">#REF!</definedName>
    <definedName name="_RIP10" localSheetId="8">#REF!</definedName>
    <definedName name="_RIP10">#REF!</definedName>
    <definedName name="_rp95" localSheetId="8">#REF!</definedName>
    <definedName name="_rp95">#REF!</definedName>
    <definedName name="_san108" localSheetId="8">#REF!</definedName>
    <definedName name="_san108">#REF!</definedName>
    <definedName name="_san180" localSheetId="8">#REF!</definedName>
    <definedName name="_san180">#REF!</definedName>
    <definedName name="_san250" localSheetId="8">#REF!</definedName>
    <definedName name="_san250">#REF!</definedName>
    <definedName name="_san54" localSheetId="8">#REF!</definedName>
    <definedName name="_san54">#REF!</definedName>
    <definedName name="_san90" localSheetId="8">#REF!</definedName>
    <definedName name="_san90">#REF!</definedName>
    <definedName name="_sat10" localSheetId="8">#REF!</definedName>
    <definedName name="_sat10">#REF!</definedName>
    <definedName name="_sat12" localSheetId="8">#REF!</definedName>
    <definedName name="_sat12">#REF!</definedName>
    <definedName name="_sat14" localSheetId="8">#REF!</definedName>
    <definedName name="_sat14">#REF!</definedName>
    <definedName name="_sat16" localSheetId="8">#REF!</definedName>
    <definedName name="_sat16">#REF!</definedName>
    <definedName name="_sat20" localSheetId="8">#REF!</definedName>
    <definedName name="_sat20">#REF!</definedName>
    <definedName name="_Sat27" localSheetId="8">#REF!</definedName>
    <definedName name="_Sat27">#REF!</definedName>
    <definedName name="_sat6" localSheetId="8">#REF!</definedName>
    <definedName name="_sat6">#REF!</definedName>
    <definedName name="_sat8" localSheetId="8">#REF!</definedName>
    <definedName name="_sat8">#REF!</definedName>
    <definedName name="_SAU4" localSheetId="8">#REF!</definedName>
    <definedName name="_SAU4">#REF!</definedName>
    <definedName name="_sc1" localSheetId="8">#REF!</definedName>
    <definedName name="_sc1">#REF!</definedName>
    <definedName name="_SC2" localSheetId="8">#REF!</definedName>
    <definedName name="_SC2">#REF!</definedName>
    <definedName name="_sc3" localSheetId="8">#REF!</definedName>
    <definedName name="_sc3">#REF!</definedName>
    <definedName name="_slg1" localSheetId="8">#REF!</definedName>
    <definedName name="_slg1">#REF!</definedName>
    <definedName name="_slg2" localSheetId="8">#REF!</definedName>
    <definedName name="_slg2">#REF!</definedName>
    <definedName name="_slg3" localSheetId="8">#REF!</definedName>
    <definedName name="_slg3">#REF!</definedName>
    <definedName name="_slg4" localSheetId="8">#REF!</definedName>
    <definedName name="_slg4">#REF!</definedName>
    <definedName name="_slg5" localSheetId="8">#REF!</definedName>
    <definedName name="_slg5">#REF!</definedName>
    <definedName name="_slg6" localSheetId="8">#REF!</definedName>
    <definedName name="_slg6">#REF!</definedName>
    <definedName name="_SN3" localSheetId="8">#REF!</definedName>
    <definedName name="_SN3">#REF!</definedName>
    <definedName name="_soi2" localSheetId="8">#REF!</definedName>
    <definedName name="_soi2">#REF!</definedName>
    <definedName name="_soi3" localSheetId="8">#REF!</definedName>
    <definedName name="_soi3">#REF!</definedName>
    <definedName name="_Sort" localSheetId="3" hidden="1">#REF!</definedName>
    <definedName name="_Sort" localSheetId="4" hidden="1">#REF!</definedName>
    <definedName name="_Sort" localSheetId="5" hidden="1">#REF!</definedName>
    <definedName name="_Sort" localSheetId="6" hidden="1">#REF!</definedName>
    <definedName name="_Sort" localSheetId="7" hidden="1">#REF!</definedName>
    <definedName name="_Sort" localSheetId="8" hidden="1">#REF!</definedName>
    <definedName name="_Sort" hidden="1">#REF!</definedName>
    <definedName name="_Sortmoi" localSheetId="3" hidden="1">#REF!</definedName>
    <definedName name="_Sortmoi" localSheetId="4" hidden="1">#REF!</definedName>
    <definedName name="_Sortmoi" localSheetId="5" hidden="1">#REF!</definedName>
    <definedName name="_Sortmoi" localSheetId="6" hidden="1">#REF!</definedName>
    <definedName name="_Sortmoi" localSheetId="7" hidden="1">#REF!</definedName>
    <definedName name="_Sortmoi" localSheetId="8" hidden="1">#REF!</definedName>
    <definedName name="_Sortmoi" hidden="1">#REF!</definedName>
    <definedName name="_SPL4">#REF!</definedName>
    <definedName name="_STD0898" localSheetId="8">#REF!</definedName>
    <definedName name="_STD0898">#REF!</definedName>
    <definedName name="_su12" localSheetId="8">#REF!</definedName>
    <definedName name="_su12">#REF!</definedName>
    <definedName name="_su45">#REF!</definedName>
    <definedName name="_Su70" localSheetId="8">#REF!</definedName>
    <definedName name="_Su70">#REF!</definedName>
    <definedName name="_sua20" localSheetId="8">#REF!</definedName>
    <definedName name="_sua20">#REF!</definedName>
    <definedName name="_sua30" localSheetId="8">#REF!</definedName>
    <definedName name="_sua30">#REF!</definedName>
    <definedName name="_sum1" localSheetId="4" hidden="1">#REF!</definedName>
    <definedName name="_sum1" localSheetId="5" hidden="1">#REF!</definedName>
    <definedName name="_sum1" localSheetId="6" hidden="1">#REF!</definedName>
    <definedName name="_sum1" localSheetId="7" hidden="1">#REF!</definedName>
    <definedName name="_sum1" localSheetId="8" hidden="1">#REF!</definedName>
    <definedName name="_sum1" hidden="1">#REF!</definedName>
    <definedName name="_T1" localSheetId="1" hidden="1">{#N/A,#N/A,FALSE,"Chi tiÆt"}</definedName>
    <definedName name="_T1" localSheetId="2" hidden="1">{#N/A,#N/A,FALSE,"Chi tiÆt"}</definedName>
    <definedName name="_T1" localSheetId="4" hidden="1">{#N/A,#N/A,FALSE,"Chi tiÆt"}</definedName>
    <definedName name="_T1" localSheetId="5" hidden="1">{#N/A,#N/A,FALSE,"Chi tiÆt"}</definedName>
    <definedName name="_T1" localSheetId="6" hidden="1">{#N/A,#N/A,FALSE,"Chi tiÆt"}</definedName>
    <definedName name="_T1" localSheetId="7" hidden="1">{#N/A,#N/A,FALSE,"Chi tiÆt"}</definedName>
    <definedName name="_T1" localSheetId="8" hidden="1">{#N/A,#N/A,FALSE,"Chi tiÆt"}</definedName>
    <definedName name="_T1" hidden="1">{#N/A,#N/A,FALSE,"Chi tiÆt"}</definedName>
    <definedName name="_T10" localSheetId="1" hidden="1">{"'Sheet1'!$L$16"}</definedName>
    <definedName name="_T10" localSheetId="2" hidden="1">{"'Sheet1'!$L$16"}</definedName>
    <definedName name="_T10" localSheetId="3" hidden="1">{"'Sheet1'!$L$16"}</definedName>
    <definedName name="_T10" localSheetId="4" hidden="1">{"'Sheet1'!$L$16"}</definedName>
    <definedName name="_T10" localSheetId="5" hidden="1">{"'Sheet1'!$L$16"}</definedName>
    <definedName name="_T10" localSheetId="6" hidden="1">{"'Sheet1'!$L$16"}</definedName>
    <definedName name="_T10" localSheetId="7" hidden="1">{"'Sheet1'!$L$16"}</definedName>
    <definedName name="_T10" localSheetId="8" hidden="1">{"'Sheet1'!$L$16"}</definedName>
    <definedName name="_T10" hidden="1">{"'Sheet1'!$L$16"}</definedName>
    <definedName name="_T12" localSheetId="1" hidden="1">{"'Sheet1'!$L$16"}</definedName>
    <definedName name="_T12" localSheetId="2" hidden="1">{"'Sheet1'!$L$16"}</definedName>
    <definedName name="_T12" localSheetId="3" hidden="1">{"'Sheet1'!$L$16"}</definedName>
    <definedName name="_T12" localSheetId="4" hidden="1">{"'Sheet1'!$L$16"}</definedName>
    <definedName name="_T12" localSheetId="5" hidden="1">{"'Sheet1'!$L$16"}</definedName>
    <definedName name="_T12" localSheetId="6" hidden="1">{"'Sheet1'!$L$16"}</definedName>
    <definedName name="_T12" localSheetId="7" hidden="1">{"'Sheet1'!$L$16"}</definedName>
    <definedName name="_T12" localSheetId="8" hidden="1">{"'Sheet1'!$L$16"}</definedName>
    <definedName name="_T12" hidden="1">{"'Sheet1'!$L$16"}</definedName>
    <definedName name="_t2">#REF!</definedName>
    <definedName name="_t3">#REF!</definedName>
    <definedName name="_t4">#REF!</definedName>
    <definedName name="_t5">#REF!</definedName>
    <definedName name="_t6">#REF!</definedName>
    <definedName name="_tam1">#REF!</definedName>
    <definedName name="_tct3">#REF!</definedName>
    <definedName name="_tct5" localSheetId="8">#REF!</definedName>
    <definedName name="_tct5">#REF!</definedName>
    <definedName name="_TD1" localSheetId="1" hidden="1">{"'Sheet1'!$L$16"}</definedName>
    <definedName name="_TD1" localSheetId="2" hidden="1">{"'Sheet1'!$L$16"}</definedName>
    <definedName name="_TD1" localSheetId="3" hidden="1">{"'Sheet1'!$L$16"}</definedName>
    <definedName name="_TD1" localSheetId="4" hidden="1">{"'Sheet1'!$L$16"}</definedName>
    <definedName name="_TD1" localSheetId="5" hidden="1">{"'Sheet1'!$L$16"}</definedName>
    <definedName name="_TD1" localSheetId="6" hidden="1">{"'Sheet1'!$L$16"}</definedName>
    <definedName name="_TD1" localSheetId="7" hidden="1">{"'Sheet1'!$L$16"}</definedName>
    <definedName name="_TD1" localSheetId="8" hidden="1">{"'Sheet1'!$L$16"}</definedName>
    <definedName name="_TD1" hidden="1">{"'Sheet1'!$L$16"}</definedName>
    <definedName name="_tg427" localSheetId="8">#REF!</definedName>
    <definedName name="_tg427">#REF!</definedName>
    <definedName name="_TH1" localSheetId="8">#REF!</definedName>
    <definedName name="_TH1">#REF!</definedName>
    <definedName name="_th100" localSheetId="8">#REF!</definedName>
    <definedName name="_th100">#REF!</definedName>
    <definedName name="_TH160" localSheetId="8">#REF!</definedName>
    <definedName name="_TH160">#REF!</definedName>
    <definedName name="_TH2" localSheetId="8">#REF!</definedName>
    <definedName name="_TH2">#REF!</definedName>
    <definedName name="_TH20" localSheetId="8">#REF!</definedName>
    <definedName name="_TH20">#REF!</definedName>
    <definedName name="_TH3" localSheetId="8">#REF!</definedName>
    <definedName name="_TH3">#REF!</definedName>
    <definedName name="_TK1" localSheetId="8">#REF!</definedName>
    <definedName name="_TK1">#REF!</definedName>
    <definedName name="_TKC2" localSheetId="8">IF(#REF!=0,VLOOKUP(#REF!,#REF!,11,FALSE),IF(N(ISERROR(VLOOKUP(#REF!,#REF!,10,FALSE)))&lt;&gt;1,VLOOKUP(#REF!,#REF!,10,FALSE),"-"))</definedName>
    <definedName name="_TKC2">IF(#REF!=0,VLOOKUP(#REF!,#REF!,11,FALSE),IF(N(ISERROR(VLOOKUP(#REF!,#REF!,10,FALSE)))&lt;&gt;1,VLOOKUP(#REF!,#REF!,10,FALSE),"-"))</definedName>
    <definedName name="_TKN2" localSheetId="8">IF(#REF!=0,VLOOKUP(#REF!,#REF!,10,FALSE),IF(N(ISERROR(VLOOKUP(#REF!,#REF!,9,FALSE)))&lt;&gt;1,VLOOKUP(#REF!,#REF!,9,FALSE),"-"))</definedName>
    <definedName name="_TKN2">IF(#REF!=0,VLOOKUP(#REF!,#REF!,10,FALSE),IF(N(ISERROR(VLOOKUP(#REF!,#REF!,9,FALSE)))&lt;&gt;1,VLOOKUP(#REF!,#REF!,9,FALSE),"-"))</definedName>
    <definedName name="_TL1" localSheetId="8">#REF!</definedName>
    <definedName name="_TL1">#REF!</definedName>
    <definedName name="_TL2" localSheetId="8">#REF!</definedName>
    <definedName name="_TL2">#REF!</definedName>
    <definedName name="_TL3" localSheetId="8">#REF!</definedName>
    <definedName name="_TL3">#REF!</definedName>
    <definedName name="_TLA120" localSheetId="8">#REF!</definedName>
    <definedName name="_TLA120">#REF!</definedName>
    <definedName name="_TLA35" localSheetId="8">#REF!</definedName>
    <definedName name="_TLA35">#REF!</definedName>
    <definedName name="_TLA50" localSheetId="8">#REF!</definedName>
    <definedName name="_TLA50">#REF!</definedName>
    <definedName name="_TLA70" localSheetId="8">#REF!</definedName>
    <definedName name="_TLA70">#REF!</definedName>
    <definedName name="_TLA95" localSheetId="8">#REF!</definedName>
    <definedName name="_TLA95">#REF!</definedName>
    <definedName name="_TM2" localSheetId="1" hidden="1">{"'Sheet1'!$L$16"}</definedName>
    <definedName name="_TM2" localSheetId="2" hidden="1">{"'Sheet1'!$L$16"}</definedName>
    <definedName name="_TM2" localSheetId="4" hidden="1">{"'Sheet1'!$L$16"}</definedName>
    <definedName name="_TM2" localSheetId="5" hidden="1">{"'Sheet1'!$L$16"}</definedName>
    <definedName name="_TM2" localSheetId="6" hidden="1">{"'Sheet1'!$L$16"}</definedName>
    <definedName name="_TM2" localSheetId="7" hidden="1">{"'Sheet1'!$L$16"}</definedName>
    <definedName name="_TM2" localSheetId="8" hidden="1">{"'Sheet1'!$L$16"}</definedName>
    <definedName name="_TM2" hidden="1">{"'Sheet1'!$L$16"}</definedName>
    <definedName name="_tp2" localSheetId="8">#REF!</definedName>
    <definedName name="_tp2">#REF!</definedName>
    <definedName name="_TR250" localSheetId="8">#REF!</definedName>
    <definedName name="_TR250">#REF!</definedName>
    <definedName name="_tr375" localSheetId="8">#REF!</definedName>
    <definedName name="_tr375">#REF!</definedName>
    <definedName name="_tra100" localSheetId="8">#REF!</definedName>
    <definedName name="_tra100">#REF!</definedName>
    <definedName name="_tra102" localSheetId="8">#REF!</definedName>
    <definedName name="_tra102">#REF!</definedName>
    <definedName name="_tra104" localSheetId="8">#REF!</definedName>
    <definedName name="_tra104">#REF!</definedName>
    <definedName name="_tra106" localSheetId="8">#REF!</definedName>
    <definedName name="_tra106">#REF!</definedName>
    <definedName name="_tra108" localSheetId="8">#REF!</definedName>
    <definedName name="_tra108">#REF!</definedName>
    <definedName name="_tra110" localSheetId="8">#REF!</definedName>
    <definedName name="_tra110">#REF!</definedName>
    <definedName name="_tra112" localSheetId="8">#REF!</definedName>
    <definedName name="_tra112">#REF!</definedName>
    <definedName name="_tra114" localSheetId="8">#REF!</definedName>
    <definedName name="_tra114">#REF!</definedName>
    <definedName name="_tra116" localSheetId="8">#REF!</definedName>
    <definedName name="_tra116">#REF!</definedName>
    <definedName name="_tra118" localSheetId="8">#REF!</definedName>
    <definedName name="_tra118">#REF!</definedName>
    <definedName name="_tra120" localSheetId="8">#REF!</definedName>
    <definedName name="_tra120">#REF!</definedName>
    <definedName name="_tra122" localSheetId="8">#REF!</definedName>
    <definedName name="_tra122">#REF!</definedName>
    <definedName name="_tra124" localSheetId="8">#REF!</definedName>
    <definedName name="_tra124">#REF!</definedName>
    <definedName name="_tra126" localSheetId="8">#REF!</definedName>
    <definedName name="_tra126">#REF!</definedName>
    <definedName name="_tra128" localSheetId="8">#REF!</definedName>
    <definedName name="_tra128">#REF!</definedName>
    <definedName name="_tra130" localSheetId="8">#REF!</definedName>
    <definedName name="_tra130">#REF!</definedName>
    <definedName name="_tra132" localSheetId="8">#REF!</definedName>
    <definedName name="_tra132">#REF!</definedName>
    <definedName name="_tra134" localSheetId="8">#REF!</definedName>
    <definedName name="_tra134">#REF!</definedName>
    <definedName name="_tra136" localSheetId="8">#REF!</definedName>
    <definedName name="_tra136">#REF!</definedName>
    <definedName name="_tra138" localSheetId="8">#REF!</definedName>
    <definedName name="_tra138">#REF!</definedName>
    <definedName name="_tra140" localSheetId="8">#REF!</definedName>
    <definedName name="_tra140">#REF!</definedName>
    <definedName name="_tra70" localSheetId="8">#REF!</definedName>
    <definedName name="_tra70">#REF!</definedName>
    <definedName name="_tra72" localSheetId="8">#REF!</definedName>
    <definedName name="_tra72">#REF!</definedName>
    <definedName name="_tra74" localSheetId="8">#REF!</definedName>
    <definedName name="_tra74">#REF!</definedName>
    <definedName name="_tra76" localSheetId="8">#REF!</definedName>
    <definedName name="_tra76">#REF!</definedName>
    <definedName name="_tra78" localSheetId="8">#REF!</definedName>
    <definedName name="_tra78">#REF!</definedName>
    <definedName name="_tra80" localSheetId="8">#REF!</definedName>
    <definedName name="_tra80">#REF!</definedName>
    <definedName name="_tra82" localSheetId="8">#REF!</definedName>
    <definedName name="_tra82">#REF!</definedName>
    <definedName name="_tra84" localSheetId="8">#REF!</definedName>
    <definedName name="_tra84">#REF!</definedName>
    <definedName name="_tra86" localSheetId="8">#REF!</definedName>
    <definedName name="_tra86">#REF!</definedName>
    <definedName name="_tra88" localSheetId="8">#REF!</definedName>
    <definedName name="_tra88">#REF!</definedName>
    <definedName name="_tra90" localSheetId="8">#REF!</definedName>
    <definedName name="_tra90">#REF!</definedName>
    <definedName name="_tra92" localSheetId="8">#REF!</definedName>
    <definedName name="_tra92">#REF!</definedName>
    <definedName name="_tra94" localSheetId="8">#REF!</definedName>
    <definedName name="_tra94">#REF!</definedName>
    <definedName name="_tra96" localSheetId="8">#REF!</definedName>
    <definedName name="_tra96">#REF!</definedName>
    <definedName name="_tra98" localSheetId="8">#REF!</definedName>
    <definedName name="_tra98">#REF!</definedName>
    <definedName name="_tt1">#REF!</definedName>
    <definedName name="_tt2">#REF!</definedName>
    <definedName name="_tt3" localSheetId="1" hidden="1">{"'Sheet1'!$L$16"}</definedName>
    <definedName name="_tt3" localSheetId="2" hidden="1">{"'Sheet1'!$L$16"}</definedName>
    <definedName name="_tt3" localSheetId="4" hidden="1">{"'Sheet1'!$L$16"}</definedName>
    <definedName name="_tt3" localSheetId="5" hidden="1">{"'Sheet1'!$L$16"}</definedName>
    <definedName name="_tt3" localSheetId="6" hidden="1">{"'Sheet1'!$L$16"}</definedName>
    <definedName name="_tt3" localSheetId="7" hidden="1">{"'Sheet1'!$L$16"}</definedName>
    <definedName name="_tt3" localSheetId="8" hidden="1">{"'Sheet1'!$L$16"}</definedName>
    <definedName name="_tt3" hidden="1">{"'Sheet1'!$L$16"}</definedName>
    <definedName name="_tz593" localSheetId="8">#REF!</definedName>
    <definedName name="_tz593">#REF!</definedName>
    <definedName name="_ui100" localSheetId="8">#REF!</definedName>
    <definedName name="_ui100">#REF!</definedName>
    <definedName name="_ui105" localSheetId="8">#REF!</definedName>
    <definedName name="_ui105">#REF!</definedName>
    <definedName name="_ui108" localSheetId="8">#REF!</definedName>
    <definedName name="_ui108">#REF!</definedName>
    <definedName name="_ui130" localSheetId="8">#REF!</definedName>
    <definedName name="_ui130">#REF!</definedName>
    <definedName name="_ui140" localSheetId="8">#REF!</definedName>
    <definedName name="_ui140">#REF!</definedName>
    <definedName name="_ui160" localSheetId="8">#REF!</definedName>
    <definedName name="_ui160">#REF!</definedName>
    <definedName name="_ui180" localSheetId="8">#REF!</definedName>
    <definedName name="_ui180">#REF!</definedName>
    <definedName name="_ui250" localSheetId="8">#REF!</definedName>
    <definedName name="_ui250">#REF!</definedName>
    <definedName name="_ui271" localSheetId="8">#REF!</definedName>
    <definedName name="_ui271">#REF!</definedName>
    <definedName name="_ui320" localSheetId="8">#REF!</definedName>
    <definedName name="_ui320">#REF!</definedName>
    <definedName name="_ui45" localSheetId="8">#REF!</definedName>
    <definedName name="_ui45">#REF!</definedName>
    <definedName name="_ui50" localSheetId="8">#REF!</definedName>
    <definedName name="_ui50">#REF!</definedName>
    <definedName name="_ui54" localSheetId="8">#REF!</definedName>
    <definedName name="_ui54">#REF!</definedName>
    <definedName name="_ui65" localSheetId="8">#REF!</definedName>
    <definedName name="_ui65">#REF!</definedName>
    <definedName name="_ui75" localSheetId="8">#REF!</definedName>
    <definedName name="_ui75">#REF!</definedName>
    <definedName name="_ui80" localSheetId="8">#REF!</definedName>
    <definedName name="_ui80">#REF!</definedName>
    <definedName name="_UT2" localSheetId="8">#REF!</definedName>
    <definedName name="_UT2">#REF!</definedName>
    <definedName name="_V10" localSheetId="8">#REF!</definedName>
    <definedName name="_V10">#REF!</definedName>
    <definedName name="_va1">#REF!</definedName>
    <definedName name="_VAN1" localSheetId="8">#REF!</definedName>
    <definedName name="_VAN1">#REF!</definedName>
    <definedName name="_vc1" localSheetId="8">#REF!</definedName>
    <definedName name="_vc1">#REF!</definedName>
    <definedName name="_vc2" localSheetId="8">#REF!</definedName>
    <definedName name="_vc2">#REF!</definedName>
    <definedName name="_vc3" localSheetId="8">#REF!</definedName>
    <definedName name="_vc3">#REF!</definedName>
    <definedName name="_VC400" localSheetId="8">#REF!</definedName>
    <definedName name="_VC400">#REF!</definedName>
    <definedName name="_VCD4" localSheetId="8">#REF!</definedName>
    <definedName name="_VCD4">#REF!</definedName>
    <definedName name="_vl1" localSheetId="8">#REF!</definedName>
    <definedName name="_vl1">#REF!</definedName>
    <definedName name="_VL100" localSheetId="8">#REF!</definedName>
    <definedName name="_VL100">#REF!</definedName>
    <definedName name="_vl150" localSheetId="8">#REF!</definedName>
    <definedName name="_vl150">#REF!</definedName>
    <definedName name="_VL200" localSheetId="8">#REF!</definedName>
    <definedName name="_VL200">#REF!</definedName>
    <definedName name="_VL250" localSheetId="8">#REF!</definedName>
    <definedName name="_VL250">#REF!</definedName>
    <definedName name="_vl50" localSheetId="8">#REF!</definedName>
    <definedName name="_vl50">#REF!</definedName>
    <definedName name="_VLI150" localSheetId="8">#REF!</definedName>
    <definedName name="_VLI150">#REF!</definedName>
    <definedName name="_VLI200" localSheetId="8">#REF!</definedName>
    <definedName name="_VLI200">#REF!</definedName>
    <definedName name="_VLI50" localSheetId="8">#REF!</definedName>
    <definedName name="_VLI50">#REF!</definedName>
    <definedName name="_WC1">#REF!</definedName>
    <definedName name="_WC2">#REF!</definedName>
    <definedName name="_WC5">#REF!</definedName>
    <definedName name="_xb80" localSheetId="8">#REF!</definedName>
    <definedName name="_xb80">#REF!</definedName>
    <definedName name="_xx1">#REF!</definedName>
    <definedName name="_xx12">#REF!</definedName>
    <definedName name="_xx2">#REF!</definedName>
    <definedName name="_xx3" localSheetId="8">#REF!</definedName>
    <definedName name="_xx3">#REF!</definedName>
    <definedName name="_xx4" localSheetId="8">#REF!</definedName>
    <definedName name="_xx4">#REF!</definedName>
    <definedName name="_xx5" localSheetId="8">#REF!</definedName>
    <definedName name="_xx5">#REF!</definedName>
    <definedName name="_xx6" localSheetId="8">#REF!</definedName>
    <definedName name="_xx6">#REF!</definedName>
    <definedName name="_xx7" localSheetId="8">#REF!</definedName>
    <definedName name="_xx7">#REF!</definedName>
    <definedName name="_YE1">#REF!</definedName>
    <definedName name="_YE2">#REF!</definedName>
    <definedName name="_YE3">#REF!</definedName>
    <definedName name="_yy1">#REF!</definedName>
    <definedName name="_yy2">#REF!</definedName>
    <definedName name="_zx1">#REF!</definedName>
    <definedName name="A" localSheetId="8">#REF!</definedName>
    <definedName name="A">#REF!</definedName>
    <definedName name="â" localSheetId="1" hidden="1">{"'Sheet1'!$L$16"}</definedName>
    <definedName name="â" localSheetId="2" hidden="1">{"'Sheet1'!$L$16"}</definedName>
    <definedName name="â" localSheetId="4" hidden="1">{"'Sheet1'!$L$16"}</definedName>
    <definedName name="â" localSheetId="5" hidden="1">{"'Sheet1'!$L$16"}</definedName>
    <definedName name="â" localSheetId="6" hidden="1">{"'Sheet1'!$L$16"}</definedName>
    <definedName name="â" localSheetId="7" hidden="1">{"'Sheet1'!$L$16"}</definedName>
    <definedName name="â" localSheetId="8" hidden="1">{"'Sheet1'!$L$16"}</definedName>
    <definedName name="â" hidden="1">{"'Sheet1'!$L$16"}</definedName>
    <definedName name="A." localSheetId="8">#REF!</definedName>
    <definedName name="A.">#REF!</definedName>
    <definedName name="a.1" localSheetId="8">#REF!</definedName>
    <definedName name="a.1">#REF!</definedName>
    <definedName name="a.10" localSheetId="8">#REF!</definedName>
    <definedName name="a.10">#REF!</definedName>
    <definedName name="a.12" localSheetId="8">#REF!</definedName>
    <definedName name="a.12">#REF!</definedName>
    <definedName name="a.13" localSheetId="8">#REF!</definedName>
    <definedName name="a.13">#REF!</definedName>
    <definedName name="a.2" localSheetId="8">#REF!</definedName>
    <definedName name="a.2">#REF!</definedName>
    <definedName name="a.3" localSheetId="8">#REF!</definedName>
    <definedName name="a.3">#REF!</definedName>
    <definedName name="a.4" localSheetId="8">#REF!</definedName>
    <definedName name="a.4">#REF!</definedName>
    <definedName name="a.5" localSheetId="8">#REF!</definedName>
    <definedName name="a.5">#REF!</definedName>
    <definedName name="a.6" localSheetId="8">#REF!</definedName>
    <definedName name="a.6">#REF!</definedName>
    <definedName name="a.7" localSheetId="8">#REF!</definedName>
    <definedName name="a.7">#REF!</definedName>
    <definedName name="a.8" localSheetId="8">#REF!</definedName>
    <definedName name="a.8">#REF!</definedName>
    <definedName name="a.9" localSheetId="8">#REF!</definedName>
    <definedName name="a.9">#REF!</definedName>
    <definedName name="a_" localSheetId="8">#REF!</definedName>
    <definedName name="a_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.1" localSheetId="8">#REF!</definedName>
    <definedName name="a1.1">#REF!</definedName>
    <definedName name="a1_" localSheetId="8">#REF!</definedName>
    <definedName name="a1_">#REF!</definedName>
    <definedName name="A120_" localSheetId="8">#REF!</definedName>
    <definedName name="A120_">#REF!</definedName>
    <definedName name="a129_xoa" localSheetId="1" hidden="1">{"Offgrid",#N/A,FALSE,"OFFGRID";"Region",#N/A,FALSE,"REGION";"Offgrid -2",#N/A,FALSE,"OFFGRID";"WTP",#N/A,FALSE,"WTP";"WTP -2",#N/A,FALSE,"WTP";"Project",#N/A,FALSE,"PROJECT";"Summary -2",#N/A,FALSE,"SUMMARY"}</definedName>
    <definedName name="a129_xoa" localSheetId="2" hidden="1">{"Offgrid",#N/A,FALSE,"OFFGRID";"Region",#N/A,FALSE,"REGION";"Offgrid -2",#N/A,FALSE,"OFFGRID";"WTP",#N/A,FALSE,"WTP";"WTP -2",#N/A,FALSE,"WTP";"Project",#N/A,FALSE,"PROJECT";"Summary -2",#N/A,FALSE,"SUMMARY"}</definedName>
    <definedName name="a129_xoa" localSheetId="3" hidden="1">{"Offgrid",#N/A,FALSE,"OFFGRID";"Region",#N/A,FALSE,"REGION";"Offgrid -2",#N/A,FALSE,"OFFGRID";"WTP",#N/A,FALSE,"WTP";"WTP -2",#N/A,FALSE,"WTP";"Project",#N/A,FALSE,"PROJECT";"Summary -2",#N/A,FALSE,"SUMMARY"}</definedName>
    <definedName name="a129_xoa" localSheetId="4" hidden="1">{"Offgrid",#N/A,FALSE,"OFFGRID";"Region",#N/A,FALSE,"REGION";"Offgrid -2",#N/A,FALSE,"OFFGRID";"WTP",#N/A,FALSE,"WTP";"WTP -2",#N/A,FALSE,"WTP";"Project",#N/A,FALSE,"PROJECT";"Summary -2",#N/A,FALSE,"SUMMARY"}</definedName>
    <definedName name="a129_xoa" localSheetId="5" hidden="1">{"Offgrid",#N/A,FALSE,"OFFGRID";"Region",#N/A,FALSE,"REGION";"Offgrid -2",#N/A,FALSE,"OFFGRID";"WTP",#N/A,FALSE,"WTP";"WTP -2",#N/A,FALSE,"WTP";"Project",#N/A,FALSE,"PROJECT";"Summary -2",#N/A,FALSE,"SUMMARY"}</definedName>
    <definedName name="a129_xoa" localSheetId="6" hidden="1">{"Offgrid",#N/A,FALSE,"OFFGRID";"Region",#N/A,FALSE,"REGION";"Offgrid -2",#N/A,FALSE,"OFFGRID";"WTP",#N/A,FALSE,"WTP";"WTP -2",#N/A,FALSE,"WTP";"Project",#N/A,FALSE,"PROJECT";"Summary -2",#N/A,FALSE,"SUMMARY"}</definedName>
    <definedName name="a129_xoa" localSheetId="7" hidden="1">{"Offgrid",#N/A,FALSE,"OFFGRID";"Region",#N/A,FALSE,"REGION";"Offgrid -2",#N/A,FALSE,"OFFGRID";"WTP",#N/A,FALSE,"WTP";"WTP -2",#N/A,FALSE,"WTP";"Project",#N/A,FALSE,"PROJECT";"Summary -2",#N/A,FALSE,"SUMMARY"}</definedName>
    <definedName name="a129_xoa" localSheetId="8" hidden="1">{"Offgrid",#N/A,FALSE,"OFFGRID";"Region",#N/A,FALSE,"REGION";"Offgrid -2",#N/A,FALSE,"OFFGRID";"WTP",#N/A,FALSE,"WTP";"WTP -2",#N/A,FALSE,"WTP";"Project",#N/A,FALSE,"PROJECT";"Summary -2",#N/A,FALSE,"SUMMARY"}</definedName>
    <definedName name="a129_xoa" hidden="1">{"Offgrid",#N/A,FALSE,"OFFGRID";"Region",#N/A,FALSE,"REGION";"Offgrid -2",#N/A,FALSE,"OFFGRID";"WTP",#N/A,FALSE,"WTP";"WTP -2",#N/A,FALSE,"WTP";"Project",#N/A,FALSE,"PROJECT";"Summary -2",#N/A,FALSE,"SUMMARY"}</definedName>
    <definedName name="a130_xoa" localSheetId="1" hidden="1">{"Offgrid",#N/A,FALSE,"OFFGRID";"Region",#N/A,FALSE,"REGION";"Offgrid -2",#N/A,FALSE,"OFFGRID";"WTP",#N/A,FALSE,"WTP";"WTP -2",#N/A,FALSE,"WTP";"Project",#N/A,FALSE,"PROJECT";"Summary -2",#N/A,FALSE,"SUMMARY"}</definedName>
    <definedName name="a130_xoa" localSheetId="2" hidden="1">{"Offgrid",#N/A,FALSE,"OFFGRID";"Region",#N/A,FALSE,"REGION";"Offgrid -2",#N/A,FALSE,"OFFGRID";"WTP",#N/A,FALSE,"WTP";"WTP -2",#N/A,FALSE,"WTP";"Project",#N/A,FALSE,"PROJECT";"Summary -2",#N/A,FALSE,"SUMMARY"}</definedName>
    <definedName name="a130_xoa" localSheetId="3" hidden="1">{"Offgrid",#N/A,FALSE,"OFFGRID";"Region",#N/A,FALSE,"REGION";"Offgrid -2",#N/A,FALSE,"OFFGRID";"WTP",#N/A,FALSE,"WTP";"WTP -2",#N/A,FALSE,"WTP";"Project",#N/A,FALSE,"PROJECT";"Summary -2",#N/A,FALSE,"SUMMARY"}</definedName>
    <definedName name="a130_xoa" localSheetId="4" hidden="1">{"Offgrid",#N/A,FALSE,"OFFGRID";"Region",#N/A,FALSE,"REGION";"Offgrid -2",#N/A,FALSE,"OFFGRID";"WTP",#N/A,FALSE,"WTP";"WTP -2",#N/A,FALSE,"WTP";"Project",#N/A,FALSE,"PROJECT";"Summary -2",#N/A,FALSE,"SUMMARY"}</definedName>
    <definedName name="a130_xoa" localSheetId="5" hidden="1">{"Offgrid",#N/A,FALSE,"OFFGRID";"Region",#N/A,FALSE,"REGION";"Offgrid -2",#N/A,FALSE,"OFFGRID";"WTP",#N/A,FALSE,"WTP";"WTP -2",#N/A,FALSE,"WTP";"Project",#N/A,FALSE,"PROJECT";"Summary -2",#N/A,FALSE,"SUMMARY"}</definedName>
    <definedName name="a130_xoa" localSheetId="6" hidden="1">{"Offgrid",#N/A,FALSE,"OFFGRID";"Region",#N/A,FALSE,"REGION";"Offgrid -2",#N/A,FALSE,"OFFGRID";"WTP",#N/A,FALSE,"WTP";"WTP -2",#N/A,FALSE,"WTP";"Project",#N/A,FALSE,"PROJECT";"Summary -2",#N/A,FALSE,"SUMMARY"}</definedName>
    <definedName name="a130_xoa" localSheetId="7" hidden="1">{"Offgrid",#N/A,FALSE,"OFFGRID";"Region",#N/A,FALSE,"REGION";"Offgrid -2",#N/A,FALSE,"OFFGRID";"WTP",#N/A,FALSE,"WTP";"WTP -2",#N/A,FALSE,"WTP";"Project",#N/A,FALSE,"PROJECT";"Summary -2",#N/A,FALSE,"SUMMARY"}</definedName>
    <definedName name="a130_xoa" localSheetId="8" hidden="1">{"Offgrid",#N/A,FALSE,"OFFGRID";"Region",#N/A,FALSE,"REGION";"Offgrid -2",#N/A,FALSE,"OFFGRID";"WTP",#N/A,FALSE,"WTP";"WTP -2",#N/A,FALSE,"WTP";"Project",#N/A,FALSE,"PROJECT";"Summary -2",#N/A,FALSE,"SUMMARY"}</definedName>
    <definedName name="a130_xoa" hidden="1">{"Offgrid",#N/A,FALSE,"OFFGRID";"Region",#N/A,FALSE,"REGION";"Offgrid -2",#N/A,FALSE,"OFFGRID";"WTP",#N/A,FALSE,"WTP";"WTP -2",#N/A,FALSE,"WTP";"Project",#N/A,FALSE,"PROJECT";"Summary -2",#N/A,FALSE,"SUMMARY"}</definedName>
    <definedName name="a1moi" localSheetId="1" hidden="1">{"'Sheet1'!$L$16"}</definedName>
    <definedName name="a1moi" localSheetId="2" hidden="1">{"'Sheet1'!$L$16"}</definedName>
    <definedName name="a1moi" localSheetId="3" hidden="1">{"'Sheet1'!$L$16"}</definedName>
    <definedName name="a1moi" localSheetId="4" hidden="1">{"'Sheet1'!$L$16"}</definedName>
    <definedName name="a1moi" localSheetId="5" hidden="1">{"'Sheet1'!$L$16"}</definedName>
    <definedName name="a1moi" localSheetId="6" hidden="1">{"'Sheet1'!$L$16"}</definedName>
    <definedName name="a1moi" localSheetId="7" hidden="1">{"'Sheet1'!$L$16"}</definedName>
    <definedName name="a1moi" localSheetId="8" hidden="1">{"'Sheet1'!$L$16"}</definedName>
    <definedName name="a1moi" hidden="1">{"'Sheet1'!$L$16"}</definedName>
    <definedName name="A1Xc7" localSheetId="8">#REF!</definedName>
    <definedName name="A1Xc7">#REF!</definedName>
    <definedName name="a2.">#REF!</definedName>
    <definedName name="a2_" localSheetId="8">#REF!</definedName>
    <definedName name="a2_">#REF!</definedName>
    <definedName name="a277Print_Titles" localSheetId="8">#REF!</definedName>
    <definedName name="a277Print_Titles">#REF!</definedName>
    <definedName name="a3_" localSheetId="8">#REF!</definedName>
    <definedName name="a3_">#REF!</definedName>
    <definedName name="A35_" localSheetId="8">#REF!</definedName>
    <definedName name="A35_">#REF!</definedName>
    <definedName name="a3rt" localSheetId="1" hidden="1">{"'Sheet1'!$L$16"}</definedName>
    <definedName name="a3rt" localSheetId="2" hidden="1">{"'Sheet1'!$L$16"}</definedName>
    <definedName name="a3rt" localSheetId="4" hidden="1">{"'Sheet1'!$L$16"}</definedName>
    <definedName name="a3rt" localSheetId="5" hidden="1">{"'Sheet1'!$L$16"}</definedName>
    <definedName name="a3rt" localSheetId="6" hidden="1">{"'Sheet1'!$L$16"}</definedName>
    <definedName name="a3rt" localSheetId="7" hidden="1">{"'Sheet1'!$L$16"}</definedName>
    <definedName name="a3rt" localSheetId="8" hidden="1">{"'Sheet1'!$L$16"}</definedName>
    <definedName name="a3rt" hidden="1">{"'Sheet1'!$L$16"}</definedName>
    <definedName name="a4_" localSheetId="8">#REF!</definedName>
    <definedName name="a4_">#REF!</definedName>
    <definedName name="a5_" localSheetId="8">#REF!</definedName>
    <definedName name="a5_">#REF!</definedName>
    <definedName name="A50_" localSheetId="8">#REF!</definedName>
    <definedName name="A50_">#REF!</definedName>
    <definedName name="a6_">#REF!</definedName>
    <definedName name="A6N2" localSheetId="8">#REF!</definedName>
    <definedName name="A6N2">#REF!</definedName>
    <definedName name="A6N3" localSheetId="8">#REF!</definedName>
    <definedName name="A6N3">#REF!</definedName>
    <definedName name="a7_" localSheetId="8">#REF!</definedName>
    <definedName name="a7_">#REF!</definedName>
    <definedName name="A70_" localSheetId="8">#REF!</definedName>
    <definedName name="A70_">#REF!</definedName>
    <definedName name="A95_" localSheetId="8">#REF!</definedName>
    <definedName name="A95_">#REF!</definedName>
    <definedName name="AA" localSheetId="8">#REF!</definedName>
    <definedName name="AA">#REF!</definedName>
    <definedName name="AAA" localSheetId="8">#REF!</definedName>
    <definedName name="AAA">#REF!</definedName>
    <definedName name="aAAA" localSheetId="8">#REF!</definedName>
    <definedName name="aAAA">#REF!</definedName>
    <definedName name="aaaaaa" localSheetId="1" hidden="1">{"Offgrid",#N/A,FALSE,"OFFGRID";"Region",#N/A,FALSE,"REGION";"Offgrid -2",#N/A,FALSE,"OFFGRID";"WTP",#N/A,FALSE,"WTP";"WTP -2",#N/A,FALSE,"WTP";"Project",#N/A,FALSE,"PROJECT";"Summary -2",#N/A,FALSE,"SUMMARY"}</definedName>
    <definedName name="aaaaaa" localSheetId="2" hidden="1">{"Offgrid",#N/A,FALSE,"OFFGRID";"Region",#N/A,FALSE,"REGION";"Offgrid -2",#N/A,FALSE,"OFFGRID";"WTP",#N/A,FALSE,"WTP";"WTP -2",#N/A,FALSE,"WTP";"Project",#N/A,FALSE,"PROJECT";"Summary -2",#N/A,FALSE,"SUMMARY"}</definedName>
    <definedName name="aaaaaa" localSheetId="4" hidden="1">{"Offgrid",#N/A,FALSE,"OFFGRID";"Region",#N/A,FALSE,"REGION";"Offgrid -2",#N/A,FALSE,"OFFGRID";"WTP",#N/A,FALSE,"WTP";"WTP -2",#N/A,FALSE,"WTP";"Project",#N/A,FALSE,"PROJECT";"Summary -2",#N/A,FALSE,"SUMMARY"}</definedName>
    <definedName name="aaaaaa" localSheetId="5" hidden="1">{"Offgrid",#N/A,FALSE,"OFFGRID";"Region",#N/A,FALSE,"REGION";"Offgrid -2",#N/A,FALSE,"OFFGRID";"WTP",#N/A,FALSE,"WTP";"WTP -2",#N/A,FALSE,"WTP";"Project",#N/A,FALSE,"PROJECT";"Summary -2",#N/A,FALSE,"SUMMARY"}</definedName>
    <definedName name="aaaaaa" localSheetId="6" hidden="1">{"Offgrid",#N/A,FALSE,"OFFGRID";"Region",#N/A,FALSE,"REGION";"Offgrid -2",#N/A,FALSE,"OFFGRID";"WTP",#N/A,FALSE,"WTP";"WTP -2",#N/A,FALSE,"WTP";"Project",#N/A,FALSE,"PROJECT";"Summary -2",#N/A,FALSE,"SUMMARY"}</definedName>
    <definedName name="aaaaaa" localSheetId="7" hidden="1">{"Offgrid",#N/A,FALSE,"OFFGRID";"Region",#N/A,FALSE,"REGION";"Offgrid -2",#N/A,FALSE,"OFFGRID";"WTP",#N/A,FALSE,"WTP";"WTP -2",#N/A,FALSE,"WTP";"Project",#N/A,FALSE,"PROJECT";"Summary -2",#N/A,FALSE,"SUMMARY"}</definedName>
    <definedName name="aaaaaa" localSheetId="8" hidden="1">{"Offgrid",#N/A,FALSE,"OFFGRID";"Region",#N/A,FALSE,"REGION";"Offgrid -2",#N/A,FALSE,"OFFGRID";"WTP",#N/A,FALSE,"WTP";"WTP -2",#N/A,FALSE,"WTP";"Project",#N/A,FALSE,"PROJECT";"Summary -2",#N/A,FALSE,"SUMMARY"}</definedName>
    <definedName name="aaaaaa" hidden="1">{"Offgrid",#N/A,FALSE,"OFFGRID";"Region",#N/A,FALSE,"REGION";"Offgrid -2",#N/A,FALSE,"OFFGRID";"WTP",#N/A,FALSE,"WTP";"WTP -2",#N/A,FALSE,"WTP";"Project",#N/A,FALSE,"PROJECT";"Summary -2",#N/A,FALSE,"SUMMARY"}</definedName>
    <definedName name="AB" localSheetId="8">#REF!</definedName>
    <definedName name="AB">#REF!</definedName>
    <definedName name="abc" localSheetId="1" hidden="1">{"Offgrid",#N/A,FALSE,"OFFGRID";"Region",#N/A,FALSE,"REGION";"Offgrid -2",#N/A,FALSE,"OFFGRID";"WTP",#N/A,FALSE,"WTP";"WTP -2",#N/A,FALSE,"WTP";"Project",#N/A,FALSE,"PROJECT";"Summary -2",#N/A,FALSE,"SUMMARY"}</definedName>
    <definedName name="abc" localSheetId="2" hidden="1">{"Offgrid",#N/A,FALSE,"OFFGRID";"Region",#N/A,FALSE,"REGION";"Offgrid -2",#N/A,FALSE,"OFFGRID";"WTP",#N/A,FALSE,"WTP";"WTP -2",#N/A,FALSE,"WTP";"Project",#N/A,FALSE,"PROJECT";"Summary -2",#N/A,FALSE,"SUMMARY"}</definedName>
    <definedName name="abc" localSheetId="3" hidden="1">{"Offgrid",#N/A,FALSE,"OFFGRID";"Region",#N/A,FALSE,"REGION";"Offgrid -2",#N/A,FALSE,"OFFGRID";"WTP",#N/A,FALSE,"WTP";"WTP -2",#N/A,FALSE,"WTP";"Project",#N/A,FALSE,"PROJECT";"Summary -2",#N/A,FALSE,"SUMMARY"}</definedName>
    <definedName name="abc" localSheetId="4" hidden="1">{"Offgrid",#N/A,FALSE,"OFFGRID";"Region",#N/A,FALSE,"REGION";"Offgrid -2",#N/A,FALSE,"OFFGRID";"WTP",#N/A,FALSE,"WTP";"WTP -2",#N/A,FALSE,"WTP";"Project",#N/A,FALSE,"PROJECT";"Summary -2",#N/A,FALSE,"SUMMARY"}</definedName>
    <definedName name="abc" localSheetId="5" hidden="1">{"Offgrid",#N/A,FALSE,"OFFGRID";"Region",#N/A,FALSE,"REGION";"Offgrid -2",#N/A,FALSE,"OFFGRID";"WTP",#N/A,FALSE,"WTP";"WTP -2",#N/A,FALSE,"WTP";"Project",#N/A,FALSE,"PROJECT";"Summary -2",#N/A,FALSE,"SUMMARY"}</definedName>
    <definedName name="abc" localSheetId="6" hidden="1">{"Offgrid",#N/A,FALSE,"OFFGRID";"Region",#N/A,FALSE,"REGION";"Offgrid -2",#N/A,FALSE,"OFFGRID";"WTP",#N/A,FALSE,"WTP";"WTP -2",#N/A,FALSE,"WTP";"Project",#N/A,FALSE,"PROJECT";"Summary -2",#N/A,FALSE,"SUMMARY"}</definedName>
    <definedName name="abc" localSheetId="7" hidden="1">{"Offgrid",#N/A,FALSE,"OFFGRID";"Region",#N/A,FALSE,"REGION";"Offgrid -2",#N/A,FALSE,"OFFGRID";"WTP",#N/A,FALSE,"WTP";"WTP -2",#N/A,FALSE,"WTP";"Project",#N/A,FALSE,"PROJECT";"Summary -2",#N/A,FALSE,"SUMMARY"}</definedName>
    <definedName name="abc" localSheetId="8" hidden="1">{"Offgrid",#N/A,FALSE,"OFFGRID";"Region",#N/A,FALSE,"REGION";"Offgrid -2",#N/A,FALSE,"OFFGRID";"WTP",#N/A,FALSE,"WTP";"WTP -2",#N/A,FALSE,"WTP";"Project",#N/A,FALSE,"PROJECT";"Summary -2",#N/A,FALSE,"SUMMARY"}</definedName>
    <definedName name="abc" hidden="1">{"Offgrid",#N/A,FALSE,"OFFGRID";"Region",#N/A,FALSE,"REGION";"Offgrid -2",#N/A,FALSE,"OFFGRID";"WTP",#N/A,FALSE,"WTP";"WTP -2",#N/A,FALSE,"WTP";"Project",#N/A,FALSE,"PROJECT";"Summary -2",#N/A,FALSE,"SUMMARY"}</definedName>
    <definedName name="ac" localSheetId="1" hidden="1">{"'Sheet1'!$L$16"}</definedName>
    <definedName name="ac" localSheetId="2" hidden="1">{"'Sheet1'!$L$16"}</definedName>
    <definedName name="ac" localSheetId="3" hidden="1">{"'Sheet1'!$L$16"}</definedName>
    <definedName name="ac" localSheetId="4" hidden="1">{"'Sheet1'!$L$16"}</definedName>
    <definedName name="ac" localSheetId="5" hidden="1">{"'Sheet1'!$L$16"}</definedName>
    <definedName name="ac" localSheetId="6" hidden="1">{"'Sheet1'!$L$16"}</definedName>
    <definedName name="ac" localSheetId="7" hidden="1">{"'Sheet1'!$L$16"}</definedName>
    <definedName name="ac" localSheetId="8" hidden="1">{"'Sheet1'!$L$16"}</definedName>
    <definedName name="ac" hidden="1">{"'Sheet1'!$L$16"}</definedName>
    <definedName name="AC120_" localSheetId="8">#REF!</definedName>
    <definedName name="AC120_">#REF!</definedName>
    <definedName name="AC35_" localSheetId="8">#REF!</definedName>
    <definedName name="AC35_">#REF!</definedName>
    <definedName name="AC50_" localSheetId="8">#REF!</definedName>
    <definedName name="AC50_">#REF!</definedName>
    <definedName name="AC70_" localSheetId="8">#REF!</definedName>
    <definedName name="AC70_">#REF!</definedName>
    <definedName name="AC95_" localSheetId="8">#REF!</definedName>
    <definedName name="AC95_">#REF!</definedName>
    <definedName name="Access_Button" hidden="1">"ＴＰ総括表_ビルデータ_List"</definedName>
    <definedName name="AccessDatabase" hidden="1">"E:\Ｔ・PROJECT\ＴＰ総括表.mdb"</definedName>
    <definedName name="ad" localSheetId="8">#REF!</definedName>
    <definedName name="ad">#REF!</definedName>
    <definedName name="ád" localSheetId="1" hidden="1">{"'Sheet1'!$L$16"}</definedName>
    <definedName name="ád" localSheetId="2" hidden="1">{"'Sheet1'!$L$16"}</definedName>
    <definedName name="ád" localSheetId="3" hidden="1">{"'Sheet1'!$L$16"}</definedName>
    <definedName name="ád" localSheetId="4" hidden="1">{"'Sheet1'!$L$16"}</definedName>
    <definedName name="ád" localSheetId="5" hidden="1">{"'Sheet1'!$L$16"}</definedName>
    <definedName name="ád" localSheetId="6" hidden="1">{"'Sheet1'!$L$16"}</definedName>
    <definedName name="ád" localSheetId="7" hidden="1">{"'Sheet1'!$L$16"}</definedName>
    <definedName name="ád" localSheetId="8" hidden="1">{"'Sheet1'!$L$16"}</definedName>
    <definedName name="ád" hidden="1">{"'Sheet1'!$L$16"}</definedName>
    <definedName name="ÁDASDFASFA" localSheetId="1" hidden="1">{"'Sheet1'!$L$16"}</definedName>
    <definedName name="ÁDASDFASFA" localSheetId="2" hidden="1">{"'Sheet1'!$L$16"}</definedName>
    <definedName name="ÁDASDFASFA" localSheetId="4" hidden="1">{"'Sheet1'!$L$16"}</definedName>
    <definedName name="ÁDASDFASFA" localSheetId="5" hidden="1">{"'Sheet1'!$L$16"}</definedName>
    <definedName name="ÁDASDFASFA" localSheetId="6" hidden="1">{"'Sheet1'!$L$16"}</definedName>
    <definedName name="ÁDASDFASFA" localSheetId="7" hidden="1">{"'Sheet1'!$L$16"}</definedName>
    <definedName name="ÁDASDFASFA" localSheetId="8" hidden="1">{"'Sheet1'!$L$16"}</definedName>
    <definedName name="ÁDASDFASFA" hidden="1">{"'Sheet1'!$L$16"}</definedName>
    <definedName name="ADEQ" localSheetId="8">#REF!</definedName>
    <definedName name="ADEQ">#REF!</definedName>
    <definedName name="ấdfsdfasdfsd" localSheetId="1" hidden="1">{"'Sheet1'!$L$16"}</definedName>
    <definedName name="ấdfsdfasdfsd" localSheetId="2" hidden="1">{"'Sheet1'!$L$16"}</definedName>
    <definedName name="ấdfsdfasdfsd" localSheetId="4" hidden="1">{"'Sheet1'!$L$16"}</definedName>
    <definedName name="ấdfsdfasdfsd" localSheetId="5" hidden="1">{"'Sheet1'!$L$16"}</definedName>
    <definedName name="ấdfsdfasdfsd" localSheetId="6" hidden="1">{"'Sheet1'!$L$16"}</definedName>
    <definedName name="ấdfsdfasdfsd" localSheetId="7" hidden="1">{"'Sheet1'!$L$16"}</definedName>
    <definedName name="ấdfsdfasdfsd" localSheetId="8" hidden="1">{"'Sheet1'!$L$16"}</definedName>
    <definedName name="ấdfsdfasdfsd" hidden="1">{"'Sheet1'!$L$16"}</definedName>
    <definedName name="æ76" localSheetId="8">#REF!</definedName>
    <definedName name="æ76">#REF!</definedName>
    <definedName name="afasfsagfas" localSheetId="1" hidden="1">{#N/A,#N/A,FALSE,"Chi tiÆt"}</definedName>
    <definedName name="afasfsagfas" localSheetId="2" hidden="1">{#N/A,#N/A,FALSE,"Chi tiÆt"}</definedName>
    <definedName name="afasfsagfas" localSheetId="3" hidden="1">{#N/A,#N/A,FALSE,"Chi tiÆt"}</definedName>
    <definedName name="afasfsagfas" localSheetId="4" hidden="1">{#N/A,#N/A,FALSE,"Chi tiÆt"}</definedName>
    <definedName name="afasfsagfas" localSheetId="5" hidden="1">{#N/A,#N/A,FALSE,"Chi tiÆt"}</definedName>
    <definedName name="afasfsagfas" localSheetId="6" hidden="1">{#N/A,#N/A,FALSE,"Chi tiÆt"}</definedName>
    <definedName name="afasfsagfas" localSheetId="7" hidden="1">{#N/A,#N/A,FALSE,"Chi tiÆt"}</definedName>
    <definedName name="afasfsagfas" localSheetId="8" hidden="1">{#N/A,#N/A,FALSE,"Chi tiÆt"}</definedName>
    <definedName name="afasfsagfas" hidden="1">{#N/A,#N/A,FALSE,"Chi tiÆt"}</definedName>
    <definedName name="AG" localSheetId="8">#REF!</definedName>
    <definedName name="AG">#REF!</definedName>
    <definedName name="Ag_" localSheetId="8">#REF!</definedName>
    <definedName name="Ag_">#REF!</definedName>
    <definedName name="AG_Temp" localSheetId="8">#REF!</definedName>
    <definedName name="AG_Temp">#REF!</definedName>
    <definedName name="ag142X42" localSheetId="8">#REF!</definedName>
    <definedName name="ag142X42">#REF!</definedName>
    <definedName name="ag15F80" localSheetId="8">#REF!</definedName>
    <definedName name="ag15F80">#REF!</definedName>
    <definedName name="ag267N59" localSheetId="8">#REF!</definedName>
    <definedName name="ag267N59">#REF!</definedName>
    <definedName name="ah" localSheetId="8">{"Book1","DTcµuphalaiPS.xls"}</definedName>
    <definedName name="ah">{"Book1","DTcµuphalaiPS.xls"}</definedName>
    <definedName name="ÁHGFDA" localSheetId="1" hidden="1">{"'Sheet1'!$L$16"}</definedName>
    <definedName name="ÁHGFDA" localSheetId="2" hidden="1">{"'Sheet1'!$L$16"}</definedName>
    <definedName name="ÁHGFDA" localSheetId="4" hidden="1">{"'Sheet1'!$L$16"}</definedName>
    <definedName name="ÁHGFDA" localSheetId="5" hidden="1">{"'Sheet1'!$L$16"}</definedName>
    <definedName name="ÁHGFDA" localSheetId="6" hidden="1">{"'Sheet1'!$L$16"}</definedName>
    <definedName name="ÁHGFDA" localSheetId="7" hidden="1">{"'Sheet1'!$L$16"}</definedName>
    <definedName name="ÁHGFDA" localSheetId="8" hidden="1">{"'Sheet1'!$L$16"}</definedName>
    <definedName name="ÁHGFDA" hidden="1">{"'Sheet1'!$L$16"}</definedName>
    <definedName name="ahtjht" localSheetId="1" hidden="1">{"'Sheet1'!$L$16"}</definedName>
    <definedName name="ahtjht" localSheetId="2" hidden="1">{"'Sheet1'!$L$16"}</definedName>
    <definedName name="ahtjht" localSheetId="4" hidden="1">{"'Sheet1'!$L$16"}</definedName>
    <definedName name="ahtjht" localSheetId="5" hidden="1">{"'Sheet1'!$L$16"}</definedName>
    <definedName name="ahtjht" localSheetId="6" hidden="1">{"'Sheet1'!$L$16"}</definedName>
    <definedName name="ahtjht" localSheetId="7" hidden="1">{"'Sheet1'!$L$16"}</definedName>
    <definedName name="ahtjht" localSheetId="8" hidden="1">{"'Sheet1'!$L$16"}</definedName>
    <definedName name="ahtjht" hidden="1">{"'Sheet1'!$L$16"}</definedName>
    <definedName name="alfa" localSheetId="8">#REF!</definedName>
    <definedName name="alfa">#REF!</definedName>
    <definedName name="All_Item" localSheetId="8">#REF!</definedName>
    <definedName name="All_Item">#REF!</definedName>
    <definedName name="Alnc">#REF!</definedName>
    <definedName name="Alpha">#REF!</definedName>
    <definedName name="ALPIN">#N/A</definedName>
    <definedName name="ALPJYOU">#N/A</definedName>
    <definedName name="ALPTOI">#N/A</definedName>
    <definedName name="am" localSheetId="8">#REF!</definedName>
    <definedName name="am">#REF!</definedName>
    <definedName name="am." localSheetId="8">#REF!</definedName>
    <definedName name="am.">#REF!</definedName>
    <definedName name="amiang" localSheetId="8">#REF!</definedName>
    <definedName name="amiang">#REF!</definedName>
    <definedName name="an">#REF!</definedName>
    <definedName name="anfa" localSheetId="8">#REF!</definedName>
    <definedName name="anfa">#REF!</definedName>
    <definedName name="anpha" localSheetId="8">#REF!</definedName>
    <definedName name="anpha">#REF!</definedName>
    <definedName name="anscount" hidden="1">1</definedName>
    <definedName name="Antoan" localSheetId="1" hidden="1">{"'Sheet1'!$L$16"}</definedName>
    <definedName name="Antoan" localSheetId="2" hidden="1">{"'Sheet1'!$L$16"}</definedName>
    <definedName name="Antoan" localSheetId="3" hidden="1">{"'Sheet1'!$L$16"}</definedName>
    <definedName name="Antoan" localSheetId="4" hidden="1">{"'Sheet1'!$L$16"}</definedName>
    <definedName name="Antoan" localSheetId="5" hidden="1">{"'Sheet1'!$L$16"}</definedName>
    <definedName name="Antoan" localSheetId="6" hidden="1">{"'Sheet1'!$L$16"}</definedName>
    <definedName name="Antoan" localSheetId="7" hidden="1">{"'Sheet1'!$L$16"}</definedName>
    <definedName name="Antoan" localSheetId="8" hidden="1">{"'Sheet1'!$L$16"}</definedName>
    <definedName name="Antoan" hidden="1">{"'Sheet1'!$L$16"}</definedName>
    <definedName name="AoBok" localSheetId="8">#REF!</definedName>
    <definedName name="AoBok">#REF!</definedName>
    <definedName name="Ap">#REF!</definedName>
    <definedName name="AppRoad" localSheetId="8">#REF!</definedName>
    <definedName name="AppRoad">#REF!</definedName>
    <definedName name="Aps">#REF!</definedName>
    <definedName name="AQ" localSheetId="8">#REF!</definedName>
    <definedName name="AQ">#REF!</definedName>
    <definedName name="Area" localSheetId="8">#REF!</definedName>
    <definedName name="Area">#REF!</definedName>
    <definedName name="as">#REF!</definedName>
    <definedName name="As_" localSheetId="8">#REF!</definedName>
    <definedName name="As_">#REF!</definedName>
    <definedName name="AS2DocOpenMode" hidden="1">"AS2DocumentEdit"</definedName>
    <definedName name="AS2ReportLS" hidden="1">1</definedName>
    <definedName name="AS2SyncStepLS" hidden="1">0</definedName>
    <definedName name="AS2TickmarkLS" localSheetId="4" hidden="1">#REF!</definedName>
    <definedName name="AS2TickmarkLS" localSheetId="5" hidden="1">#REF!</definedName>
    <definedName name="AS2TickmarkLS" localSheetId="6" hidden="1">#REF!</definedName>
    <definedName name="AS2TickmarkLS" localSheetId="7" hidden="1">#REF!</definedName>
    <definedName name="AS2TickmarkLS" localSheetId="8" hidden="1">#REF!</definedName>
    <definedName name="AS2TickmarkLS" hidden="1">#REF!</definedName>
    <definedName name="AS2VersionLS" hidden="1">300</definedName>
    <definedName name="asd" localSheetId="8">#REF!</definedName>
    <definedName name="asd">#REF!</definedName>
    <definedName name="asdffgggh" localSheetId="1" hidden="1">{"'Sheet1'!$L$16"}</definedName>
    <definedName name="asdffgggh" localSheetId="2" hidden="1">{"'Sheet1'!$L$16"}</definedName>
    <definedName name="asdffgggh" localSheetId="4" hidden="1">{"'Sheet1'!$L$16"}</definedName>
    <definedName name="asdffgggh" localSheetId="5" hidden="1">{"'Sheet1'!$L$16"}</definedName>
    <definedName name="asdffgggh" localSheetId="6" hidden="1">{"'Sheet1'!$L$16"}</definedName>
    <definedName name="asdffgggh" localSheetId="7" hidden="1">{"'Sheet1'!$L$16"}</definedName>
    <definedName name="asdffgggh" localSheetId="8" hidden="1">{"'Sheet1'!$L$16"}</definedName>
    <definedName name="asdffgggh" hidden="1">{"'Sheet1'!$L$16"}</definedName>
    <definedName name="asf" localSheetId="1" hidden="1">{"'Sheet1'!$L$16"}</definedName>
    <definedName name="asf" localSheetId="2" hidden="1">{"'Sheet1'!$L$16"}</definedName>
    <definedName name="asf" localSheetId="3" hidden="1">{"'Sheet1'!$L$16"}</definedName>
    <definedName name="asf" localSheetId="4" hidden="1">{"'Sheet1'!$L$16"}</definedName>
    <definedName name="asf" localSheetId="5" hidden="1">{"'Sheet1'!$L$16"}</definedName>
    <definedName name="asf" localSheetId="6" hidden="1">{"'Sheet1'!$L$16"}</definedName>
    <definedName name="asf" localSheetId="7" hidden="1">{"'Sheet1'!$L$16"}</definedName>
    <definedName name="asf" localSheetId="8" hidden="1">{"'Sheet1'!$L$16"}</definedName>
    <definedName name="asf" hidden="1">{"'Sheet1'!$L$16"}</definedName>
    <definedName name="asss" localSheetId="1" hidden="1">{"'Sheet1'!$L$16"}</definedName>
    <definedName name="asss" localSheetId="2" hidden="1">{"'Sheet1'!$L$16"}</definedName>
    <definedName name="asss" localSheetId="3" hidden="1">{"'Sheet1'!$L$16"}</definedName>
    <definedName name="asss" localSheetId="4" hidden="1">{"'Sheet1'!$L$16"}</definedName>
    <definedName name="asss" localSheetId="5" hidden="1">{"'Sheet1'!$L$16"}</definedName>
    <definedName name="asss" localSheetId="6" hidden="1">{"'Sheet1'!$L$16"}</definedName>
    <definedName name="asss" localSheetId="7" hidden="1">{"'Sheet1'!$L$16"}</definedName>
    <definedName name="asss" localSheetId="8" hidden="1">{"'Sheet1'!$L$16"}</definedName>
    <definedName name="asss" hidden="1">{"'Sheet1'!$L$16"}</definedName>
    <definedName name="asssss" localSheetId="1" hidden="1">{"'Sheet1'!$L$16"}</definedName>
    <definedName name="asssss" localSheetId="2" hidden="1">{"'Sheet1'!$L$16"}</definedName>
    <definedName name="asssss" localSheetId="4" hidden="1">{"'Sheet1'!$L$16"}</definedName>
    <definedName name="asssss" localSheetId="5" hidden="1">{"'Sheet1'!$L$16"}</definedName>
    <definedName name="asssss" localSheetId="6" hidden="1">{"'Sheet1'!$L$16"}</definedName>
    <definedName name="asssss" localSheetId="7" hidden="1">{"'Sheet1'!$L$16"}</definedName>
    <definedName name="asssss" localSheetId="8" hidden="1">{"'Sheet1'!$L$16"}</definedName>
    <definedName name="asssss" hidden="1">{"'Sheet1'!$L$16"}</definedName>
    <definedName name="At">#REF!</definedName>
    <definedName name="aù0" localSheetId="8">#REF!</definedName>
    <definedName name="aù0">#REF!</definedName>
    <definedName name="Av" localSheetId="8">#REF!</definedName>
    <definedName name="Av">#REF!</definedName>
    <definedName name="avađsf" localSheetId="1" hidden="1">{0,#N/A,FALSE,0;0,#N/A,FALSE,0;0,#N/A,FALSE,0;0,#N/A,FALSE,0;0,#N/A,FALSE,0;0,#N/A,FALSE,0;0,#N/A,FALSE,0}</definedName>
    <definedName name="avađsf" localSheetId="2" hidden="1">{0,#N/A,FALSE,0;0,#N/A,FALSE,0;0,#N/A,FALSE,0;0,#N/A,FALSE,0;0,#N/A,FALSE,0;0,#N/A,FALSE,0;0,#N/A,FALSE,0}</definedName>
    <definedName name="avađsf" localSheetId="4" hidden="1">{0,#N/A,FALSE,0;0,#N/A,FALSE,0;0,#N/A,FALSE,0;0,#N/A,FALSE,0;0,#N/A,FALSE,0;0,#N/A,FALSE,0;0,#N/A,FALSE,0}</definedName>
    <definedName name="avađsf" localSheetId="5" hidden="1">{0,#N/A,FALSE,0;0,#N/A,FALSE,0;0,#N/A,FALSE,0;0,#N/A,FALSE,0;0,#N/A,FALSE,0;0,#N/A,FALSE,0;0,#N/A,FALSE,0}</definedName>
    <definedName name="avađsf" localSheetId="6" hidden="1">{0,#N/A,FALSE,0;0,#N/A,FALSE,0;0,#N/A,FALSE,0;0,#N/A,FALSE,0;0,#N/A,FALSE,0;0,#N/A,FALSE,0;0,#N/A,FALSE,0}</definedName>
    <definedName name="avađsf" localSheetId="7" hidden="1">{0,#N/A,FALSE,0;0,#N/A,FALSE,0;0,#N/A,FALSE,0;0,#N/A,FALSE,0;0,#N/A,FALSE,0;0,#N/A,FALSE,0;0,#N/A,FALSE,0}</definedName>
    <definedName name="avađsf" localSheetId="8" hidden="1">{0,#N/A,FALSE,0;0,#N/A,FALSE,0;0,#N/A,FALSE,0;0,#N/A,FALSE,0;0,#N/A,FALSE,0;0,#N/A,FALSE,0;0,#N/A,FALSE,0}</definedName>
    <definedName name="avađsf" hidden="1">{0,#N/A,FALSE,0;0,#N/A,FALSE,0;0,#N/A,FALSE,0;0,#N/A,FALSE,0;0,#N/A,FALSE,0;0,#N/A,FALSE,0;0,#N/A,FALSE,0}</definedName>
    <definedName name="B" localSheetId="8">#REF!</definedName>
    <definedName name="B">#REF!</definedName>
    <definedName name="b_1" localSheetId="8">#REF!</definedName>
    <definedName name="b_1">#REF!</definedName>
    <definedName name="b_2" localSheetId="8">#REF!</definedName>
    <definedName name="b_2">#REF!</definedName>
    <definedName name="b_240" localSheetId="8">#REF!</definedName>
    <definedName name="b_240">#REF!</definedName>
    <definedName name="b_280" localSheetId="8">#REF!</definedName>
    <definedName name="b_280">#REF!</definedName>
    <definedName name="b_3" localSheetId="8">#REF!</definedName>
    <definedName name="b_3">#REF!</definedName>
    <definedName name="b_320" localSheetId="8">#REF!</definedName>
    <definedName name="b_320">#REF!</definedName>
    <definedName name="b_4" localSheetId="8">#REF!</definedName>
    <definedName name="b_4">#REF!</definedName>
    <definedName name="b_5" localSheetId="8">#REF!</definedName>
    <definedName name="b_5">#REF!</definedName>
    <definedName name="b_6" localSheetId="8">#REF!</definedName>
    <definedName name="b_6">#REF!</definedName>
    <definedName name="b_dd1" localSheetId="8">#REF!</definedName>
    <definedName name="b_dd1">#REF!</definedName>
    <definedName name="b_DL" localSheetId="8">#REF!</definedName>
    <definedName name="b_DL">#REF!</definedName>
    <definedName name="b_eh" localSheetId="8">#REF!</definedName>
    <definedName name="b_eh">#REF!</definedName>
    <definedName name="b_eh1" localSheetId="8">#REF!</definedName>
    <definedName name="b_eh1">#REF!</definedName>
    <definedName name="b_ev" localSheetId="8">#REF!</definedName>
    <definedName name="b_ev">#REF!</definedName>
    <definedName name="b_ev1" localSheetId="8">#REF!</definedName>
    <definedName name="b_ev1">#REF!</definedName>
    <definedName name="b_FR" localSheetId="8">#REF!</definedName>
    <definedName name="b_FR">#REF!</definedName>
    <definedName name="b_fr1" localSheetId="8">#REF!</definedName>
    <definedName name="b_fr1">#REF!</definedName>
    <definedName name="B_Isc" localSheetId="8">#REF!</definedName>
    <definedName name="B_Isc">#REF!</definedName>
    <definedName name="b_LL" localSheetId="8">#REF!</definedName>
    <definedName name="b_LL">#REF!</definedName>
    <definedName name="b_ll1" localSheetId="8">#REF!</definedName>
    <definedName name="b_ll1">#REF!</definedName>
    <definedName name="B_ng_dÝnh">#REF!</definedName>
    <definedName name="b_WL" localSheetId="8">#REF!</definedName>
    <definedName name="b_WL">#REF!</definedName>
    <definedName name="b_WL1" localSheetId="8">#REF!</definedName>
    <definedName name="b_WL1">#REF!</definedName>
    <definedName name="b_WS" localSheetId="8">#REF!</definedName>
    <definedName name="b_WS">#REF!</definedName>
    <definedName name="b_ws1" localSheetId="8">#REF!</definedName>
    <definedName name="b_ws1">#REF!</definedName>
    <definedName name="b1.">#REF!</definedName>
    <definedName name="b1_" localSheetId="8">#REF!</definedName>
    <definedName name="b1_">#REF!</definedName>
    <definedName name="b14b" localSheetId="1" hidden="1">{"'Sheet1'!$L$16"}</definedName>
    <definedName name="b14b" localSheetId="2" hidden="1">{"'Sheet1'!$L$16"}</definedName>
    <definedName name="b14b" localSheetId="4" hidden="1">{"'Sheet1'!$L$16"}</definedName>
    <definedName name="b14b" localSheetId="5" hidden="1">{"'Sheet1'!$L$16"}</definedName>
    <definedName name="b14b" localSheetId="6" hidden="1">{"'Sheet1'!$L$16"}</definedName>
    <definedName name="b14b" localSheetId="7" hidden="1">{"'Sheet1'!$L$16"}</definedName>
    <definedName name="b14b" localSheetId="8" hidden="1">{"'Sheet1'!$L$16"}</definedName>
    <definedName name="b14b" hidden="1">{"'Sheet1'!$L$16"}</definedName>
    <definedName name="b14b1" localSheetId="1" hidden="1">{"'Sheet1'!$L$16"}</definedName>
    <definedName name="b14b1" localSheetId="2" hidden="1">{"'Sheet1'!$L$16"}</definedName>
    <definedName name="b14b1" localSheetId="4" hidden="1">{"'Sheet1'!$L$16"}</definedName>
    <definedName name="b14b1" localSheetId="5" hidden="1">{"'Sheet1'!$L$16"}</definedName>
    <definedName name="b14b1" localSheetId="6" hidden="1">{"'Sheet1'!$L$16"}</definedName>
    <definedName name="b14b1" localSheetId="7" hidden="1">{"'Sheet1'!$L$16"}</definedName>
    <definedName name="b14b1" localSheetId="8" hidden="1">{"'Sheet1'!$L$16"}</definedName>
    <definedName name="b14b1" hidden="1">{"'Sheet1'!$L$16"}</definedName>
    <definedName name="b2_" localSheetId="8">#REF!</definedName>
    <definedName name="b2_">#REF!</definedName>
    <definedName name="b2__" localSheetId="8">#REF!</definedName>
    <definedName name="b2__">#REF!</definedName>
    <definedName name="b3_" localSheetId="8">#REF!</definedName>
    <definedName name="b3_">#REF!</definedName>
    <definedName name="b3__" localSheetId="8">#REF!</definedName>
    <definedName name="b3__">#REF!</definedName>
    <definedName name="b4_" localSheetId="8">#REF!</definedName>
    <definedName name="b4_">#REF!</definedName>
    <definedName name="b5.">#REF!</definedName>
    <definedName name="b5_" localSheetId="8">#REF!</definedName>
    <definedName name="b5_">#REF!</definedName>
    <definedName name="b6_" localSheetId="8">#REF!</definedName>
    <definedName name="b6_">#REF!</definedName>
    <definedName name="b60x">#REF!</definedName>
    <definedName name="B6Apha" localSheetId="8">#REF!</definedName>
    <definedName name="B6Apha">#REF!</definedName>
    <definedName name="B6beta" localSheetId="8">#REF!</definedName>
    <definedName name="B6beta">#REF!</definedName>
    <definedName name="B6d" localSheetId="8">#REF!</definedName>
    <definedName name="B6d">#REF!</definedName>
    <definedName name="B6phi" localSheetId="8">#REF!</definedName>
    <definedName name="B6phi">#REF!</definedName>
    <definedName name="b7_" localSheetId="8">#REF!</definedName>
    <definedName name="b7_">#REF!</definedName>
    <definedName name="B7Csau" localSheetId="8">#REF!</definedName>
    <definedName name="B7Csau">#REF!</definedName>
    <definedName name="B7dset" localSheetId="8">#REF!</definedName>
    <definedName name="B7dset">#REF!</definedName>
    <definedName name="B7R" localSheetId="8">#REF!</definedName>
    <definedName name="B7R">#REF!</definedName>
    <definedName name="b80x">#REF!</definedName>
    <definedName name="Bai_ducdam_coc" localSheetId="8">#REF!</definedName>
    <definedName name="Bai_ducdam_coc">#REF!</definedName>
    <definedName name="ban" localSheetId="8">#REF!</definedName>
    <definedName name="ban">#REF!</definedName>
    <definedName name="ban_dan" localSheetId="8">#REF!</definedName>
    <definedName name="ban_dan">#REF!</definedName>
    <definedName name="Bang_cly" localSheetId="8">#REF!</definedName>
    <definedName name="Bang_cly">#REF!</definedName>
    <definedName name="Bang_CVC" localSheetId="8">#REF!</definedName>
    <definedName name="Bang_CVC">#REF!</definedName>
    <definedName name="bang_gia" localSheetId="8">#REF!</definedName>
    <definedName name="bang_gia">#REF!</definedName>
    <definedName name="Bang_travl" localSheetId="8">#REF!</definedName>
    <definedName name="Bang_travl">#REF!</definedName>
    <definedName name="bangchu" localSheetId="8">#REF!</definedName>
    <definedName name="bangchu">#REF!</definedName>
    <definedName name="bangciti" localSheetId="8">#REF!</definedName>
    <definedName name="bangciti">#REF!</definedName>
    <definedName name="Bangfs" localSheetId="8">#REF!</definedName>
    <definedName name="Bangfs">#REF!</definedName>
    <definedName name="BangGiaVL_Q" localSheetId="8">#REF!</definedName>
    <definedName name="BangGiaVL_Q">#REF!</definedName>
    <definedName name="BangMa" localSheetId="8">#REF!</definedName>
    <definedName name="BangMa">#REF!</definedName>
    <definedName name="Bangtienluong" localSheetId="8">#REF!</definedName>
    <definedName name="Bangtienluong">#REF!</definedName>
    <definedName name="bangtinh" localSheetId="8">#REF!</definedName>
    <definedName name="bangtinh">#REF!</definedName>
    <definedName name="banQL" localSheetId="1" hidden="1">{"'Sheet1'!$L$16"}</definedName>
    <definedName name="banQL" localSheetId="2" hidden="1">{"'Sheet1'!$L$16"}</definedName>
    <definedName name="banQL" localSheetId="3" hidden="1">{"'Sheet1'!$L$16"}</definedName>
    <definedName name="banQL" localSheetId="4" hidden="1">{"'Sheet1'!$L$16"}</definedName>
    <definedName name="banQL" localSheetId="5" hidden="1">{"'Sheet1'!$L$16"}</definedName>
    <definedName name="banQL" localSheetId="6" hidden="1">{"'Sheet1'!$L$16"}</definedName>
    <definedName name="banQL" localSheetId="7" hidden="1">{"'Sheet1'!$L$16"}</definedName>
    <definedName name="banQL" localSheetId="8" hidden="1">{"'Sheet1'!$L$16"}</definedName>
    <definedName name="banQL" hidden="1">{"'Sheet1'!$L$16"}</definedName>
    <definedName name="Bar">#REF!</definedName>
    <definedName name="BarData" localSheetId="8">#REF!</definedName>
    <definedName name="BarData">#REF!</definedName>
    <definedName name="Bay" localSheetId="8">#REF!</definedName>
    <definedName name="Bay">#REF!</definedName>
    <definedName name="BB" localSheetId="8">#REF!</definedName>
    <definedName name="BB">#REF!</definedName>
    <definedName name="BBAN" localSheetId="8">#REF!</definedName>
    <definedName name="BBAN">#REF!</definedName>
    <definedName name="bbbb" localSheetId="1" hidden="1">{"Offgrid",#N/A,FALSE,"OFFGRID";"Region",#N/A,FALSE,"REGION";"Offgrid -2",#N/A,FALSE,"OFFGRID";"WTP",#N/A,FALSE,"WTP";"WTP -2",#N/A,FALSE,"WTP";"Project",#N/A,FALSE,"PROJECT";"Summary -2",#N/A,FALSE,"SUMMARY"}</definedName>
    <definedName name="bbbb" localSheetId="2" hidden="1">{"Offgrid",#N/A,FALSE,"OFFGRID";"Region",#N/A,FALSE,"REGION";"Offgrid -2",#N/A,FALSE,"OFFGRID";"WTP",#N/A,FALSE,"WTP";"WTP -2",#N/A,FALSE,"WTP";"Project",#N/A,FALSE,"PROJECT";"Summary -2",#N/A,FALSE,"SUMMARY"}</definedName>
    <definedName name="bbbb" localSheetId="4" hidden="1">{"Offgrid",#N/A,FALSE,"OFFGRID";"Region",#N/A,FALSE,"REGION";"Offgrid -2",#N/A,FALSE,"OFFGRID";"WTP",#N/A,FALSE,"WTP";"WTP -2",#N/A,FALSE,"WTP";"Project",#N/A,FALSE,"PROJECT";"Summary -2",#N/A,FALSE,"SUMMARY"}</definedName>
    <definedName name="bbbb" localSheetId="5" hidden="1">{"Offgrid",#N/A,FALSE,"OFFGRID";"Region",#N/A,FALSE,"REGION";"Offgrid -2",#N/A,FALSE,"OFFGRID";"WTP",#N/A,FALSE,"WTP";"WTP -2",#N/A,FALSE,"WTP";"Project",#N/A,FALSE,"PROJECT";"Summary -2",#N/A,FALSE,"SUMMARY"}</definedName>
    <definedName name="bbbb" localSheetId="6" hidden="1">{"Offgrid",#N/A,FALSE,"OFFGRID";"Region",#N/A,FALSE,"REGION";"Offgrid -2",#N/A,FALSE,"OFFGRID";"WTP",#N/A,FALSE,"WTP";"WTP -2",#N/A,FALSE,"WTP";"Project",#N/A,FALSE,"PROJECT";"Summary -2",#N/A,FALSE,"SUMMARY"}</definedName>
    <definedName name="bbbb" localSheetId="7" hidden="1">{"Offgrid",#N/A,FALSE,"OFFGRID";"Region",#N/A,FALSE,"REGION";"Offgrid -2",#N/A,FALSE,"OFFGRID";"WTP",#N/A,FALSE,"WTP";"WTP -2",#N/A,FALSE,"WTP";"Project",#N/A,FALSE,"PROJECT";"Summary -2",#N/A,FALSE,"SUMMARY"}</definedName>
    <definedName name="bbbb" localSheetId="8" hidden="1">{"Offgrid",#N/A,FALSE,"OFFGRID";"Region",#N/A,FALSE,"REGION";"Offgrid -2",#N/A,FALSE,"OFFGRID";"WTP",#N/A,FALSE,"WTP";"WTP -2",#N/A,FALSE,"WTP";"Project",#N/A,FALSE,"PROJECT";"Summary -2",#N/A,FALSE,"SUMMARY"}</definedName>
    <definedName name="bbbb" hidden="1">{"Offgrid",#N/A,FALSE,"OFFGRID";"Region",#N/A,FALSE,"REGION";"Offgrid -2",#N/A,FALSE,"OFFGRID";"WTP",#N/A,FALSE,"WTP";"WTP -2",#N/A,FALSE,"WTP";"Project",#N/A,FALSE,"PROJECT";"Summary -2",#N/A,FALSE,"SUMMARY"}</definedName>
    <definedName name="bc" localSheetId="8">#REF!</definedName>
    <definedName name="bc">#REF!</definedName>
    <definedName name="BCKQKD" localSheetId="1" hidden="1">{"'Sheet1'!$L$16"}</definedName>
    <definedName name="BCKQKD" localSheetId="2" hidden="1">{"'Sheet1'!$L$16"}</definedName>
    <definedName name="BCKQKD" localSheetId="4" hidden="1">{"'Sheet1'!$L$16"}</definedName>
    <definedName name="BCKQKD" localSheetId="5" hidden="1">{"'Sheet1'!$L$16"}</definedName>
    <definedName name="BCKQKD" localSheetId="6" hidden="1">{"'Sheet1'!$L$16"}</definedName>
    <definedName name="BCKQKD" localSheetId="7" hidden="1">{"'Sheet1'!$L$16"}</definedName>
    <definedName name="BCKQKD" localSheetId="8" hidden="1">{"'Sheet1'!$L$16"}</definedName>
    <definedName name="BCKQKD" hidden="1">{"'Sheet1'!$L$16"}</definedName>
    <definedName name="bckt" localSheetId="8">#REF!</definedName>
    <definedName name="bckt">#REF!</definedName>
    <definedName name="BCPST5" localSheetId="1" hidden="1">{#N/A,#N/A,FALSE,"Chi tiÆt"}</definedName>
    <definedName name="BCPST5" localSheetId="2" hidden="1">{#N/A,#N/A,FALSE,"Chi tiÆt"}</definedName>
    <definedName name="BCPST5" localSheetId="4" hidden="1">{#N/A,#N/A,FALSE,"Chi tiÆt"}</definedName>
    <definedName name="BCPST5" localSheetId="5" hidden="1">{#N/A,#N/A,FALSE,"Chi tiÆt"}</definedName>
    <definedName name="BCPST5" localSheetId="6" hidden="1">{#N/A,#N/A,FALSE,"Chi tiÆt"}</definedName>
    <definedName name="BCPST5" localSheetId="7" hidden="1">{#N/A,#N/A,FALSE,"Chi tiÆt"}</definedName>
    <definedName name="BCPST5" localSheetId="8" hidden="1">{#N/A,#N/A,FALSE,"Chi tiÆt"}</definedName>
    <definedName name="BCPST5" hidden="1">{#N/A,#N/A,FALSE,"Chi tiÆt"}</definedName>
    <definedName name="bd" localSheetId="8">#REF!</definedName>
    <definedName name="bd">#REF!</definedName>
    <definedName name="bD_" localSheetId="8">#REF!</definedName>
    <definedName name="bD_">#REF!</definedName>
    <definedName name="bdf" localSheetId="8">#REF!</definedName>
    <definedName name="bdf">#REF!</definedName>
    <definedName name="bDF_" localSheetId="8">#REF!</definedName>
    <definedName name="bDF_">#REF!</definedName>
    <definedName name="bdht15nc" localSheetId="8">#REF!</definedName>
    <definedName name="bdht15nc">#REF!</definedName>
    <definedName name="bdht15vl" localSheetId="8">#REF!</definedName>
    <definedName name="bdht15vl">#REF!</definedName>
    <definedName name="bdht25nc" localSheetId="8">#REF!</definedName>
    <definedName name="bdht25nc">#REF!</definedName>
    <definedName name="bdht25vl" localSheetId="8">#REF!</definedName>
    <definedName name="bdht25vl">#REF!</definedName>
    <definedName name="bdht325nc" localSheetId="8">#REF!</definedName>
    <definedName name="bdht325nc">#REF!</definedName>
    <definedName name="bdht325vl" localSheetId="8">#REF!</definedName>
    <definedName name="bdht325vl">#REF!</definedName>
    <definedName name="Be_duc_dam" localSheetId="8">#REF!</definedName>
    <definedName name="Be_duc_dam">#REF!</definedName>
    <definedName name="beff">#REF!</definedName>
    <definedName name="bengam" localSheetId="8">#REF!</definedName>
    <definedName name="bengam">#REF!</definedName>
    <definedName name="benuoc" localSheetId="8">#REF!</definedName>
    <definedName name="benuoc">#REF!</definedName>
    <definedName name="beta" localSheetId="8">#REF!</definedName>
    <definedName name="beta">#REF!</definedName>
    <definedName name="betong" localSheetId="8">#REF!</definedName>
    <definedName name="betong">#REF!</definedName>
    <definedName name="betong100">#REF!</definedName>
    <definedName name="betong200">#REF!</definedName>
    <definedName name="BetongM150" localSheetId="8">#REF!,#REF!</definedName>
    <definedName name="BetongM150">#REF!,#REF!</definedName>
    <definedName name="BetongM200" localSheetId="8">#REF!,#REF!</definedName>
    <definedName name="BetongM200">#REF!,#REF!</definedName>
    <definedName name="BetongM50" localSheetId="8">#REF!,#REF!</definedName>
    <definedName name="BetongM50">#REF!,#REF!</definedName>
    <definedName name="bg" localSheetId="1" hidden="1">{#N/A,#N/A,FALSE,"Sheet1"}</definedName>
    <definedName name="bg" localSheetId="2" hidden="1">{#N/A,#N/A,FALSE,"Sheet1"}</definedName>
    <definedName name="bg" localSheetId="3" hidden="1">{#N/A,#N/A,FALSE,"Sheet1"}</definedName>
    <definedName name="bg" localSheetId="4" hidden="1">{#N/A,#N/A,FALSE,"Sheet1"}</definedName>
    <definedName name="bg" localSheetId="5" hidden="1">{#N/A,#N/A,FALSE,"Sheet1"}</definedName>
    <definedName name="bg" localSheetId="6" hidden="1">{#N/A,#N/A,FALSE,"Sheet1"}</definedName>
    <definedName name="bg" localSheetId="7" hidden="1">{#N/A,#N/A,FALSE,"Sheet1"}</definedName>
    <definedName name="bg" localSheetId="8" hidden="1">{#N/A,#N/A,FALSE,"Sheet1"}</definedName>
    <definedName name="bg" hidden="1">{#N/A,#N/A,FALSE,"Sheet1"}</definedName>
    <definedName name="BG_Del" hidden="1">15</definedName>
    <definedName name="BG_Ins" hidden="1">4</definedName>
    <definedName name="BG_Mod" hidden="1">6</definedName>
    <definedName name="BGCM_GiaGoc_D_1" localSheetId="8">#REF!</definedName>
    <definedName name="BGCM_GiaGoc_D_1">#REF!</definedName>
    <definedName name="BGCM_GiaGoc_Đ_1" localSheetId="8">#REF!</definedName>
    <definedName name="BGCM_GiaGoc_Đ_1">#REF!</definedName>
    <definedName name="BGCM_GiaGoc_D_2" localSheetId="8">#REF!</definedName>
    <definedName name="BGCM_GiaGoc_D_2">#REF!</definedName>
    <definedName name="BGCM_GiaGoc_Đ_2">#REF!</definedName>
    <definedName name="BGCM_GiaGoc_Đ_3">#REF!</definedName>
    <definedName name="BGCM_GiaGoc_D_4">#REF!</definedName>
    <definedName name="BGCM_GiaGoc_Đ_4">#REF!</definedName>
    <definedName name="BGCM_GiaGoc_D_5">#REF!</definedName>
    <definedName name="BGCM_GiaGoc_Đ_5">#REF!</definedName>
    <definedName name="BGCM_GiaGoc_N1307_1">#REF!</definedName>
    <definedName name="BGCM_GiaGoc_N1307_2">#REF!</definedName>
    <definedName name="BGCM_GiaGoc_N1307_3">#REF!</definedName>
    <definedName name="BGCM_GiaGoc_N1307_4">#REF!</definedName>
    <definedName name="BGCM_GiaGoc_N1307_5">#REF!</definedName>
    <definedName name="BGCM_GiaGoc_N1407_1">#REF!</definedName>
    <definedName name="BGCM_GiaGoc_N1407_3">#REF!</definedName>
    <definedName name="BGCM_GiaGoc_N1407_4">#REF!</definedName>
    <definedName name="BGCM_GiaGoc_N1407_5">#REF!</definedName>
    <definedName name="BGCM_GiaGoc_N1507_1">#REF!</definedName>
    <definedName name="BGCM_GiaGoc_N1607_1">#REF!</definedName>
    <definedName name="BGCM_GiaGoc_N1607_4">#REF!</definedName>
    <definedName name="BGCM_GiaGoc_N1607_5">#REF!</definedName>
    <definedName name="BGCM_GiaGoc_N2307_1">#REF!</definedName>
    <definedName name="BGCM_GiaGoc_N2307_2">#REF!</definedName>
    <definedName name="BGCM_GiaGoc_N2307_3">#REF!</definedName>
    <definedName name="BGCM_GiaGoc_N2307_4">#REF!</definedName>
    <definedName name="BGCM_GiaGoc_N2307_5">#REF!</definedName>
    <definedName name="BGCM_GiaGoc_N2407_1">#REF!</definedName>
    <definedName name="BGCM_GiaGoc_NLX124_1">#REF!</definedName>
    <definedName name="BGCM_GiaGoc_NLX124_2">#REF!</definedName>
    <definedName name="BGCM_GiaGoc_NLX124_4">#REF!</definedName>
    <definedName name="BGCM_GiaGoc_NLX214_1">#REF!</definedName>
    <definedName name="BGCM_GiaGoc_NLX214_4">#REF!</definedName>
    <definedName name="BGCM_GiaGoc_NLX214_5">#REF!</definedName>
    <definedName name="BGCM_GiaGoc_NLX234_1">#REF!</definedName>
    <definedName name="BGCM_GiaGoc_NLX234_4">#REF!</definedName>
    <definedName name="BGCM_GiaGoc_NLX234_5">#REF!</definedName>
    <definedName name="BGCM_GiaGoc_X_1">#REF!</definedName>
    <definedName name="BGCM_GiaGoc_X_4">#REF!</definedName>
    <definedName name="BGCM_GiaGoc_X_5">#REF!</definedName>
    <definedName name="BGCM_GiaHT_D_1">#REF!</definedName>
    <definedName name="BGCM_GiaHT_Đ_1">#REF!</definedName>
    <definedName name="BGCM_GiaHT_D_2">#REF!</definedName>
    <definedName name="BGCM_GiaHT_Đ_2">#REF!</definedName>
    <definedName name="BGCM_GiaHT_Đ_3">#REF!</definedName>
    <definedName name="BGCM_GiaHT_D_4">#REF!</definedName>
    <definedName name="BGCM_GiaHT_Đ_4">#REF!</definedName>
    <definedName name="BGCM_GiaHT_D_5">#REF!</definedName>
    <definedName name="BGCM_GiaHT_Đ_5">#REF!</definedName>
    <definedName name="BGCM_GiaHT_N1307_1">#REF!</definedName>
    <definedName name="BGCM_GiaHT_N1307_2">#REF!</definedName>
    <definedName name="BGCM_GiaHT_N1307_3">#REF!</definedName>
    <definedName name="BGCM_GiaHT_N1307_4">#REF!</definedName>
    <definedName name="BGCM_GiaHT_N1307_5">#REF!</definedName>
    <definedName name="BGCM_GiaHT_N1407_1">#REF!</definedName>
    <definedName name="BGCM_GiaHT_N1407_3">#REF!</definedName>
    <definedName name="BGCM_GiaHT_N1407_4">#REF!</definedName>
    <definedName name="BGCM_GiaHT_N1407_5">#REF!</definedName>
    <definedName name="BGCM_GiaHT_N1507_1">#REF!</definedName>
    <definedName name="BGCM_GiaHT_N1607_1">#REF!</definedName>
    <definedName name="BGCM_GiaHT_N1607_4">#REF!</definedName>
    <definedName name="BGCM_GiaHT_N1607_5">#REF!</definedName>
    <definedName name="BGCM_GiaHT_N2307_1">#REF!</definedName>
    <definedName name="BGCM_GiaHT_N2307_2">#REF!</definedName>
    <definedName name="BGCM_GiaHT_N2307_3">#REF!</definedName>
    <definedName name="BGCM_GiaHT_N2307_4">#REF!</definedName>
    <definedName name="BGCM_GiaHT_N2307_5">#REF!</definedName>
    <definedName name="BGCM_GiaHT_N2407_1">#REF!</definedName>
    <definedName name="BGCM_GiaHT_NLX124_1">#REF!</definedName>
    <definedName name="BGCM_GiaHT_NLX124_2">#REF!</definedName>
    <definedName name="BGCM_GiaHT_NLX124_4">#REF!</definedName>
    <definedName name="BGCM_GiaHT_NLX214_1">#REF!</definedName>
    <definedName name="BGCM_GiaHT_NLX214_4">#REF!</definedName>
    <definedName name="BGCM_GiaHT_NLX214_5">#REF!</definedName>
    <definedName name="BGCM_GiaHT_NLX234_1">#REF!</definedName>
    <definedName name="BGCM_GiaHT_NLX234_4">#REF!</definedName>
    <definedName name="BGCM_GiaHT_NLX234_5">#REF!</definedName>
    <definedName name="BGCM_GiaHT_X_1">#REF!</definedName>
    <definedName name="BGCM_GiaHT_X_4">#REF!</definedName>
    <definedName name="BGCM_GiaHT_X_5">#REF!</definedName>
    <definedName name="Bgiang" localSheetId="1" hidden="1">{"'Sheet1'!$L$16"}</definedName>
    <definedName name="Bgiang" localSheetId="2" hidden="1">{"'Sheet1'!$L$16"}</definedName>
    <definedName name="Bgiang" localSheetId="3" hidden="1">{"'Sheet1'!$L$16"}</definedName>
    <definedName name="Bgiang" localSheetId="4" hidden="1">{"'Sheet1'!$L$16"}</definedName>
    <definedName name="Bgiang" localSheetId="5" hidden="1">{"'Sheet1'!$L$16"}</definedName>
    <definedName name="Bgiang" localSheetId="6" hidden="1">{"'Sheet1'!$L$16"}</definedName>
    <definedName name="Bgiang" localSheetId="7" hidden="1">{"'Sheet1'!$L$16"}</definedName>
    <definedName name="Bgiang" localSheetId="8" hidden="1">{"'Sheet1'!$L$16"}</definedName>
    <definedName name="Bgiang" hidden="1">{"'Sheet1'!$L$16"}</definedName>
    <definedName name="bh" localSheetId="8">#REF!</definedName>
    <definedName name="bh">#REF!</definedName>
    <definedName name="BHDB" localSheetId="1" hidden="1">{"'Sheet1'!$L$16"}</definedName>
    <definedName name="BHDB" localSheetId="2" hidden="1">{"'Sheet1'!$L$16"}</definedName>
    <definedName name="BHDB" localSheetId="4" hidden="1">{"'Sheet1'!$L$16"}</definedName>
    <definedName name="BHDB" localSheetId="5" hidden="1">{"'Sheet1'!$L$16"}</definedName>
    <definedName name="BHDB" localSheetId="6" hidden="1">{"'Sheet1'!$L$16"}</definedName>
    <definedName name="BHDB" localSheetId="7" hidden="1">{"'Sheet1'!$L$16"}</definedName>
    <definedName name="BHDB" localSheetId="8" hidden="1">{"'Sheet1'!$L$16"}</definedName>
    <definedName name="BHDB" hidden="1">{"'Sheet1'!$L$16"}</definedName>
    <definedName name="bietthu" localSheetId="1" hidden="1">{"'Sheet1'!$L$16"}</definedName>
    <definedName name="bietthu" localSheetId="2" hidden="1">{"'Sheet1'!$L$16"}</definedName>
    <definedName name="bietthu" localSheetId="3" hidden="1">{"'Sheet1'!$L$16"}</definedName>
    <definedName name="bietthu" localSheetId="4" hidden="1">{"'Sheet1'!$L$16"}</definedName>
    <definedName name="bietthu" localSheetId="5" hidden="1">{"'Sheet1'!$L$16"}</definedName>
    <definedName name="bietthu" localSheetId="6" hidden="1">{"'Sheet1'!$L$16"}</definedName>
    <definedName name="bietthu" localSheetId="7" hidden="1">{"'Sheet1'!$L$16"}</definedName>
    <definedName name="bietthu" localSheetId="8" hidden="1">{"'Sheet1'!$L$16"}</definedName>
    <definedName name="bietthu" hidden="1">{"'Sheet1'!$L$16"}</definedName>
    <definedName name="Bitum">#REF!</definedName>
    <definedName name="bkl" localSheetId="8">#REF!</definedName>
    <definedName name="bkl">#REF!</definedName>
    <definedName name="bL" localSheetId="8">#REF!</definedName>
    <definedName name="bL">#REF!</definedName>
    <definedName name="bL_" localSheetId="8">#REF!</definedName>
    <definedName name="bL_">#REF!</definedName>
    <definedName name="blang" localSheetId="8">#REF!</definedName>
    <definedName name="blang">#REF!</definedName>
    <definedName name="BLDG" localSheetId="8">#REF!</definedName>
    <definedName name="BLDG">#REF!</definedName>
    <definedName name="BLDGIMP" localSheetId="8">#REF!</definedName>
    <definedName name="BLDGIMP">#REF!</definedName>
    <definedName name="BLDGREV" localSheetId="8">#REF!</definedName>
    <definedName name="BLDGREV">#REF!</definedName>
    <definedName name="blf" localSheetId="8">#REF!</definedName>
    <definedName name="blf">#REF!</definedName>
    <definedName name="bLF_" localSheetId="8">#REF!</definedName>
    <definedName name="bLF_">#REF!</definedName>
    <definedName name="BLOCK1" localSheetId="8">#REF!</definedName>
    <definedName name="BLOCK1">#REF!</definedName>
    <definedName name="BLOCK2" localSheetId="8">#REF!</definedName>
    <definedName name="BLOCK2">#REF!</definedName>
    <definedName name="BLOCK3" localSheetId="8">#REF!</definedName>
    <definedName name="BLOCK3">#REF!</definedName>
    <definedName name="blong" localSheetId="8">#REF!</definedName>
    <definedName name="blong">#REF!</definedName>
    <definedName name="blop" localSheetId="8">#REF!</definedName>
    <definedName name="blop">#REF!</definedName>
    <definedName name="BMS" localSheetId="1" hidden="1">{"'Sheet1'!$L$16"}</definedName>
    <definedName name="BMS" localSheetId="2" hidden="1">{"'Sheet1'!$L$16"}</definedName>
    <definedName name="BMS" localSheetId="3" hidden="1">{"'Sheet1'!$L$16"}</definedName>
    <definedName name="BMS" localSheetId="4" hidden="1">{"'Sheet1'!$L$16"}</definedName>
    <definedName name="BMS" localSheetId="5" hidden="1">{"'Sheet1'!$L$16"}</definedName>
    <definedName name="BMS" localSheetId="6" hidden="1">{"'Sheet1'!$L$16"}</definedName>
    <definedName name="BMS" localSheetId="7" hidden="1">{"'Sheet1'!$L$16"}</definedName>
    <definedName name="BMS" localSheetId="8" hidden="1">{"'Sheet1'!$L$16"}</definedName>
    <definedName name="BMS" hidden="1">{"'Sheet1'!$L$16"}</definedName>
    <definedName name="BN" localSheetId="1" hidden="1">{"Offgrid",#N/A,FALSE,"OFFGRID";"Region",#N/A,FALSE,"REGION";"Offgrid -2",#N/A,FALSE,"OFFGRID";"WTP",#N/A,FALSE,"WTP";"WTP -2",#N/A,FALSE,"WTP";"Project",#N/A,FALSE,"PROJECT";"Summary -2",#N/A,FALSE,"SUMMARY"}</definedName>
    <definedName name="BN" localSheetId="2" hidden="1">{"Offgrid",#N/A,FALSE,"OFFGRID";"Region",#N/A,FALSE,"REGION";"Offgrid -2",#N/A,FALSE,"OFFGRID";"WTP",#N/A,FALSE,"WTP";"WTP -2",#N/A,FALSE,"WTP";"Project",#N/A,FALSE,"PROJECT";"Summary -2",#N/A,FALSE,"SUMMARY"}</definedName>
    <definedName name="BN" localSheetId="4" hidden="1">{"Offgrid",#N/A,FALSE,"OFFGRID";"Region",#N/A,FALSE,"REGION";"Offgrid -2",#N/A,FALSE,"OFFGRID";"WTP",#N/A,FALSE,"WTP";"WTP -2",#N/A,FALSE,"WTP";"Project",#N/A,FALSE,"PROJECT";"Summary -2",#N/A,FALSE,"SUMMARY"}</definedName>
    <definedName name="BN" localSheetId="5" hidden="1">{"Offgrid",#N/A,FALSE,"OFFGRID";"Region",#N/A,FALSE,"REGION";"Offgrid -2",#N/A,FALSE,"OFFGRID";"WTP",#N/A,FALSE,"WTP";"WTP -2",#N/A,FALSE,"WTP";"Project",#N/A,FALSE,"PROJECT";"Summary -2",#N/A,FALSE,"SUMMARY"}</definedName>
    <definedName name="BN" localSheetId="6" hidden="1">{"Offgrid",#N/A,FALSE,"OFFGRID";"Region",#N/A,FALSE,"REGION";"Offgrid -2",#N/A,FALSE,"OFFGRID";"WTP",#N/A,FALSE,"WTP";"WTP -2",#N/A,FALSE,"WTP";"Project",#N/A,FALSE,"PROJECT";"Summary -2",#N/A,FALSE,"SUMMARY"}</definedName>
    <definedName name="BN" localSheetId="7" hidden="1">{"Offgrid",#N/A,FALSE,"OFFGRID";"Region",#N/A,FALSE,"REGION";"Offgrid -2",#N/A,FALSE,"OFFGRID";"WTP",#N/A,FALSE,"WTP";"WTP -2",#N/A,FALSE,"WTP";"Project",#N/A,FALSE,"PROJECT";"Summary -2",#N/A,FALSE,"SUMMARY"}</definedName>
    <definedName name="BN" localSheetId="8" hidden="1">{"Offgrid",#N/A,FALSE,"OFFGRID";"Region",#N/A,FALSE,"REGION";"Offgrid -2",#N/A,FALSE,"OFFGRID";"WTP",#N/A,FALSE,"WTP";"WTP -2",#N/A,FALSE,"WTP";"Project",#N/A,FALSE,"PROJECT";"Summary -2",#N/A,FALSE,"SUMMARY"}</definedName>
    <definedName name="BN" hidden="1">{"Offgrid",#N/A,FALSE,"OFFGRID";"Region",#N/A,FALSE,"REGION";"Offgrid -2",#N/A,FALSE,"OFFGRID";"WTP",#N/A,FALSE,"WTP";"WTP -2",#N/A,FALSE,"WTP";"Project",#N/A,FALSE,"PROJECT";"Summary -2",#N/A,FALSE,"SUMMARY"}</definedName>
    <definedName name="bng" localSheetId="8">#REF!</definedName>
    <definedName name="bng">#REF!</definedName>
    <definedName name="bom" localSheetId="8">#REF!</definedName>
    <definedName name="bom">#REF!</definedName>
    <definedName name="bomnuocdau10" localSheetId="8">#REF!</definedName>
    <definedName name="bomnuocdau10">#REF!</definedName>
    <definedName name="bomnuocdau100" localSheetId="8">#REF!</definedName>
    <definedName name="bomnuocdau100">#REF!</definedName>
    <definedName name="bomnuocdau15" localSheetId="8">#REF!</definedName>
    <definedName name="bomnuocdau15">#REF!</definedName>
    <definedName name="bomnuocdau150" localSheetId="8">#REF!</definedName>
    <definedName name="bomnuocdau150">#REF!</definedName>
    <definedName name="bomnuocdau20" localSheetId="8">#REF!</definedName>
    <definedName name="bomnuocdau20">#REF!</definedName>
    <definedName name="bomnuocdau37" localSheetId="8">#REF!</definedName>
    <definedName name="bomnuocdau37">#REF!</definedName>
    <definedName name="bomnuocdau45" localSheetId="8">#REF!</definedName>
    <definedName name="bomnuocdau45">#REF!</definedName>
    <definedName name="bomnuocdau5" localSheetId="8">#REF!</definedName>
    <definedName name="bomnuocdau5">#REF!</definedName>
    <definedName name="bomnuocdau5.5" localSheetId="8">#REF!</definedName>
    <definedName name="bomnuocdau5.5">#REF!</definedName>
    <definedName name="bomnuocdau7" localSheetId="8">#REF!</definedName>
    <definedName name="bomnuocdau7">#REF!</definedName>
    <definedName name="bomnuocdau7.5" localSheetId="8">#REF!</definedName>
    <definedName name="bomnuocdau7.5">#REF!</definedName>
    <definedName name="bomnuocdau75" localSheetId="8">#REF!</definedName>
    <definedName name="bomnuocdau75">#REF!</definedName>
    <definedName name="bomnuocdien0.55" localSheetId="8">#REF!</definedName>
    <definedName name="bomnuocdien0.55">#REF!</definedName>
    <definedName name="bomnuocdien0.75" localSheetId="8">#REF!</definedName>
    <definedName name="bomnuocdien0.75">#REF!</definedName>
    <definedName name="bomnuocdien1.5" localSheetId="8">#REF!</definedName>
    <definedName name="bomnuocdien1.5">#REF!</definedName>
    <definedName name="bomnuocdien10" localSheetId="8">#REF!</definedName>
    <definedName name="bomnuocdien10">#REF!</definedName>
    <definedName name="bomnuocdien113" localSheetId="8">#REF!</definedName>
    <definedName name="bomnuocdien113">#REF!</definedName>
    <definedName name="bomnuocdien14" localSheetId="8">#REF!</definedName>
    <definedName name="bomnuocdien14">#REF!</definedName>
    <definedName name="bomnuocdien2" localSheetId="8">#REF!</definedName>
    <definedName name="bomnuocdien2">#REF!</definedName>
    <definedName name="bomnuocdien2.8" localSheetId="8">#REF!</definedName>
    <definedName name="bomnuocdien2.8">#REF!</definedName>
    <definedName name="bomnuocdien20" localSheetId="8">#REF!</definedName>
    <definedName name="bomnuocdien20">#REF!</definedName>
    <definedName name="bomnuocdien22" localSheetId="8">#REF!</definedName>
    <definedName name="bomnuocdien22">#REF!</definedName>
    <definedName name="bomnuocdien28" localSheetId="8">#REF!</definedName>
    <definedName name="bomnuocdien28">#REF!</definedName>
    <definedName name="bomnuocdien30" localSheetId="8">#REF!</definedName>
    <definedName name="bomnuocdien30">#REF!</definedName>
    <definedName name="bomnuocdien4" localSheetId="8">#REF!</definedName>
    <definedName name="bomnuocdien4">#REF!</definedName>
    <definedName name="bomnuocdien4.5" localSheetId="8">#REF!</definedName>
    <definedName name="bomnuocdien4.5">#REF!</definedName>
    <definedName name="bomnuocdien40" localSheetId="8">#REF!</definedName>
    <definedName name="bomnuocdien40">#REF!</definedName>
    <definedName name="bomnuocdien50" localSheetId="8">#REF!</definedName>
    <definedName name="bomnuocdien50">#REF!</definedName>
    <definedName name="bomnuocdien55" localSheetId="8">#REF!</definedName>
    <definedName name="bomnuocdien55">#REF!</definedName>
    <definedName name="bomnuocdien7" localSheetId="8">#REF!</definedName>
    <definedName name="bomnuocdien7">#REF!</definedName>
    <definedName name="bomnuocdien75" localSheetId="8">#REF!</definedName>
    <definedName name="bomnuocdien75">#REF!</definedName>
    <definedName name="bomnuocxang3" localSheetId="8">#REF!</definedName>
    <definedName name="bomnuocxang3">#REF!</definedName>
    <definedName name="bomnuocxang4" localSheetId="8">#REF!</definedName>
    <definedName name="bomnuocxang4">#REF!</definedName>
    <definedName name="bomnuocxang6" localSheetId="8">#REF!</definedName>
    <definedName name="bomnuocxang6">#REF!</definedName>
    <definedName name="bomnuocxang7" localSheetId="8">#REF!</definedName>
    <definedName name="bomnuocxang7">#REF!</definedName>
    <definedName name="bomnuocxang8" localSheetId="8">#REF!</definedName>
    <definedName name="bomnuocxang8">#REF!</definedName>
    <definedName name="Bon" localSheetId="8">#REF!</definedName>
    <definedName name="Bon">#REF!</definedName>
    <definedName name="bonnuocdien1.1" localSheetId="8">#REF!</definedName>
    <definedName name="bonnuocdien1.1">#REF!</definedName>
    <definedName name="Book2" localSheetId="8">#REF!</definedName>
    <definedName name="Book2">#REF!</definedName>
    <definedName name="BOQ" localSheetId="8">#REF!</definedName>
    <definedName name="BOQ">#REF!</definedName>
    <definedName name="bosung" localSheetId="1" hidden="1">{"'Sheet1'!$L$16"}</definedName>
    <definedName name="bosung" localSheetId="2" hidden="1">{"'Sheet1'!$L$16"}</definedName>
    <definedName name="bosung" localSheetId="4" hidden="1">{"'Sheet1'!$L$16"}</definedName>
    <definedName name="bosung" localSheetId="5" hidden="1">{"'Sheet1'!$L$16"}</definedName>
    <definedName name="bosung" localSheetId="6" hidden="1">{"'Sheet1'!$L$16"}</definedName>
    <definedName name="bosung" localSheetId="7" hidden="1">{"'Sheet1'!$L$16"}</definedName>
    <definedName name="bosung" localSheetId="8" hidden="1">{"'Sheet1'!$L$16"}</definedName>
    <definedName name="bosung" hidden="1">{"'Sheet1'!$L$16"}</definedName>
    <definedName name="Botanical2" localSheetId="8">#REF!</definedName>
    <definedName name="Botanical2">#REF!</definedName>
    <definedName name="Botanical2.Jun" localSheetId="8">#REF!</definedName>
    <definedName name="Botanical2.Jun">#REF!</definedName>
    <definedName name="botda">#REF!</definedName>
    <definedName name="botmau">#REF!</definedName>
    <definedName name="br">#REF!</definedName>
    <definedName name="BR_373" localSheetId="8">#REF!</definedName>
    <definedName name="BR_373">#REF!</definedName>
    <definedName name="BrName" localSheetId="8">#REF!</definedName>
    <definedName name="BrName">#REF!</definedName>
    <definedName name="bs">#REF!</definedName>
    <definedName name="bs_" localSheetId="8">#REF!</definedName>
    <definedName name="bs_">#REF!</definedName>
    <definedName name="BS_2">#REF!</definedName>
    <definedName name="BS1_1">#REF!</definedName>
    <definedName name="BS1_2">#REF!</definedName>
    <definedName name="BS1_3">#REF!</definedName>
    <definedName name="BS10_A">#REF!</definedName>
    <definedName name="BS10_B">#REF!</definedName>
    <definedName name="BS7_A">#REF!</definedName>
    <definedName name="BS7_B">#REF!</definedName>
    <definedName name="bsf" localSheetId="8">#REF!</definedName>
    <definedName name="bsf">#REF!</definedName>
    <definedName name="bSF_" localSheetId="8">#REF!</definedName>
    <definedName name="bSF_">#REF!</definedName>
    <definedName name="bson" localSheetId="8">#REF!</definedName>
    <definedName name="bson">#REF!</definedName>
    <definedName name="BT" localSheetId="8">#REF!</definedName>
    <definedName name="BT">#REF!</definedName>
    <definedName name="BT_125" localSheetId="8">#REF!</definedName>
    <definedName name="BT_125">#REF!</definedName>
    <definedName name="BT_CT_Mong_Mo_Tru_Cau" localSheetId="8">#REF!</definedName>
    <definedName name="BT_CT_Mong_Mo_Tru_Cau">#REF!</definedName>
    <definedName name="BT200_50" localSheetId="8">#REF!</definedName>
    <definedName name="BT200_50">#REF!</definedName>
    <definedName name="bt30_">#REF!</definedName>
    <definedName name="btai">#REF!</definedName>
    <definedName name="btchiuaxitm300" localSheetId="8">#REF!</definedName>
    <definedName name="btchiuaxitm300">#REF!</definedName>
    <definedName name="BTchiuaxm200" localSheetId="8">#REF!</definedName>
    <definedName name="BTchiuaxm200">#REF!</definedName>
    <definedName name="btcm300" localSheetId="8">#REF!</definedName>
    <definedName name="btcm300">#REF!</definedName>
    <definedName name="btcm300a" localSheetId="8">#REF!</definedName>
    <definedName name="btcm300a">#REF!</definedName>
    <definedName name="btcm300b" localSheetId="8">#REF!</definedName>
    <definedName name="btcm300b">#REF!</definedName>
    <definedName name="btcocM400" localSheetId="8">#REF!</definedName>
    <definedName name="btcocM400">#REF!</definedName>
    <definedName name="btct">#REF!</definedName>
    <definedName name="btds" localSheetId="8">#REF!</definedName>
    <definedName name="btds">#REF!</definedName>
    <definedName name="btham">#REF!</definedName>
    <definedName name="BTK">#REF!</definedName>
    <definedName name="BTK_">#REF!</definedName>
    <definedName name="btkn" localSheetId="8">#REF!</definedName>
    <definedName name="btkn">#REF!</definedName>
    <definedName name="btl" localSheetId="1" hidden="1">{"'Sheet1'!$L$16"}</definedName>
    <definedName name="btl" localSheetId="2" hidden="1">{"'Sheet1'!$L$16"}</definedName>
    <definedName name="btl" localSheetId="3" hidden="1">{"'Sheet1'!$L$16"}</definedName>
    <definedName name="btl" localSheetId="4" hidden="1">{"'Sheet1'!$L$16"}</definedName>
    <definedName name="btl" localSheetId="5" hidden="1">{"'Sheet1'!$L$16"}</definedName>
    <definedName name="btl" localSheetId="6" hidden="1">{"'Sheet1'!$L$16"}</definedName>
    <definedName name="btl" localSheetId="7" hidden="1">{"'Sheet1'!$L$16"}</definedName>
    <definedName name="btl" localSheetId="8" hidden="1">{"'Sheet1'!$L$16"}</definedName>
    <definedName name="btl" hidden="1">{"'Sheet1'!$L$16"}</definedName>
    <definedName name="BTlotm100" localSheetId="8">#REF!</definedName>
    <definedName name="BTlotm100">#REF!</definedName>
    <definedName name="btm" localSheetId="8">#REF!</definedName>
    <definedName name="btm">#REF!</definedName>
    <definedName name="BTN_CPDD_tuoi_nhua_lot" localSheetId="8">#REF!</definedName>
    <definedName name="BTN_CPDD_tuoi_nhua_lot">#REF!</definedName>
    <definedName name="btnhuamin">#REF!</definedName>
    <definedName name="btnhuatho">#REF!</definedName>
    <definedName name="btranh" localSheetId="8">#REF!</definedName>
    <definedName name="btranh">#REF!</definedName>
    <definedName name="BTT" localSheetId="8">#REF!</definedName>
    <definedName name="BTT">#REF!</definedName>
    <definedName name="bttc" localSheetId="8">#REF!</definedName>
    <definedName name="bttc">#REF!</definedName>
    <definedName name="btthuongpham150">#REF!</definedName>
    <definedName name="btthuongpham200">#REF!</definedName>
    <definedName name="btthuongpham250">#REF!</definedName>
    <definedName name="btthuongpham300">#REF!</definedName>
    <definedName name="btthuongphamM30">#REF!</definedName>
    <definedName name="Bu_long" localSheetId="8">#REF!</definedName>
    <definedName name="Bu_long">#REF!</definedName>
    <definedName name="bulong">#REF!</definedName>
    <definedName name="buoc" localSheetId="8">#REF!</definedName>
    <definedName name="buoc">#REF!</definedName>
    <definedName name="bv">#REF!</definedName>
    <definedName name="BVCISUMMARY" localSheetId="8">#REF!</definedName>
    <definedName name="BVCISUMMARY">#REF!</definedName>
    <definedName name="bw">#N/A</definedName>
    <definedName name="bw_" localSheetId="8">#REF!</definedName>
    <definedName name="bw_">#REF!</definedName>
    <definedName name="bwf" localSheetId="8">#REF!</definedName>
    <definedName name="bwf">#REF!</definedName>
    <definedName name="bWF_" localSheetId="8">#REF!</definedName>
    <definedName name="bWF_">#REF!</definedName>
    <definedName name="bWL" localSheetId="8">#REF!</definedName>
    <definedName name="bWL">#REF!</definedName>
    <definedName name="bwlf" localSheetId="8">#REF!</definedName>
    <definedName name="bwlf">#REF!</definedName>
    <definedName name="bWLF_" localSheetId="8">#REF!</definedName>
    <definedName name="bWLF_">#REF!</definedName>
    <definedName name="bx" localSheetId="8">#REF!</definedName>
    <definedName name="bx">#REF!</definedName>
    <definedName name="C.1.1..Phat_tuyen" localSheetId="8">#REF!</definedName>
    <definedName name="C.1.1..Phat_tuyen">#REF!</definedName>
    <definedName name="C.1.10..VC_Thu_cong_CG" localSheetId="8">#REF!</definedName>
    <definedName name="C.1.10..VC_Thu_cong_CG">#REF!</definedName>
    <definedName name="C.1.2..Chat_cay_thu_cong" localSheetId="8">#REF!</definedName>
    <definedName name="C.1.2..Chat_cay_thu_cong">#REF!</definedName>
    <definedName name="C.1.3..Chat_cay_may" localSheetId="8">#REF!</definedName>
    <definedName name="C.1.3..Chat_cay_may">#REF!</definedName>
    <definedName name="C.1.4..Dao_goc_cay" localSheetId="8">#REF!</definedName>
    <definedName name="C.1.4..Dao_goc_cay">#REF!</definedName>
    <definedName name="C.1.5..Lam_duong_tam" localSheetId="8">#REF!</definedName>
    <definedName name="C.1.5..Lam_duong_tam">#REF!</definedName>
    <definedName name="C.1.6..Lam_cau_tam" localSheetId="8">#REF!</definedName>
    <definedName name="C.1.6..Lam_cau_tam">#REF!</definedName>
    <definedName name="C.1.7..Rai_da_chong_lun" localSheetId="8">#REF!</definedName>
    <definedName name="C.1.7..Rai_da_chong_lun">#REF!</definedName>
    <definedName name="C.1.8..Lam_kho_tam" localSheetId="8">#REF!</definedName>
    <definedName name="C.1.8..Lam_kho_tam">#REF!</definedName>
    <definedName name="C.1.8..San_mat_bang" localSheetId="8">#REF!</definedName>
    <definedName name="C.1.8..San_mat_bang">#REF!</definedName>
    <definedName name="C.2.1..VC_Thu_cong" localSheetId="8">#REF!</definedName>
    <definedName name="C.2.1..VC_Thu_cong">#REF!</definedName>
    <definedName name="C.2.2..VC_T_cong_CG" localSheetId="8">#REF!</definedName>
    <definedName name="C.2.2..VC_T_cong_CG">#REF!</definedName>
    <definedName name="C.2.3..Boc_do" localSheetId="8">#REF!</definedName>
    <definedName name="C.2.3..Boc_do">#REF!</definedName>
    <definedName name="C.3.1..Dao_dat_mong_cot" localSheetId="8">#REF!</definedName>
    <definedName name="C.3.1..Dao_dat_mong_cot">#REF!</definedName>
    <definedName name="C.3.2..Dao_dat_de_dap" localSheetId="8">#REF!</definedName>
    <definedName name="C.3.2..Dao_dat_de_dap">#REF!</definedName>
    <definedName name="C.3.3..Dap_dat_mong" localSheetId="8">#REF!</definedName>
    <definedName name="C.3.3..Dap_dat_mong">#REF!</definedName>
    <definedName name="C.3.4..Dao_dap_TDia" localSheetId="8">#REF!</definedName>
    <definedName name="C.3.4..Dao_dap_TDia">#REF!</definedName>
    <definedName name="C.3.5..Dap_bo_bao" localSheetId="8">#REF!</definedName>
    <definedName name="C.3.5..Dap_bo_bao">#REF!</definedName>
    <definedName name="C.3.6..Bom_tat_nuoc" localSheetId="8">#REF!</definedName>
    <definedName name="C.3.6..Bom_tat_nuoc">#REF!</definedName>
    <definedName name="C.3.7..Dao_bun" localSheetId="8">#REF!</definedName>
    <definedName name="C.3.7..Dao_bun">#REF!</definedName>
    <definedName name="C.3.8..Dap_cat_CT" localSheetId="8">#REF!</definedName>
    <definedName name="C.3.8..Dap_cat_CT">#REF!</definedName>
    <definedName name="C.3.9..Dao_pha_da" localSheetId="8">#REF!</definedName>
    <definedName name="C.3.9..Dao_pha_da">#REF!</definedName>
    <definedName name="C.4.1.Cot_thep" localSheetId="8">#REF!</definedName>
    <definedName name="C.4.1.Cot_thep">#REF!</definedName>
    <definedName name="C.4.2..Van_khuon" localSheetId="8">#REF!</definedName>
    <definedName name="C.4.2..Van_khuon">#REF!</definedName>
    <definedName name="C.4.3..Be_tong" localSheetId="8">#REF!</definedName>
    <definedName name="C.4.3..Be_tong">#REF!</definedName>
    <definedName name="C.4.4..Lap_BT_D.San" localSheetId="8">#REF!</definedName>
    <definedName name="C.4.4..Lap_BT_D.San">#REF!</definedName>
    <definedName name="C.4.5..Xay_da_hoc" localSheetId="8">#REF!</definedName>
    <definedName name="C.4.5..Xay_da_hoc">#REF!</definedName>
    <definedName name="C.4.6..Dong_coc" localSheetId="8">#REF!</definedName>
    <definedName name="C.4.6..Dong_coc">#REF!</definedName>
    <definedName name="C.4.7..Quet_Bi_tum" localSheetId="8">#REF!</definedName>
    <definedName name="C.4.7..Quet_Bi_tum">#REF!</definedName>
    <definedName name="C.5.1..Lap_cot_thep" localSheetId="8">#REF!</definedName>
    <definedName name="C.5.1..Lap_cot_thep">#REF!</definedName>
    <definedName name="C.5.2..Lap_cot_BT" localSheetId="8">#REF!</definedName>
    <definedName name="C.5.2..Lap_cot_BT">#REF!</definedName>
    <definedName name="C.5.3..Lap_dat_xa" localSheetId="8">#REF!</definedName>
    <definedName name="C.5.3..Lap_dat_xa">#REF!</definedName>
    <definedName name="C.5.4..Lap_tiep_dia" localSheetId="8">#REF!</definedName>
    <definedName name="C.5.4..Lap_tiep_dia">#REF!</definedName>
    <definedName name="C.5.5..Son_sat_thep" localSheetId="8">#REF!</definedName>
    <definedName name="C.5.5..Son_sat_thep">#REF!</definedName>
    <definedName name="C.6.1..Lap_su_dung" localSheetId="8">#REF!</definedName>
    <definedName name="C.6.1..Lap_su_dung">#REF!</definedName>
    <definedName name="C.6.2..Lap_su_CS" localSheetId="8">#REF!</definedName>
    <definedName name="C.6.2..Lap_su_CS">#REF!</definedName>
    <definedName name="C.6.3..Su_chuoi_do" localSheetId="8">#REF!</definedName>
    <definedName name="C.6.3..Su_chuoi_do">#REF!</definedName>
    <definedName name="C.6.4..Su_chuoi_neo" localSheetId="8">#REF!</definedName>
    <definedName name="C.6.4..Su_chuoi_neo">#REF!</definedName>
    <definedName name="C.6.5..Lap_phu_kien" localSheetId="8">#REF!</definedName>
    <definedName name="C.6.5..Lap_phu_kien">#REF!</definedName>
    <definedName name="C.6.6..Ep_noi_day" localSheetId="8">#REF!</definedName>
    <definedName name="C.6.6..Ep_noi_day">#REF!</definedName>
    <definedName name="C.6.7..KD_vuot_CN" localSheetId="8">#REF!</definedName>
    <definedName name="C.6.7..KD_vuot_CN">#REF!</definedName>
    <definedName name="C.6.8..Rai_cang_day" localSheetId="8">#REF!</definedName>
    <definedName name="C.6.8..Rai_cang_day">#REF!</definedName>
    <definedName name="C.6.9..Cap_quang" localSheetId="8">#REF!</definedName>
    <definedName name="C.6.9..Cap_quang">#REF!</definedName>
    <definedName name="c_" localSheetId="8">#REF!</definedName>
    <definedName name="c_">#REF!</definedName>
    <definedName name="c_1" localSheetId="8">#REF!</definedName>
    <definedName name="c_1">#REF!</definedName>
    <definedName name="c_2" localSheetId="8">#REF!</definedName>
    <definedName name="c_2">#REF!</definedName>
    <definedName name="Caåu_taùch_coïc_ñeå_queùt_bi_tum_coïc_daøi__20m" localSheetId="8">#REF!</definedName>
    <definedName name="Caåu_taùch_coïc_ñeå_queùt_bi_tum_coïc_daøi__20m">#REF!</definedName>
    <definedName name="CABLE2">#REF!</definedName>
    <definedName name="cad" localSheetId="8">#REF!</definedName>
    <definedName name="cad">#REF!</definedName>
    <definedName name="cao" localSheetId="8">#REF!</definedName>
    <definedName name="cao">#REF!</definedName>
    <definedName name="cap" localSheetId="8">#REF!</definedName>
    <definedName name="cap">#REF!</definedName>
    <definedName name="cap_DUL_va_TC" localSheetId="8">#REF!</definedName>
    <definedName name="cap_DUL_va_TC">#REF!</definedName>
    <definedName name="cap0.7" localSheetId="8">#REF!</definedName>
    <definedName name="cap0.7">#REF!</definedName>
    <definedName name="CAPDAT" localSheetId="8">#REF!</definedName>
    <definedName name="CAPDAT">#REF!</definedName>
    <definedName name="capphoithiennhien" localSheetId="8">#REF!</definedName>
    <definedName name="capphoithiennhien">#REF!</definedName>
    <definedName name="CAPT" localSheetId="8">#REF!</definedName>
    <definedName name="CAPT">#REF!</definedName>
    <definedName name="Car" localSheetId="8">#REF!</definedName>
    <definedName name="Car">#REF!</definedName>
    <definedName name="CARL" localSheetId="1" hidden="1">{#N/A,#N/A,FALSE,"CCTV"}</definedName>
    <definedName name="CARL" localSheetId="2" hidden="1">{#N/A,#N/A,FALSE,"CCTV"}</definedName>
    <definedName name="CARL" localSheetId="4" hidden="1">{#N/A,#N/A,FALSE,"CCTV"}</definedName>
    <definedName name="CARL" localSheetId="5" hidden="1">{#N/A,#N/A,FALSE,"CCTV"}</definedName>
    <definedName name="CARL" localSheetId="6" hidden="1">{#N/A,#N/A,FALSE,"CCTV"}</definedName>
    <definedName name="CARL" localSheetId="7" hidden="1">{#N/A,#N/A,FALSE,"CCTV"}</definedName>
    <definedName name="CARL" localSheetId="8" hidden="1">{#N/A,#N/A,FALSE,"CCTV"}</definedName>
    <definedName name="CARL" hidden="1">{#N/A,#N/A,FALSE,"CCTV"}</definedName>
    <definedName name="CARL1" localSheetId="1" hidden="1">{#N/A,#N/A,FALSE,"CCTV"}</definedName>
    <definedName name="CARL1" localSheetId="2" hidden="1">{#N/A,#N/A,FALSE,"CCTV"}</definedName>
    <definedName name="CARL1" localSheetId="4" hidden="1">{#N/A,#N/A,FALSE,"CCTV"}</definedName>
    <definedName name="CARL1" localSheetId="5" hidden="1">{#N/A,#N/A,FALSE,"CCTV"}</definedName>
    <definedName name="CARL1" localSheetId="6" hidden="1">{#N/A,#N/A,FALSE,"CCTV"}</definedName>
    <definedName name="CARL1" localSheetId="7" hidden="1">{#N/A,#N/A,FALSE,"CCTV"}</definedName>
    <definedName name="CARL1" localSheetId="8" hidden="1">{#N/A,#N/A,FALSE,"CCTV"}</definedName>
    <definedName name="CARL1" hidden="1">{#N/A,#N/A,FALSE,"CCTV"}</definedName>
    <definedName name="CARL2" localSheetId="1" hidden="1">{#N/A,#N/A,FALSE,"CCTV"}</definedName>
    <definedName name="CARL2" localSheetId="2" hidden="1">{#N/A,#N/A,FALSE,"CCTV"}</definedName>
    <definedName name="CARL2" localSheetId="4" hidden="1">{#N/A,#N/A,FALSE,"CCTV"}</definedName>
    <definedName name="CARL2" localSheetId="5" hidden="1">{#N/A,#N/A,FALSE,"CCTV"}</definedName>
    <definedName name="CARL2" localSheetId="6" hidden="1">{#N/A,#N/A,FALSE,"CCTV"}</definedName>
    <definedName name="CARL2" localSheetId="7" hidden="1">{#N/A,#N/A,FALSE,"CCTV"}</definedName>
    <definedName name="CARL2" localSheetId="8" hidden="1">{#N/A,#N/A,FALSE,"CCTV"}</definedName>
    <definedName name="CARL2" hidden="1">{#N/A,#N/A,FALSE,"CCTV"}</definedName>
    <definedName name="cas" localSheetId="8">#REF!</definedName>
    <definedName name="cas">#REF!</definedName>
    <definedName name="Case" localSheetId="8">#REF!</definedName>
    <definedName name="Case">#REF!</definedName>
    <definedName name="cat" localSheetId="8">#REF!</definedName>
    <definedName name="cat">#REF!</definedName>
    <definedName name="catchuan" localSheetId="8">#REF!</definedName>
    <definedName name="catchuan">#REF!</definedName>
    <definedName name="Category_All" localSheetId="8">#REF!</definedName>
    <definedName name="Category_All">#REF!</definedName>
    <definedName name="cathatnho" localSheetId="8">#REF!</definedName>
    <definedName name="cathatnho">#REF!</definedName>
    <definedName name="CATIN">#N/A</definedName>
    <definedName name="CATJYOU">#N/A</definedName>
    <definedName name="catm" localSheetId="8">#REF!</definedName>
    <definedName name="catm">#REF!</definedName>
    <definedName name="catmin" localSheetId="8">#REF!</definedName>
    <definedName name="catmin">#REF!</definedName>
    <definedName name="catn" localSheetId="8">#REF!</definedName>
    <definedName name="catn">#REF!</definedName>
    <definedName name="catnen" localSheetId="8">#REF!</definedName>
    <definedName name="catnen">#REF!</definedName>
    <definedName name="CATREC">#N/A</definedName>
    <definedName name="catsan" localSheetId="8">#REF!</definedName>
    <definedName name="catsan">#REF!</definedName>
    <definedName name="CATSYU">#N/A</definedName>
    <definedName name="catvang" localSheetId="8">#REF!</definedName>
    <definedName name="catvang">#REF!</definedName>
    <definedName name="CatVang_HamYen" localSheetId="8">#REF!</definedName>
    <definedName name="CatVang_HamYen">#REF!</definedName>
    <definedName name="catxay" localSheetId="8">#REF!</definedName>
    <definedName name="catxay">#REF!</definedName>
    <definedName name="cau" localSheetId="8">#REF!</definedName>
    <definedName name="cau">#REF!</definedName>
    <definedName name="Cau_1" localSheetId="8">#REF!</definedName>
    <definedName name="Cau_1">#REF!</definedName>
    <definedName name="cau_nho" localSheetId="8">#REF!</definedName>
    <definedName name="cau_nho">#REF!</definedName>
    <definedName name="Cau_tam" localSheetId="8">#REF!</definedName>
    <definedName name="Cau_tam">#REF!</definedName>
    <definedName name="caubanhhoi10" localSheetId="8">#REF!</definedName>
    <definedName name="caubanhhoi10">#REF!</definedName>
    <definedName name="caubanhhoi16" localSheetId="8">#REF!</definedName>
    <definedName name="caubanhhoi16">#REF!</definedName>
    <definedName name="caubanhhoi25" localSheetId="8">#REF!</definedName>
    <definedName name="caubanhhoi25">#REF!</definedName>
    <definedName name="caubanhhoi3" localSheetId="8">#REF!</definedName>
    <definedName name="caubanhhoi3">#REF!</definedName>
    <definedName name="caubanhhoi4" localSheetId="8">#REF!</definedName>
    <definedName name="caubanhhoi4">#REF!</definedName>
    <definedName name="caubanhhoi40" localSheetId="8">#REF!</definedName>
    <definedName name="caubanhhoi40">#REF!</definedName>
    <definedName name="caubanhhoi5" localSheetId="8">#REF!</definedName>
    <definedName name="caubanhhoi5">#REF!</definedName>
    <definedName name="caubanhhoi6" localSheetId="8">#REF!</definedName>
    <definedName name="caubanhhoi6">#REF!</definedName>
    <definedName name="caubanhhoi65" localSheetId="8">#REF!</definedName>
    <definedName name="caubanhhoi65">#REF!</definedName>
    <definedName name="caubanhhoi7" localSheetId="8">#REF!</definedName>
    <definedName name="caubanhhoi7">#REF!</definedName>
    <definedName name="caubanhhoi8" localSheetId="8">#REF!</definedName>
    <definedName name="caubanhhoi8">#REF!</definedName>
    <definedName name="caubanhhoi90" localSheetId="8">#REF!</definedName>
    <definedName name="caubanhhoi90">#REF!</definedName>
    <definedName name="caubanhxich10" localSheetId="8">#REF!</definedName>
    <definedName name="caubanhxich10">#REF!</definedName>
    <definedName name="caubanhxich100" localSheetId="8">#REF!</definedName>
    <definedName name="caubanhxich100">#REF!</definedName>
    <definedName name="caubanhxich16" localSheetId="8">#REF!</definedName>
    <definedName name="caubanhxich16">#REF!</definedName>
    <definedName name="caubanhxich25" localSheetId="8">#REF!</definedName>
    <definedName name="caubanhxich25">#REF!</definedName>
    <definedName name="caubanhxich28" localSheetId="8">#REF!</definedName>
    <definedName name="caubanhxich28">#REF!</definedName>
    <definedName name="caubanhxich40" localSheetId="8">#REF!</definedName>
    <definedName name="caubanhxich40">#REF!</definedName>
    <definedName name="caubanhxich5" localSheetId="8">#REF!</definedName>
    <definedName name="caubanhxich5">#REF!</definedName>
    <definedName name="caubanhxich50" localSheetId="8">#REF!</definedName>
    <definedName name="caubanhxich50">#REF!</definedName>
    <definedName name="caubanhxich63" localSheetId="8">#REF!</definedName>
    <definedName name="caubanhxich63">#REF!</definedName>
    <definedName name="caubanhxich7" localSheetId="8">#REF!</definedName>
    <definedName name="caubanhxich7">#REF!</definedName>
    <definedName name="Caunho" localSheetId="8">#REF!</definedName>
    <definedName name="Caunho">#REF!</definedName>
    <definedName name="cauthap10" localSheetId="8">#REF!</definedName>
    <definedName name="cauthap10">#REF!</definedName>
    <definedName name="cauthap12" localSheetId="8">#REF!</definedName>
    <definedName name="cauthap12">#REF!</definedName>
    <definedName name="cauthap15" localSheetId="8">#REF!</definedName>
    <definedName name="cauthap15">#REF!</definedName>
    <definedName name="cauthap20" localSheetId="8">#REF!</definedName>
    <definedName name="cauthap20">#REF!</definedName>
    <definedName name="cauthap25" localSheetId="8">#REF!</definedName>
    <definedName name="cauthap25">#REF!</definedName>
    <definedName name="cauthap3" localSheetId="8">#REF!</definedName>
    <definedName name="cauthap3">#REF!</definedName>
    <definedName name="cauthap30" localSheetId="8">#REF!</definedName>
    <definedName name="cauthap30">#REF!</definedName>
    <definedName name="cauthap40" localSheetId="8">#REF!</definedName>
    <definedName name="cauthap40">#REF!</definedName>
    <definedName name="cauthap5" localSheetId="8">#REF!</definedName>
    <definedName name="cauthap5">#REF!</definedName>
    <definedName name="cauthap50" localSheetId="8">#REF!</definedName>
    <definedName name="cauthap50">#REF!</definedName>
    <definedName name="cauthap8" localSheetId="8">#REF!</definedName>
    <definedName name="cauthap8">#REF!</definedName>
    <definedName name="CAVT">#REF!</definedName>
    <definedName name="caychong">#REF!</definedName>
    <definedName name="cb">#REF!</definedName>
    <definedName name="cbncncn" localSheetId="1" hidden="1">{0}</definedName>
    <definedName name="cbncncn" localSheetId="2" hidden="1">{0}</definedName>
    <definedName name="cbncncn" localSheetId="4" hidden="1">{0}</definedName>
    <definedName name="cbncncn" localSheetId="5" hidden="1">{0}</definedName>
    <definedName name="cbncncn" localSheetId="6" hidden="1">{0}</definedName>
    <definedName name="cbncncn" localSheetId="7" hidden="1">{0}</definedName>
    <definedName name="cbncncn" localSheetId="8" hidden="1">{0}</definedName>
    <definedName name="cbncncn" hidden="1">{0}</definedName>
    <definedName name="CBPT" localSheetId="8">#REF!</definedName>
    <definedName name="CBPT">#REF!</definedName>
    <definedName name="cc" localSheetId="8">#REF!</definedName>
    <definedName name="cc">#REF!</definedName>
    <definedName name="CC.M14.1" localSheetId="8">#REF!</definedName>
    <definedName name="CC.M14.1">#REF!</definedName>
    <definedName name="CC.M14.2" localSheetId="8">#REF!</definedName>
    <definedName name="CC.M14.2">#REF!</definedName>
    <definedName name="CC.MTCat" localSheetId="8">#REF!</definedName>
    <definedName name="CC.MTCat">#REF!</definedName>
    <definedName name="CCCC" localSheetId="8">#REF!</definedName>
    <definedName name="CCCC">#REF!</definedName>
    <definedName name="cccl2" localSheetId="8">#REF!</definedName>
    <definedName name="cccl2">#REF!</definedName>
    <definedName name="ccd">#REF!</definedName>
    <definedName name="CCĐ" localSheetId="8">#REF!</definedName>
    <definedName name="CCĐ">#REF!</definedName>
    <definedName name="CCNK" localSheetId="8">#REF!</definedName>
    <definedName name="CCNK">#REF!</definedName>
    <definedName name="CCS" localSheetId="8">#REF!</definedName>
    <definedName name="CCS">#REF!</definedName>
    <definedName name="CCT">#REF!</definedName>
    <definedName name="CCY">#REF!</definedName>
    <definedName name="cd">#REF!</definedName>
    <definedName name="CDA" localSheetId="8">#REF!</definedName>
    <definedName name="CDA">#REF!</definedName>
    <definedName name="CDD" localSheetId="8">#REF!</definedName>
    <definedName name="CDD">#REF!</definedName>
    <definedName name="CDDB" localSheetId="8">#REF!</definedName>
    <definedName name="CDDB">#REF!</definedName>
    <definedName name="CDDD" localSheetId="8">#REF!</definedName>
    <definedName name="CDDD">#REF!</definedName>
    <definedName name="cddd1p">#REF!</definedName>
    <definedName name="cddd3p">#REF!</definedName>
    <definedName name="CDDT" localSheetId="8">#REF!</definedName>
    <definedName name="CDDT">#REF!</definedName>
    <definedName name="cdgcdhch" localSheetId="1" hidden="1">{0}</definedName>
    <definedName name="cdgcdhch" localSheetId="2" hidden="1">{0}</definedName>
    <definedName name="cdgcdhch" localSheetId="4" hidden="1">{0}</definedName>
    <definedName name="cdgcdhch" localSheetId="5" hidden="1">{0}</definedName>
    <definedName name="cdgcdhch" localSheetId="6" hidden="1">{0}</definedName>
    <definedName name="cdgcdhch" localSheetId="7" hidden="1">{0}</definedName>
    <definedName name="cdgcdhch" localSheetId="8" hidden="1">{0}</definedName>
    <definedName name="cdgcdhch" hidden="1">{0}</definedName>
    <definedName name="cdkt" localSheetId="8">#REF!</definedName>
    <definedName name="cdkt">#REF!</definedName>
    <definedName name="CDMD" localSheetId="8">#REF!</definedName>
    <definedName name="CDMD">#REF!</definedName>
    <definedName name="cdn" localSheetId="8">#REF!</definedName>
    <definedName name="cdn">#REF!</definedName>
    <definedName name="Cdnum" localSheetId="8">#REF!</definedName>
    <definedName name="Cdnum">#REF!</definedName>
    <definedName name="CE">#REF!</definedName>
    <definedName name="CELPNT" localSheetId="8">#REF!</definedName>
    <definedName name="CELPNT">#REF!</definedName>
    <definedName name="CELPNT2" localSheetId="8">#REF!</definedName>
    <definedName name="CELPNT2">#REF!</definedName>
    <definedName name="Céng" localSheetId="8">#REF!</definedName>
    <definedName name="Céng">#REF!</definedName>
    <definedName name="CF1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CF1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CF1_a129" localSheetId="4" hidden="1">{"Offgrid",#N/A,FALSE,"OFFGRID";"Region",#N/A,FALSE,"REGION";"Offgrid -2",#N/A,FALSE,"OFFGRID";"WTP",#N/A,FALSE,"WTP";"WTP -2",#N/A,FALSE,"WTP";"Project",#N/A,FALSE,"PROJECT";"Summary -2",#N/A,FALSE,"SUMMARY"}</definedName>
    <definedName name="CF1_a129" localSheetId="5" hidden="1">{"Offgrid",#N/A,FALSE,"OFFGRID";"Region",#N/A,FALSE,"REGION";"Offgrid -2",#N/A,FALSE,"OFFGRID";"WTP",#N/A,FALSE,"WTP";"WTP -2",#N/A,FALSE,"WTP";"Project",#N/A,FALSE,"PROJECT";"Summary -2",#N/A,FALSE,"SUMMARY"}</definedName>
    <definedName name="CF1_a129" localSheetId="6" hidden="1">{"Offgrid",#N/A,FALSE,"OFFGRID";"Region",#N/A,FALSE,"REGION";"Offgrid -2",#N/A,FALSE,"OFFGRID";"WTP",#N/A,FALSE,"WTP";"WTP -2",#N/A,FALSE,"WTP";"Project",#N/A,FALSE,"PROJECT";"Summary -2",#N/A,FALSE,"SUMMARY"}</definedName>
    <definedName name="CF1_a129" localSheetId="7" hidden="1">{"Offgrid",#N/A,FALSE,"OFFGRID";"Region",#N/A,FALSE,"REGION";"Offgrid -2",#N/A,FALSE,"OFFGRID";"WTP",#N/A,FALSE,"WTP";"WTP -2",#N/A,FALSE,"WTP";"Project",#N/A,FALSE,"PROJECT";"Summary -2",#N/A,FALSE,"SUMMARY"}</definedName>
    <definedName name="CF1_a129" localSheetId="8" hidden="1">{"Offgrid",#N/A,FALSE,"OFFGRID";"Region",#N/A,FALSE,"REGION";"Offgrid -2",#N/A,FALSE,"OFFGRID";"WTP",#N/A,FALSE,"WTP";"WTP -2",#N/A,FALSE,"WTP";"Project",#N/A,FALSE,"PROJECT";"Summary -2",#N/A,FALSE,"SUMMARY"}</definedName>
    <definedName name="CF1_a129" hidden="1">{"Offgrid",#N/A,FALSE,"OFFGRID";"Region",#N/A,FALSE,"REGION";"Offgrid -2",#N/A,FALSE,"OFFGRID";"WTP",#N/A,FALSE,"WTP";"WTP -2",#N/A,FALSE,"WTP";"Project",#N/A,FALSE,"PROJECT";"Summary -2",#N/A,FALSE,"SUMMARY"}</definedName>
    <definedName name="CF2_1">#REF!</definedName>
    <definedName name="CF2_2">#REF!</definedName>
    <definedName name="cfc" localSheetId="8">#REF!</definedName>
    <definedName name="cfc">#REF!</definedName>
    <definedName name="cfk" localSheetId="8">#REF!</definedName>
    <definedName name="cfk">#REF!</definedName>
    <definedName name="cgionc" localSheetId="8">#REF!</definedName>
    <definedName name="cgionc">#REF!</definedName>
    <definedName name="cgiovl" localSheetId="8">#REF!</definedName>
    <definedName name="cgiovl">#REF!</definedName>
    <definedName name="CH" localSheetId="8">#REF!</definedName>
    <definedName name="CH">#REF!</definedName>
    <definedName name="Ch_rong" localSheetId="8">#REF!</definedName>
    <definedName name="Ch_rong">#REF!</definedName>
    <definedName name="ChÆt_c_y" localSheetId="8">#REF!</definedName>
    <definedName name="ChÆt_c_y">#REF!</definedName>
    <definedName name="Chart3" localSheetId="1" hidden="1">{"'Sheet1'!$L$16"}</definedName>
    <definedName name="Chart3" localSheetId="2" hidden="1">{"'Sheet1'!$L$16"}</definedName>
    <definedName name="Chart3" localSheetId="4" hidden="1">{"'Sheet1'!$L$16"}</definedName>
    <definedName name="Chart3" localSheetId="5" hidden="1">{"'Sheet1'!$L$16"}</definedName>
    <definedName name="Chart3" localSheetId="6" hidden="1">{"'Sheet1'!$L$16"}</definedName>
    <definedName name="Chart3" localSheetId="7" hidden="1">{"'Sheet1'!$L$16"}</definedName>
    <definedName name="Chart3" localSheetId="8" hidden="1">{"'Sheet1'!$L$16"}</definedName>
    <definedName name="Chart3" hidden="1">{"'Sheet1'!$L$16"}</definedName>
    <definedName name="chay1" localSheetId="8">#REF!</definedName>
    <definedName name="chay1">#REF!</definedName>
    <definedName name="chay10" localSheetId="8">#REF!</definedName>
    <definedName name="chay10">#REF!</definedName>
    <definedName name="chay2" localSheetId="8">#REF!</definedName>
    <definedName name="chay2">#REF!</definedName>
    <definedName name="chay3" localSheetId="8">#REF!</definedName>
    <definedName name="chay3">#REF!</definedName>
    <definedName name="chay4" localSheetId="8">#REF!</definedName>
    <definedName name="chay4">#REF!</definedName>
    <definedName name="chay5" localSheetId="8">#REF!</definedName>
    <definedName name="chay5">#REF!</definedName>
    <definedName name="chay6" localSheetId="8">#REF!</definedName>
    <definedName name="chay6">#REF!</definedName>
    <definedName name="chay7" localSheetId="8">#REF!</definedName>
    <definedName name="chay7">#REF!</definedName>
    <definedName name="chay8" localSheetId="8">#REF!</definedName>
    <definedName name="chay8">#REF!</definedName>
    <definedName name="chay9" localSheetId="8">#REF!</definedName>
    <definedName name="chay9">#REF!</definedName>
    <definedName name="ChDai" localSheetId="8">#REF!</definedName>
    <definedName name="ChDai">#REF!</definedName>
    <definedName name="chhtnc" localSheetId="8">#REF!</definedName>
    <definedName name="chhtnc">#REF!</definedName>
    <definedName name="chhtvl" localSheetId="8">#REF!</definedName>
    <definedName name="chhtvl">#REF!</definedName>
    <definedName name="ChiA">#REF!</definedName>
    <definedName name="ChiAT">#REF!</definedName>
    <definedName name="chiemhoa" localSheetId="8">#REF!</definedName>
    <definedName name="chiemhoa">#REF!</definedName>
    <definedName name="chien" localSheetId="1" hidden="1">{"'Sheet1'!$L$16"}</definedName>
    <definedName name="chien" localSheetId="2" hidden="1">{"'Sheet1'!$L$16"}</definedName>
    <definedName name="chien" localSheetId="4" hidden="1">{"'Sheet1'!$L$16"}</definedName>
    <definedName name="chien" localSheetId="5" hidden="1">{"'Sheet1'!$L$16"}</definedName>
    <definedName name="chien" localSheetId="6" hidden="1">{"'Sheet1'!$L$16"}</definedName>
    <definedName name="chien" localSheetId="7" hidden="1">{"'Sheet1'!$L$16"}</definedName>
    <definedName name="chien" localSheetId="8" hidden="1">{"'Sheet1'!$L$16"}</definedName>
    <definedName name="chien" hidden="1">{"'Sheet1'!$L$16"}</definedName>
    <definedName name="chien1" localSheetId="1" hidden="1">{"'Sheet1'!$L$16"}</definedName>
    <definedName name="chien1" localSheetId="2" hidden="1">{"'Sheet1'!$L$16"}</definedName>
    <definedName name="chien1" localSheetId="4" hidden="1">{"'Sheet1'!$L$16"}</definedName>
    <definedName name="chien1" localSheetId="5" hidden="1">{"'Sheet1'!$L$16"}</definedName>
    <definedName name="chien1" localSheetId="6" hidden="1">{"'Sheet1'!$L$16"}</definedName>
    <definedName name="chien1" localSheetId="7" hidden="1">{"'Sheet1'!$L$16"}</definedName>
    <definedName name="chien1" localSheetId="8" hidden="1">{"'Sheet1'!$L$16"}</definedName>
    <definedName name="chien1" hidden="1">{"'Sheet1'!$L$16"}</definedName>
    <definedName name="chietchai2" localSheetId="1" hidden="1">{"'Sheet1'!$L$16"}</definedName>
    <definedName name="chietchai2" localSheetId="2" hidden="1">{"'Sheet1'!$L$16"}</definedName>
    <definedName name="chietchai2" localSheetId="4" hidden="1">{"'Sheet1'!$L$16"}</definedName>
    <definedName name="chietchai2" localSheetId="5" hidden="1">{"'Sheet1'!$L$16"}</definedName>
    <definedName name="chietchai2" localSheetId="6" hidden="1">{"'Sheet1'!$L$16"}</definedName>
    <definedName name="chietchai2" localSheetId="7" hidden="1">{"'Sheet1'!$L$16"}</definedName>
    <definedName name="chietchai2" localSheetId="8" hidden="1">{"'Sheet1'!$L$16"}</definedName>
    <definedName name="chietchai2" hidden="1">{"'Sheet1'!$L$16"}</definedName>
    <definedName name="chieusang" localSheetId="8">#REF!</definedName>
    <definedName name="chieusang">#REF!</definedName>
    <definedName name="Chin" localSheetId="8">#REF!</definedName>
    <definedName name="Chin">#REF!</definedName>
    <definedName name="ChiPhiKhac" localSheetId="8">#REF!</definedName>
    <definedName name="ChiPhiKhac">#REF!</definedName>
    <definedName name="chitiet3" localSheetId="1" hidden="1">{"'Sheet1'!$L$16"}</definedName>
    <definedName name="chitiet3" localSheetId="2" hidden="1">{"'Sheet1'!$L$16"}</definedName>
    <definedName name="chitiet3" localSheetId="4" hidden="1">{"'Sheet1'!$L$16"}</definedName>
    <definedName name="chitiet3" localSheetId="5" hidden="1">{"'Sheet1'!$L$16"}</definedName>
    <definedName name="chitiet3" localSheetId="6" hidden="1">{"'Sheet1'!$L$16"}</definedName>
    <definedName name="chitiet3" localSheetId="7" hidden="1">{"'Sheet1'!$L$16"}</definedName>
    <definedName name="chitiet3" localSheetId="8" hidden="1">{"'Sheet1'!$L$16"}</definedName>
    <definedName name="chitiet3" hidden="1">{"'Sheet1'!$L$16"}</definedName>
    <definedName name="chitietbgiang2" localSheetId="1" hidden="1">{"'Sheet1'!$L$16"}</definedName>
    <definedName name="chitietbgiang2" localSheetId="2" hidden="1">{"'Sheet1'!$L$16"}</definedName>
    <definedName name="chitietbgiang2" localSheetId="3" hidden="1">{"'Sheet1'!$L$16"}</definedName>
    <definedName name="chitietbgiang2" localSheetId="4" hidden="1">{"'Sheet1'!$L$16"}</definedName>
    <definedName name="chitietbgiang2" localSheetId="5" hidden="1">{"'Sheet1'!$L$16"}</definedName>
    <definedName name="chitietbgiang2" localSheetId="6" hidden="1">{"'Sheet1'!$L$16"}</definedName>
    <definedName name="chitietbgiang2" localSheetId="7" hidden="1">{"'Sheet1'!$L$16"}</definedName>
    <definedName name="chitietbgiang2" localSheetId="8" hidden="1">{"'Sheet1'!$L$16"}</definedName>
    <definedName name="chitietbgiang2" hidden="1">{"'Sheet1'!$L$16"}</definedName>
    <definedName name="chl" localSheetId="1" hidden="1">{"'Sheet1'!$L$16"}</definedName>
    <definedName name="chl" localSheetId="2" hidden="1">{"'Sheet1'!$L$16"}</definedName>
    <definedName name="chl" localSheetId="3" hidden="1">{"'Sheet1'!$L$16"}</definedName>
    <definedName name="chl" localSheetId="4" hidden="1">{"'Sheet1'!$L$16"}</definedName>
    <definedName name="chl" localSheetId="5" hidden="1">{"'Sheet1'!$L$16"}</definedName>
    <definedName name="chl" localSheetId="6" hidden="1">{"'Sheet1'!$L$16"}</definedName>
    <definedName name="chl" localSheetId="7" hidden="1">{"'Sheet1'!$L$16"}</definedName>
    <definedName name="chl" localSheetId="8" hidden="1">{"'Sheet1'!$L$16"}</definedName>
    <definedName name="chl" hidden="1">{"'Sheet1'!$L$16"}</definedName>
    <definedName name="chnc" localSheetId="8">#REF!</definedName>
    <definedName name="chnc">#REF!</definedName>
    <definedName name="chon" localSheetId="8">#REF!</definedName>
    <definedName name="chon">#REF!</definedName>
    <definedName name="chon1" localSheetId="8">#REF!</definedName>
    <definedName name="chon1">#REF!</definedName>
    <definedName name="chon2" localSheetId="8">#REF!</definedName>
    <definedName name="chon2">#REF!</definedName>
    <definedName name="chon3" localSheetId="8">#REF!</definedName>
    <definedName name="chon3">#REF!</definedName>
    <definedName name="Chu" localSheetId="8">#REF!</definedName>
    <definedName name="Chu">#REF!</definedName>
    <definedName name="chung">66</definedName>
    <definedName name="chuyen" localSheetId="1" hidden="1">{"'Sheet1'!$L$16"}</definedName>
    <definedName name="chuyen" localSheetId="2" hidden="1">{"'Sheet1'!$L$16"}</definedName>
    <definedName name="chuyen" localSheetId="3" hidden="1">{"'Sheet1'!$L$16"}</definedName>
    <definedName name="chuyen" localSheetId="4" hidden="1">{"'Sheet1'!$L$16"}</definedName>
    <definedName name="chuyen" localSheetId="5" hidden="1">{"'Sheet1'!$L$16"}</definedName>
    <definedName name="chuyen" localSheetId="6" hidden="1">{"'Sheet1'!$L$16"}</definedName>
    <definedName name="chuyen" localSheetId="7" hidden="1">{"'Sheet1'!$L$16"}</definedName>
    <definedName name="chuyen" localSheetId="8" hidden="1">{"'Sheet1'!$L$16"}</definedName>
    <definedName name="chuyen" hidden="1">{"'Sheet1'!$L$16"}</definedName>
    <definedName name="chvl" localSheetId="8">#REF!</definedName>
    <definedName name="chvl">#REF!</definedName>
    <definedName name="ci" localSheetId="1" hidden="1">{"'Sheet1'!$L$16"}</definedName>
    <definedName name="ci" localSheetId="2" hidden="1">{"'Sheet1'!$L$16"}</definedName>
    <definedName name="ci" localSheetId="4" hidden="1">{"'Sheet1'!$L$16"}</definedName>
    <definedName name="ci" localSheetId="5" hidden="1">{"'Sheet1'!$L$16"}</definedName>
    <definedName name="ci" localSheetId="6" hidden="1">{"'Sheet1'!$L$16"}</definedName>
    <definedName name="ci" localSheetId="7" hidden="1">{"'Sheet1'!$L$16"}</definedName>
    <definedName name="ci" localSheetId="8" hidden="1">{"'Sheet1'!$L$16"}</definedName>
    <definedName name="ci" hidden="1">{"'Sheet1'!$L$16"}</definedName>
    <definedName name="citidd" localSheetId="8">#REF!</definedName>
    <definedName name="citidd">#REF!</definedName>
    <definedName name="CK" localSheetId="8">#REF!</definedName>
    <definedName name="CK">#REF!</definedName>
    <definedName name="ckn" localSheetId="8">#REF!</definedName>
    <definedName name="ckn">#REF!</definedName>
    <definedName name="ckna" localSheetId="8">#REF!</definedName>
    <definedName name="ckna">#REF!</definedName>
    <definedName name="cknc" localSheetId="8">#REF!</definedName>
    <definedName name="cknc">#REF!</definedName>
    <definedName name="ckvl" localSheetId="8">#REF!</definedName>
    <definedName name="ckvl">#REF!</definedName>
    <definedName name="CL" localSheetId="8">#REF!</definedName>
    <definedName name="CL">#REF!</definedName>
    <definedName name="CLTMP" localSheetId="8">#REF!</definedName>
    <definedName name="CLTMP">#REF!</definedName>
    <definedName name="CLVC">#REF!</definedName>
    <definedName name="clvc1">#REF!</definedName>
    <definedName name="CLVC3">0.1</definedName>
    <definedName name="CLVCTB" localSheetId="8">#REF!</definedName>
    <definedName name="CLVCTB">#REF!</definedName>
    <definedName name="CLVL" localSheetId="8">#REF!</definedName>
    <definedName name="CLVL">#REF!</definedName>
    <definedName name="cn" localSheetId="8">#REF!</definedName>
    <definedName name="cn">#REF!</definedName>
    <definedName name="CN3p">#REF!</definedName>
    <definedName name="CNC" localSheetId="8">#REF!</definedName>
    <definedName name="CNC">#REF!</definedName>
    <definedName name="cncncn" localSheetId="1" hidden="1">{0}</definedName>
    <definedName name="cncncn" localSheetId="2" hidden="1">{0}</definedName>
    <definedName name="cncncn" localSheetId="4" hidden="1">{0}</definedName>
    <definedName name="cncncn" localSheetId="5" hidden="1">{0}</definedName>
    <definedName name="cncncn" localSheetId="6" hidden="1">{0}</definedName>
    <definedName name="cncncn" localSheetId="7" hidden="1">{0}</definedName>
    <definedName name="cncncn" localSheetId="8" hidden="1">{0}</definedName>
    <definedName name="cncncn" hidden="1">{0}</definedName>
    <definedName name="CND" localSheetId="8">#REF!</definedName>
    <definedName name="CND">#REF!</definedName>
    <definedName name="cne" localSheetId="8">#REF!</definedName>
    <definedName name="cne">#REF!</definedName>
    <definedName name="CNG" localSheetId="8">#REF!</definedName>
    <definedName name="CNG">#REF!</definedName>
    <definedName name="Cñi">#REF!</definedName>
    <definedName name="Co">#REF!</definedName>
    <definedName name="co." localSheetId="8">#REF!</definedName>
    <definedName name="co.">#REF!</definedName>
    <definedName name="co.." localSheetId="8">#REF!</definedName>
    <definedName name="co..">#REF!</definedName>
    <definedName name="coar">#REF!</definedName>
    <definedName name="COAT" localSheetId="8">#REF!</definedName>
    <definedName name="COAT">#REF!</definedName>
    <definedName name="coc" localSheetId="8">#REF!</definedName>
    <definedName name="coc">#REF!</definedName>
    <definedName name="Coc_BTCT" localSheetId="8">#REF!</definedName>
    <definedName name="Coc_BTCT">#REF!</definedName>
    <definedName name="coc20x20" localSheetId="8">#REF!</definedName>
    <definedName name="coc20x20">#REF!</definedName>
    <definedName name="cocbtct" localSheetId="8">#REF!</definedName>
    <definedName name="cocbtct">#REF!</definedName>
    <definedName name="cocot" localSheetId="8">#REF!</definedName>
    <definedName name="cocot">#REF!</definedName>
    <definedName name="cocott" localSheetId="8">#REF!</definedName>
    <definedName name="cocott">#REF!</definedName>
    <definedName name="coctre" localSheetId="8">#REF!</definedName>
    <definedName name="coctre">#REF!</definedName>
    <definedName name="CODE" localSheetId="8">#REF!</definedName>
    <definedName name="CODE">#REF!</definedName>
    <definedName name="CODE1" localSheetId="8">#REF!</definedName>
    <definedName name="CODE1">#REF!</definedName>
    <definedName name="CODE2" localSheetId="8">#REF!</definedName>
    <definedName name="CODE2">#REF!</definedName>
    <definedName name="CODE3" localSheetId="8">#REF!</definedName>
    <definedName name="CODE3">#REF!</definedName>
    <definedName name="Cöï_ly_vaän_chuyeãn" localSheetId="8">#REF!</definedName>
    <definedName name="Cöï_ly_vaän_chuyeãn">#REF!</definedName>
    <definedName name="CÖÏ_LY_VAÄN_CHUYEÅN" localSheetId="8">#REF!</definedName>
    <definedName name="CÖÏ_LY_VAÄN_CHUYEÅN">#REF!</definedName>
    <definedName name="COMMON" localSheetId="8">#REF!</definedName>
    <definedName name="COMMON">#REF!</definedName>
    <definedName name="comong" localSheetId="8">#REF!</definedName>
    <definedName name="comong">#REF!</definedName>
    <definedName name="Comp" localSheetId="8">#REF!</definedName>
    <definedName name="Comp">#REF!</definedName>
    <definedName name="CON_EQP_COS" localSheetId="8">#REF!</definedName>
    <definedName name="CON_EQP_COS">#REF!</definedName>
    <definedName name="CON_EQP_COST" localSheetId="8">#REF!</definedName>
    <definedName name="CON_EQP_COST">#REF!</definedName>
    <definedName name="Concrete" localSheetId="8">#REF!</definedName>
    <definedName name="Concrete">#REF!</definedName>
    <definedName name="cong_bq" localSheetId="8">#REF!</definedName>
    <definedName name="cong_bq">#REF!</definedName>
    <definedName name="cong_bv" localSheetId="8">#REF!</definedName>
    <definedName name="cong_bv">#REF!</definedName>
    <definedName name="cong_ck" localSheetId="8">#REF!</definedName>
    <definedName name="cong_ck">#REF!</definedName>
    <definedName name="cong_d1" localSheetId="8">#REF!</definedName>
    <definedName name="cong_d1">#REF!</definedName>
    <definedName name="cong_d2" localSheetId="8">#REF!</definedName>
    <definedName name="cong_d2">#REF!</definedName>
    <definedName name="cong_d3" localSheetId="8">#REF!</definedName>
    <definedName name="cong_d3">#REF!</definedName>
    <definedName name="cong_dl" localSheetId="8">#REF!</definedName>
    <definedName name="cong_dl">#REF!</definedName>
    <definedName name="Cong_HM_DTCT" localSheetId="8">#REF!</definedName>
    <definedName name="Cong_HM_DTCT">#REF!</definedName>
    <definedName name="cong_kcs" localSheetId="8">#REF!</definedName>
    <definedName name="cong_kcs">#REF!</definedName>
    <definedName name="Cong_M_DTCT" localSheetId="8">#REF!</definedName>
    <definedName name="Cong_M_DTCT">#REF!</definedName>
    <definedName name="cong_nb" localSheetId="8">#REF!</definedName>
    <definedName name="cong_nb">#REF!</definedName>
    <definedName name="Cong_NC_DTCT" localSheetId="8">#REF!</definedName>
    <definedName name="Cong_NC_DTCT">#REF!</definedName>
    <definedName name="cong_ngio" localSheetId="8">#REF!</definedName>
    <definedName name="cong_ngio">#REF!</definedName>
    <definedName name="cong_nv" localSheetId="8">#REF!</definedName>
    <definedName name="cong_nv">#REF!</definedName>
    <definedName name="cong_t3" localSheetId="8">#REF!</definedName>
    <definedName name="cong_t3">#REF!</definedName>
    <definedName name="cong_t4" localSheetId="8">#REF!</definedName>
    <definedName name="cong_t4">#REF!</definedName>
    <definedName name="cong_t5" localSheetId="8">#REF!</definedName>
    <definedName name="cong_t5">#REF!</definedName>
    <definedName name="cong_t6" localSheetId="8">#REF!</definedName>
    <definedName name="cong_t6">#REF!</definedName>
    <definedName name="cong_tc" localSheetId="8">#REF!</definedName>
    <definedName name="cong_tc">#REF!</definedName>
    <definedName name="cong_tm" localSheetId="8">#REF!</definedName>
    <definedName name="cong_tm">#REF!</definedName>
    <definedName name="Cong_VL_DTCT" localSheetId="8">#REF!</definedName>
    <definedName name="Cong_VL_DTCT">#REF!</definedName>
    <definedName name="cong_vs" localSheetId="8">#REF!</definedName>
    <definedName name="cong_vs">#REF!</definedName>
    <definedName name="cong_xh" localSheetId="8">#REF!</definedName>
    <definedName name="cong_xh">#REF!</definedName>
    <definedName name="cong1x15" localSheetId="8">#REF!</definedName>
    <definedName name="cong1x15">#REF!</definedName>
    <definedName name="congbengam" localSheetId="8">#REF!</definedName>
    <definedName name="congbengam">#REF!</definedName>
    <definedName name="congbenuoc" localSheetId="8">#REF!</definedName>
    <definedName name="congbenuoc">#REF!</definedName>
    <definedName name="congcoc" localSheetId="8">#REF!</definedName>
    <definedName name="congcoc">#REF!</definedName>
    <definedName name="congcocot" localSheetId="8">#REF!</definedName>
    <definedName name="congcocot">#REF!</definedName>
    <definedName name="congcocott" localSheetId="8">#REF!</definedName>
    <definedName name="congcocott">#REF!</definedName>
    <definedName name="congcomong" localSheetId="8">#REF!</definedName>
    <definedName name="congcomong">#REF!</definedName>
    <definedName name="congcottron" localSheetId="8">#REF!</definedName>
    <definedName name="congcottron">#REF!</definedName>
    <definedName name="congcotvuong" localSheetId="8">#REF!</definedName>
    <definedName name="congcotvuong">#REF!</definedName>
    <definedName name="congdam" localSheetId="8">#REF!</definedName>
    <definedName name="congdam">#REF!</definedName>
    <definedName name="congdan1" localSheetId="8">#REF!</definedName>
    <definedName name="congdan1">#REF!</definedName>
    <definedName name="congdan2" localSheetId="8">#REF!</definedName>
    <definedName name="congdan2">#REF!</definedName>
    <definedName name="congdandusan" localSheetId="8">#REF!</definedName>
    <definedName name="congdandusan">#REF!</definedName>
    <definedName name="conglanhto" localSheetId="8">#REF!</definedName>
    <definedName name="conglanhto">#REF!</definedName>
    <definedName name="congmong" localSheetId="8">#REF!</definedName>
    <definedName name="congmong">#REF!</definedName>
    <definedName name="congmongbang" localSheetId="8">#REF!</definedName>
    <definedName name="congmongbang">#REF!</definedName>
    <definedName name="congmongdon" localSheetId="8">#REF!</definedName>
    <definedName name="congmongdon">#REF!</definedName>
    <definedName name="congpanen" localSheetId="8">#REF!</definedName>
    <definedName name="congpanen">#REF!</definedName>
    <definedName name="congsan" localSheetId="8">#REF!</definedName>
    <definedName name="congsan">#REF!</definedName>
    <definedName name="congthang" localSheetId="8">#REF!</definedName>
    <definedName name="congthang">#REF!</definedName>
    <definedName name="Congtrinhchi">#REF!</definedName>
    <definedName name="congtrinhtamung">#REF!</definedName>
    <definedName name="congty1tamung">#REF!</definedName>
    <definedName name="congtytamung">#REF!</definedName>
    <definedName name="conrua">#REF!</definedName>
    <definedName name="CONST_EQ" localSheetId="8">#REF!</definedName>
    <definedName name="CONST_EQ">#REF!</definedName>
    <definedName name="cos">#REF!</definedName>
    <definedName name="COST.020" localSheetId="4" hidden="1">#REF!</definedName>
    <definedName name="COST.020" localSheetId="5" hidden="1">#REF!</definedName>
    <definedName name="COST.020" localSheetId="6" hidden="1">#REF!</definedName>
    <definedName name="COST.020" localSheetId="7" hidden="1">#REF!</definedName>
    <definedName name="COST.020" localSheetId="8" hidden="1">#REF!</definedName>
    <definedName name="COST.020" hidden="1">#REF!</definedName>
    <definedName name="COST.030" localSheetId="4" hidden="1">#REF!</definedName>
    <definedName name="COST.030" localSheetId="5" hidden="1">#REF!</definedName>
    <definedName name="COST.030" localSheetId="6" hidden="1">#REF!</definedName>
    <definedName name="COST.030" localSheetId="7" hidden="1">#REF!</definedName>
    <definedName name="COST.030" localSheetId="8" hidden="1">#REF!</definedName>
    <definedName name="COST.030" hidden="1">#REF!</definedName>
    <definedName name="COST.040" localSheetId="4" hidden="1">#REF!</definedName>
    <definedName name="COST.040" localSheetId="5" hidden="1">#REF!</definedName>
    <definedName name="COST.040" localSheetId="6" hidden="1">#REF!</definedName>
    <definedName name="COST.040" localSheetId="7" hidden="1">#REF!</definedName>
    <definedName name="COST.040" localSheetId="8" hidden="1">#REF!</definedName>
    <definedName name="COST.040" hidden="1">#REF!</definedName>
    <definedName name="COST.050" localSheetId="4" hidden="1">#REF!</definedName>
    <definedName name="COST.050" localSheetId="5" hidden="1">#REF!</definedName>
    <definedName name="COST.050" localSheetId="6" hidden="1">#REF!</definedName>
    <definedName name="COST.050" localSheetId="7" hidden="1">#REF!</definedName>
    <definedName name="COST.050" localSheetId="8" hidden="1">#REF!</definedName>
    <definedName name="COST.050" hidden="1">#REF!</definedName>
    <definedName name="COST.060" localSheetId="4" hidden="1">#REF!</definedName>
    <definedName name="COST.060" localSheetId="5" hidden="1">#REF!</definedName>
    <definedName name="COST.060" localSheetId="6" hidden="1">#REF!</definedName>
    <definedName name="COST.060" localSheetId="7" hidden="1">#REF!</definedName>
    <definedName name="COST.060" localSheetId="8" hidden="1">#REF!</definedName>
    <definedName name="COST.060" hidden="1">#REF!</definedName>
    <definedName name="COST.070" localSheetId="4" hidden="1">#REF!</definedName>
    <definedName name="COST.070" localSheetId="5" hidden="1">#REF!</definedName>
    <definedName name="COST.070" localSheetId="6" hidden="1">#REF!</definedName>
    <definedName name="COST.070" localSheetId="7" hidden="1">#REF!</definedName>
    <definedName name="COST.070" localSheetId="8" hidden="1">#REF!</definedName>
    <definedName name="COST.070" hidden="1">#REF!</definedName>
    <definedName name="COST.080" localSheetId="4" hidden="1">#REF!</definedName>
    <definedName name="COST.080" localSheetId="5" hidden="1">#REF!</definedName>
    <definedName name="COST.080" localSheetId="6" hidden="1">#REF!</definedName>
    <definedName name="COST.080" localSheetId="7" hidden="1">#REF!</definedName>
    <definedName name="COST.080" localSheetId="8" hidden="1">#REF!</definedName>
    <definedName name="COST.080" hidden="1">#REF!</definedName>
    <definedName name="COST.100" localSheetId="4" hidden="1">#REF!</definedName>
    <definedName name="COST.100" localSheetId="5" hidden="1">#REF!</definedName>
    <definedName name="COST.100" localSheetId="6" hidden="1">#REF!</definedName>
    <definedName name="COST.100" localSheetId="7" hidden="1">#REF!</definedName>
    <definedName name="COST.100" localSheetId="8" hidden="1">#REF!</definedName>
    <definedName name="COST.100" hidden="1">#REF!</definedName>
    <definedName name="COST.110" localSheetId="4" hidden="1">#REF!</definedName>
    <definedName name="COST.110" localSheetId="5" hidden="1">#REF!</definedName>
    <definedName name="COST.110" localSheetId="6" hidden="1">#REF!</definedName>
    <definedName name="COST.110" localSheetId="7" hidden="1">#REF!</definedName>
    <definedName name="COST.110" localSheetId="8" hidden="1">#REF!</definedName>
    <definedName name="COST.110" hidden="1">#REF!</definedName>
    <definedName name="COST.120" localSheetId="4" hidden="1">#REF!</definedName>
    <definedName name="COST.120" localSheetId="5" hidden="1">#REF!</definedName>
    <definedName name="COST.120" localSheetId="6" hidden="1">#REF!</definedName>
    <definedName name="COST.120" localSheetId="7" hidden="1">#REF!</definedName>
    <definedName name="COST.120" localSheetId="8" hidden="1">#REF!</definedName>
    <definedName name="COST.120" hidden="1">#REF!</definedName>
    <definedName name="COST.130" localSheetId="4" hidden="1">#REF!</definedName>
    <definedName name="COST.130" localSheetId="5" hidden="1">#REF!</definedName>
    <definedName name="COST.130" localSheetId="6" hidden="1">#REF!</definedName>
    <definedName name="COST.130" localSheetId="7" hidden="1">#REF!</definedName>
    <definedName name="COST.130" localSheetId="8" hidden="1">#REF!</definedName>
    <definedName name="COST.130" hidden="1">#REF!</definedName>
    <definedName name="COST.140" localSheetId="4" hidden="1">#REF!</definedName>
    <definedName name="COST.140" localSheetId="5" hidden="1">#REF!</definedName>
    <definedName name="COST.140" localSheetId="6" hidden="1">#REF!</definedName>
    <definedName name="COST.140" localSheetId="7" hidden="1">#REF!</definedName>
    <definedName name="COST.140" localSheetId="8" hidden="1">#REF!</definedName>
    <definedName name="COST.140" hidden="1">#REF!</definedName>
    <definedName name="COST.150" localSheetId="4" hidden="1">#REF!</definedName>
    <definedName name="COST.150" localSheetId="5" hidden="1">#REF!</definedName>
    <definedName name="COST.150" localSheetId="6" hidden="1">#REF!</definedName>
    <definedName name="COST.150" localSheetId="7" hidden="1">#REF!</definedName>
    <definedName name="COST.150" localSheetId="8" hidden="1">#REF!</definedName>
    <definedName name="COST.150" hidden="1">#REF!</definedName>
    <definedName name="COST.210" localSheetId="4" hidden="1">#REF!</definedName>
    <definedName name="COST.210" localSheetId="5" hidden="1">#REF!</definedName>
    <definedName name="COST.210" localSheetId="6" hidden="1">#REF!</definedName>
    <definedName name="COST.210" localSheetId="7" hidden="1">#REF!</definedName>
    <definedName name="COST.210" localSheetId="8" hidden="1">#REF!</definedName>
    <definedName name="COST.210" hidden="1">#REF!</definedName>
    <definedName name="COST.220" localSheetId="4" hidden="1">#REF!</definedName>
    <definedName name="COST.220" localSheetId="5" hidden="1">#REF!</definedName>
    <definedName name="COST.220" localSheetId="6" hidden="1">#REF!</definedName>
    <definedName name="COST.220" localSheetId="7" hidden="1">#REF!</definedName>
    <definedName name="COST.220" localSheetId="8" hidden="1">#REF!</definedName>
    <definedName name="COST.220" hidden="1">#REF!</definedName>
    <definedName name="COST.230" localSheetId="4" hidden="1">#REF!</definedName>
    <definedName name="COST.230" localSheetId="5" hidden="1">#REF!</definedName>
    <definedName name="COST.230" localSheetId="6" hidden="1">#REF!</definedName>
    <definedName name="COST.230" localSheetId="7" hidden="1">#REF!</definedName>
    <definedName name="COST.230" localSheetId="8" hidden="1">#REF!</definedName>
    <definedName name="COST.230" hidden="1">#REF!</definedName>
    <definedName name="COST.240" localSheetId="4" hidden="1">#REF!</definedName>
    <definedName name="COST.240" localSheetId="5" hidden="1">#REF!</definedName>
    <definedName name="COST.240" localSheetId="6" hidden="1">#REF!</definedName>
    <definedName name="COST.240" localSheetId="7" hidden="1">#REF!</definedName>
    <definedName name="COST.240" localSheetId="8" hidden="1">#REF!</definedName>
    <definedName name="COST.240" hidden="1">#REF!</definedName>
    <definedName name="COST.270" localSheetId="4" hidden="1">#REF!</definedName>
    <definedName name="COST.270" localSheetId="5" hidden="1">#REF!</definedName>
    <definedName name="COST.270" localSheetId="6" hidden="1">#REF!</definedName>
    <definedName name="COST.270" localSheetId="7" hidden="1">#REF!</definedName>
    <definedName name="COST.270" localSheetId="8" hidden="1">#REF!</definedName>
    <definedName name="COST.270" hidden="1">#REF!</definedName>
    <definedName name="COST.280" localSheetId="4" hidden="1">#REF!</definedName>
    <definedName name="COST.280" localSheetId="5" hidden="1">#REF!</definedName>
    <definedName name="COST.280" localSheetId="6" hidden="1">#REF!</definedName>
    <definedName name="COST.280" localSheetId="7" hidden="1">#REF!</definedName>
    <definedName name="COST.280" localSheetId="8" hidden="1">#REF!</definedName>
    <definedName name="COST.280" hidden="1">#REF!</definedName>
    <definedName name="COST.300" localSheetId="4" hidden="1">#REF!</definedName>
    <definedName name="COST.300" localSheetId="5" hidden="1">#REF!</definedName>
    <definedName name="COST.300" localSheetId="6" hidden="1">#REF!</definedName>
    <definedName name="COST.300" localSheetId="7" hidden="1">#REF!</definedName>
    <definedName name="COST.300" localSheetId="8" hidden="1">#REF!</definedName>
    <definedName name="COST.300" hidden="1">#REF!</definedName>
    <definedName name="COST.320" localSheetId="4" hidden="1">#REF!</definedName>
    <definedName name="COST.320" localSheetId="5" hidden="1">#REF!</definedName>
    <definedName name="COST.320" localSheetId="6" hidden="1">#REF!</definedName>
    <definedName name="COST.320" localSheetId="7" hidden="1">#REF!</definedName>
    <definedName name="COST.320" localSheetId="8" hidden="1">#REF!</definedName>
    <definedName name="COST.320" hidden="1">#REF!</definedName>
    <definedName name="COST.330" localSheetId="4" hidden="1">#REF!</definedName>
    <definedName name="COST.330" localSheetId="5" hidden="1">#REF!</definedName>
    <definedName name="COST.330" localSheetId="6" hidden="1">#REF!</definedName>
    <definedName name="COST.330" localSheetId="7" hidden="1">#REF!</definedName>
    <definedName name="COST.330" localSheetId="8" hidden="1">#REF!</definedName>
    <definedName name="COST.330" hidden="1">#REF!</definedName>
    <definedName name="COST.350" localSheetId="4" hidden="1">#REF!</definedName>
    <definedName name="COST.350" localSheetId="5" hidden="1">#REF!</definedName>
    <definedName name="COST.350" localSheetId="6" hidden="1">#REF!</definedName>
    <definedName name="COST.350" localSheetId="7" hidden="1">#REF!</definedName>
    <definedName name="COST.350" localSheetId="8" hidden="1">#REF!</definedName>
    <definedName name="COST.350" hidden="1">#REF!</definedName>
    <definedName name="COST.360" localSheetId="4" hidden="1">#REF!</definedName>
    <definedName name="COST.360" localSheetId="5" hidden="1">#REF!</definedName>
    <definedName name="COST.360" localSheetId="6" hidden="1">#REF!</definedName>
    <definedName name="COST.360" localSheetId="7" hidden="1">#REF!</definedName>
    <definedName name="COST.360" localSheetId="8" hidden="1">#REF!</definedName>
    <definedName name="COST.360" hidden="1">#REF!</definedName>
    <definedName name="COST.370" localSheetId="4" hidden="1">#REF!</definedName>
    <definedName name="COST.370" localSheetId="5" hidden="1">#REF!</definedName>
    <definedName name="COST.370" localSheetId="6" hidden="1">#REF!</definedName>
    <definedName name="COST.370" localSheetId="7" hidden="1">#REF!</definedName>
    <definedName name="COST.370" localSheetId="8" hidden="1">#REF!</definedName>
    <definedName name="COST.370" hidden="1">#REF!</definedName>
    <definedName name="COST.380" localSheetId="4" hidden="1">#REF!</definedName>
    <definedName name="COST.380" localSheetId="5" hidden="1">#REF!</definedName>
    <definedName name="COST.380" localSheetId="6" hidden="1">#REF!</definedName>
    <definedName name="COST.380" localSheetId="7" hidden="1">#REF!</definedName>
    <definedName name="COST.380" localSheetId="8" hidden="1">#REF!</definedName>
    <definedName name="COST.380" hidden="1">#REF!</definedName>
    <definedName name="COST.400" localSheetId="4" hidden="1">#REF!</definedName>
    <definedName name="COST.400" localSheetId="5" hidden="1">#REF!</definedName>
    <definedName name="COST.400" localSheetId="6" hidden="1">#REF!</definedName>
    <definedName name="COST.400" localSheetId="7" hidden="1">#REF!</definedName>
    <definedName name="COST.400" localSheetId="8" hidden="1">#REF!</definedName>
    <definedName name="COST.400" hidden="1">#REF!</definedName>
    <definedName name="COST290" localSheetId="4" hidden="1">#REF!</definedName>
    <definedName name="COST290" localSheetId="5" hidden="1">#REF!</definedName>
    <definedName name="COST290" localSheetId="6" hidden="1">#REF!</definedName>
    <definedName name="COST290" localSheetId="7" hidden="1">#REF!</definedName>
    <definedName name="COST290" localSheetId="8" hidden="1">#REF!</definedName>
    <definedName name="COST290" hidden="1">#REF!</definedName>
    <definedName name="cot">#REF!</definedName>
    <definedName name="Cot_thep">#REF!</definedName>
    <definedName name="cot12b">#REF!</definedName>
    <definedName name="cot7.5" localSheetId="8">#REF!</definedName>
    <definedName name="cot7.5">#REF!</definedName>
    <definedName name="cot8.5" localSheetId="8">#REF!</definedName>
    <definedName name="cot8.5">#REF!</definedName>
    <definedName name="cottron" localSheetId="8">#REF!</definedName>
    <definedName name="cottron">#REF!</definedName>
    <definedName name="cotvuong" localSheetId="8">#REF!</definedName>
    <definedName name="cotvuong">#REF!</definedName>
    <definedName name="cotycap" localSheetId="1" hidden="1">{"'Sheet1'!$L$16"}</definedName>
    <definedName name="cotycap" localSheetId="2" hidden="1">{"'Sheet1'!$L$16"}</definedName>
    <definedName name="cotycap" localSheetId="4" hidden="1">{"'Sheet1'!$L$16"}</definedName>
    <definedName name="cotycap" localSheetId="5" hidden="1">{"'Sheet1'!$L$16"}</definedName>
    <definedName name="cotycap" localSheetId="6" hidden="1">{"'Sheet1'!$L$16"}</definedName>
    <definedName name="cotycap" localSheetId="7" hidden="1">{"'Sheet1'!$L$16"}</definedName>
    <definedName name="cotycap" localSheetId="8" hidden="1">{"'Sheet1'!$L$16"}</definedName>
    <definedName name="cotycap" hidden="1">{"'Sheet1'!$L$16"}</definedName>
    <definedName name="COVER" localSheetId="8">#REF!</definedName>
    <definedName name="COVER">#REF!</definedName>
    <definedName name="CP.M14.1a" localSheetId="8">#REF!</definedName>
    <definedName name="CP.M14.1a">#REF!</definedName>
    <definedName name="CP.M14.1b" localSheetId="8">#REF!</definedName>
    <definedName name="CP.M14.1b">#REF!</definedName>
    <definedName name="CP.M14.1c" localSheetId="8">#REF!</definedName>
    <definedName name="CP.M14.1c">#REF!</definedName>
    <definedName name="CP.M14.1d" localSheetId="8">#REF!</definedName>
    <definedName name="CP.M14.1d">#REF!</definedName>
    <definedName name="CP.M14.1e" localSheetId="8">#REF!</definedName>
    <definedName name="CP.M14.1e">#REF!</definedName>
    <definedName name="CP.M14.2a" localSheetId="8">#REF!</definedName>
    <definedName name="CP.M14.2a">#REF!</definedName>
    <definedName name="CP.M14.2b" localSheetId="8">#REF!</definedName>
    <definedName name="CP.M14.2b">#REF!</definedName>
    <definedName name="CP.M14.2c" localSheetId="8">#REF!</definedName>
    <definedName name="CP.M14.2c">#REF!</definedName>
    <definedName name="CP.M14.2d" localSheetId="8">#REF!</definedName>
    <definedName name="CP.M14.2d">#REF!</definedName>
    <definedName name="CP.M14.2e" localSheetId="8">#REF!</definedName>
    <definedName name="CP.M14.2e">#REF!</definedName>
    <definedName name="CP.MTCata" localSheetId="8">#REF!</definedName>
    <definedName name="CP.MTCata">#REF!</definedName>
    <definedName name="CP.MTCatb" localSheetId="8">#REF!</definedName>
    <definedName name="CP.MTCatb">#REF!</definedName>
    <definedName name="CP.MTCatc" localSheetId="8">#REF!</definedName>
    <definedName name="CP.MTCatc">#REF!</definedName>
    <definedName name="CP.MTCatd" localSheetId="8">#REF!</definedName>
    <definedName name="CP.MTCatd">#REF!</definedName>
    <definedName name="CP.MTCate" localSheetId="8">#REF!</definedName>
    <definedName name="CP.MTCate">#REF!</definedName>
    <definedName name="CPC" localSheetId="8">#REF!</definedName>
    <definedName name="CPC">#REF!</definedName>
    <definedName name="CPCNT">#REF!</definedName>
    <definedName name="cpd">#REF!</definedName>
    <definedName name="cpdd">#REF!</definedName>
    <definedName name="cpdd1" localSheetId="8">#REF!</definedName>
    <definedName name="cpdd1">#REF!</definedName>
    <definedName name="cpdd2">#REF!</definedName>
    <definedName name="cpddhh" localSheetId="8">#REF!</definedName>
    <definedName name="cpddhh">#REF!</definedName>
    <definedName name="CPK" localSheetId="8">#REF!</definedName>
    <definedName name="CPK">#REF!</definedName>
    <definedName name="cpkhTT" localSheetId="8">#REF!</definedName>
    <definedName name="cpkhTT">#REF!</definedName>
    <definedName name="CPVC100" localSheetId="8">#REF!</definedName>
    <definedName name="CPVC100">#REF!</definedName>
    <definedName name="CPVC1KM">#REF!</definedName>
    <definedName name="CPVCDN">#REF!</definedName>
    <definedName name="CPX" localSheetId="8">#REF!</definedName>
    <definedName name="CPX">#REF!</definedName>
    <definedName name="CPXD" localSheetId="1" hidden="1">{"'Sheet1'!$L$16"}</definedName>
    <definedName name="CPXD" localSheetId="2" hidden="1">{"'Sheet1'!$L$16"}</definedName>
    <definedName name="CPXD" localSheetId="4" hidden="1">{"'Sheet1'!$L$16"}</definedName>
    <definedName name="CPXD" localSheetId="5" hidden="1">{"'Sheet1'!$L$16"}</definedName>
    <definedName name="CPXD" localSheetId="6" hidden="1">{"'Sheet1'!$L$16"}</definedName>
    <definedName name="CPXD" localSheetId="7" hidden="1">{"'Sheet1'!$L$16"}</definedName>
    <definedName name="CPXD" localSheetId="8" hidden="1">{"'Sheet1'!$L$16"}</definedName>
    <definedName name="CPXD" hidden="1">{"'Sheet1'!$L$16"}</definedName>
    <definedName name="CPY" localSheetId="8">#REF!</definedName>
    <definedName name="CPY">#REF!</definedName>
    <definedName name="cr">#REF!</definedName>
    <definedName name="CRD" localSheetId="8">#REF!</definedName>
    <definedName name="CRD">#REF!</definedName>
    <definedName name="CRIT1" localSheetId="8">#REF!</definedName>
    <definedName name="CRIT1">#REF!</definedName>
    <definedName name="CRIT10" localSheetId="8">#REF!</definedName>
    <definedName name="CRIT10">#REF!</definedName>
    <definedName name="CRIT2" localSheetId="8">#REF!</definedName>
    <definedName name="CRIT2">#REF!</definedName>
    <definedName name="CRIT3" localSheetId="8">#REF!</definedName>
    <definedName name="CRIT3">#REF!</definedName>
    <definedName name="CRIT4" localSheetId="8">#REF!</definedName>
    <definedName name="CRIT4">#REF!</definedName>
    <definedName name="CRIT5" localSheetId="8">#REF!</definedName>
    <definedName name="CRIT5">#REF!</definedName>
    <definedName name="CRIT6" localSheetId="8">#REF!</definedName>
    <definedName name="CRIT6">#REF!</definedName>
    <definedName name="CRIT7" localSheetId="8">#REF!</definedName>
    <definedName name="CRIT7">#REF!</definedName>
    <definedName name="CRIT8" localSheetId="8">#REF!</definedName>
    <definedName name="CRIT8">#REF!</definedName>
    <definedName name="CRIT9" localSheetId="8">#REF!</definedName>
    <definedName name="CRIT9">#REF!</definedName>
    <definedName name="_xlnm.Criteria" localSheetId="8">#REF!</definedName>
    <definedName name="_xlnm.Criteria">#REF!</definedName>
    <definedName name="CRITINST" localSheetId="8">#REF!</definedName>
    <definedName name="CRITINST">#REF!</definedName>
    <definedName name="CRITPURC" localSheetId="8">#REF!</definedName>
    <definedName name="CRITPURC">#REF!</definedName>
    <definedName name="Cro_section" localSheetId="8">#REF!</definedName>
    <definedName name="Cro_section">#REF!</definedName>
    <definedName name="CRS" localSheetId="8">#REF!</definedName>
    <definedName name="CRS">#REF!</definedName>
    <definedName name="CS" localSheetId="8">#REF!</definedName>
    <definedName name="CS">#REF!</definedName>
    <definedName name="CS_10" localSheetId="8">#REF!</definedName>
    <definedName name="CS_10">#REF!</definedName>
    <definedName name="CS_100" localSheetId="8">#REF!</definedName>
    <definedName name="CS_100">#REF!</definedName>
    <definedName name="CS_10S" localSheetId="8">#REF!</definedName>
    <definedName name="CS_10S">#REF!</definedName>
    <definedName name="CS_120" localSheetId="8">#REF!</definedName>
    <definedName name="CS_120">#REF!</definedName>
    <definedName name="CS_140" localSheetId="8">#REF!</definedName>
    <definedName name="CS_140">#REF!</definedName>
    <definedName name="CS_160" localSheetId="8">#REF!</definedName>
    <definedName name="CS_160">#REF!</definedName>
    <definedName name="CS_20" localSheetId="8">#REF!</definedName>
    <definedName name="CS_20">#REF!</definedName>
    <definedName name="CS_30" localSheetId="8">#REF!</definedName>
    <definedName name="CS_30">#REF!</definedName>
    <definedName name="CS_40" localSheetId="8">#REF!</definedName>
    <definedName name="CS_40">#REF!</definedName>
    <definedName name="CS_40S" localSheetId="8">#REF!</definedName>
    <definedName name="CS_40S">#REF!</definedName>
    <definedName name="CS_5S" localSheetId="8">#REF!</definedName>
    <definedName name="CS_5S">#REF!</definedName>
    <definedName name="CS_60" localSheetId="8">#REF!</definedName>
    <definedName name="CS_60">#REF!</definedName>
    <definedName name="CS_80" localSheetId="8">#REF!</definedName>
    <definedName name="CS_80">#REF!</definedName>
    <definedName name="CS_80S" localSheetId="8">#REF!</definedName>
    <definedName name="CS_80S">#REF!</definedName>
    <definedName name="CS_STD" localSheetId="8">#REF!</definedName>
    <definedName name="CS_STD">#REF!</definedName>
    <definedName name="CS_XS" localSheetId="8">#REF!</definedName>
    <definedName name="CS_XS">#REF!</definedName>
    <definedName name="CS_XXS" localSheetId="8">#REF!</definedName>
    <definedName name="CS_XXS">#REF!</definedName>
    <definedName name="CSau" localSheetId="8">#REF!</definedName>
    <definedName name="CSau">#REF!</definedName>
    <definedName name="csd3p" localSheetId="8">#REF!</definedName>
    <definedName name="csd3p">#REF!</definedName>
    <definedName name="csddg1p" localSheetId="8">#REF!</definedName>
    <definedName name="csddg1p">#REF!</definedName>
    <definedName name="csddt1p" localSheetId="8">#REF!</definedName>
    <definedName name="csddt1p">#REF!</definedName>
    <definedName name="csht3p" localSheetId="8">#REF!</definedName>
    <definedName name="csht3p">#REF!</definedName>
    <definedName name="CSX" localSheetId="8">#REF!</definedName>
    <definedName name="CSX">#REF!</definedName>
    <definedName name="CSY" localSheetId="8">#REF!</definedName>
    <definedName name="CSY">#REF!</definedName>
    <definedName name="ct" localSheetId="8">#REF!</definedName>
    <definedName name="ct">#REF!</definedName>
    <definedName name="CT.M14.1" localSheetId="8">#REF!</definedName>
    <definedName name="CT.M14.1">#REF!</definedName>
    <definedName name="CT.M14.2" localSheetId="8">#REF!</definedName>
    <definedName name="CT.M14.2">#REF!</definedName>
    <definedName name="CT.MTCat" localSheetId="8">#REF!</definedName>
    <definedName name="CT.MTCat">#REF!</definedName>
    <definedName name="CT_03">#REF!</definedName>
    <definedName name="CT_141" localSheetId="8">#REF!</definedName>
    <definedName name="CT_141">#REF!</definedName>
    <definedName name="CT_50" localSheetId="8">#REF!</definedName>
    <definedName name="CT_50">#REF!</definedName>
    <definedName name="CT_KSTK" localSheetId="8">#REF!</definedName>
    <definedName name="CT_KSTK">#REF!</definedName>
    <definedName name="CT0.4" localSheetId="8">#REF!</definedName>
    <definedName name="CT0.4">#REF!</definedName>
    <definedName name="ct3_" localSheetId="8">#REF!</definedName>
    <definedName name="ct3_">#REF!</definedName>
    <definedName name="ct5_" localSheetId="8">#REF!</definedName>
    <definedName name="ct5_">#REF!</definedName>
    <definedName name="Ctb" localSheetId="8">#REF!</definedName>
    <definedName name="Ctb">#REF!</definedName>
    <definedName name="ctbb" localSheetId="8">#REF!</definedName>
    <definedName name="ctbb">#REF!</definedName>
    <definedName name="ctbbt" localSheetId="1" hidden="1">{"'Sheet1'!$L$16"}</definedName>
    <definedName name="ctbbt" localSheetId="2" hidden="1">{"'Sheet1'!$L$16"}</definedName>
    <definedName name="ctbbt" localSheetId="3" hidden="1">{"'Sheet1'!$L$16"}</definedName>
    <definedName name="ctbbt" localSheetId="4" hidden="1">{"'Sheet1'!$L$16"}</definedName>
    <definedName name="ctbbt" localSheetId="5" hidden="1">{"'Sheet1'!$L$16"}</definedName>
    <definedName name="ctbbt" localSheetId="6" hidden="1">{"'Sheet1'!$L$16"}</definedName>
    <definedName name="ctbbt" localSheetId="7" hidden="1">{"'Sheet1'!$L$16"}</definedName>
    <definedName name="ctbbt" localSheetId="8" hidden="1">{"'Sheet1'!$L$16"}</definedName>
    <definedName name="ctbbt" hidden="1">{"'Sheet1'!$L$16"}</definedName>
    <definedName name="CTBT" localSheetId="8">#REF!</definedName>
    <definedName name="CTBT">#REF!</definedName>
    <definedName name="CTBT1" localSheetId="8">#REF!</definedName>
    <definedName name="CTBT1">#REF!</definedName>
    <definedName name="CTBT2" localSheetId="8">#REF!</definedName>
    <definedName name="CTBT2">#REF!</definedName>
    <definedName name="CTCT" localSheetId="8">#REF!</definedName>
    <definedName name="CTCT">#REF!</definedName>
    <definedName name="CTCT1" localSheetId="1" hidden="1">{"'Sheet1'!$L$16"}</definedName>
    <definedName name="CTCT1" localSheetId="2" hidden="1">{"'Sheet1'!$L$16"}</definedName>
    <definedName name="CTCT1" localSheetId="3" hidden="1">{"'Sheet1'!$L$16"}</definedName>
    <definedName name="CTCT1" localSheetId="4" hidden="1">{"'Sheet1'!$L$16"}</definedName>
    <definedName name="CTCT1" localSheetId="5" hidden="1">{"'Sheet1'!$L$16"}</definedName>
    <definedName name="CTCT1" localSheetId="6" hidden="1">{"'Sheet1'!$L$16"}</definedName>
    <definedName name="CTCT1" localSheetId="7" hidden="1">{"'Sheet1'!$L$16"}</definedName>
    <definedName name="CTCT1" localSheetId="8" hidden="1">{"'Sheet1'!$L$16"}</definedName>
    <definedName name="CTCT1" hidden="1">{"'Sheet1'!$L$16"}</definedName>
    <definedName name="ctct2" localSheetId="1" hidden="1">{"'Sheet1'!$L$16"}</definedName>
    <definedName name="ctct2" localSheetId="2" hidden="1">{"'Sheet1'!$L$16"}</definedName>
    <definedName name="ctct2" localSheetId="3" hidden="1">{"'Sheet1'!$L$16"}</definedName>
    <definedName name="ctct2" localSheetId="4" hidden="1">{"'Sheet1'!$L$16"}</definedName>
    <definedName name="ctct2" localSheetId="5" hidden="1">{"'Sheet1'!$L$16"}</definedName>
    <definedName name="ctct2" localSheetId="6" hidden="1">{"'Sheet1'!$L$16"}</definedName>
    <definedName name="ctct2" localSheetId="7" hidden="1">{"'Sheet1'!$L$16"}</definedName>
    <definedName name="ctct2" localSheetId="8" hidden="1">{"'Sheet1'!$L$16"}</definedName>
    <definedName name="ctct2" hidden="1">{"'Sheet1'!$L$16"}</definedName>
    <definedName name="ctdn9697" localSheetId="8">#REF!</definedName>
    <definedName name="ctdn9697">#REF!</definedName>
    <definedName name="CTGS" localSheetId="8">#REF!</definedName>
    <definedName name="CTGS">#REF!</definedName>
    <definedName name="CTHT">#REF!</definedName>
    <definedName name="cti3x15" localSheetId="8">#REF!</definedName>
    <definedName name="cti3x15">#REF!</definedName>
    <definedName name="ctiep" localSheetId="8">#REF!</definedName>
    <definedName name="ctiep">#REF!</definedName>
    <definedName name="ctieu" localSheetId="1" hidden="1">{"'Sheet1'!$L$16"}</definedName>
    <definedName name="ctieu" localSheetId="2" hidden="1">{"'Sheet1'!$L$16"}</definedName>
    <definedName name="ctieu" localSheetId="4" hidden="1">{"'Sheet1'!$L$16"}</definedName>
    <definedName name="ctieu" localSheetId="5" hidden="1">{"'Sheet1'!$L$16"}</definedName>
    <definedName name="ctieu" localSheetId="6" hidden="1">{"'Sheet1'!$L$16"}</definedName>
    <definedName name="ctieu" localSheetId="7" hidden="1">{"'Sheet1'!$L$16"}</definedName>
    <definedName name="ctieu" localSheetId="8" hidden="1">{"'Sheet1'!$L$16"}</definedName>
    <definedName name="ctieu" hidden="1">{"'Sheet1'!$L$16"}</definedName>
    <definedName name="CTieu_H" localSheetId="8">#REF!</definedName>
    <definedName name="CTieu_H">#REF!</definedName>
    <definedName name="CTieuXB" localSheetId="8">#REF!</definedName>
    <definedName name="CTieuXB">#REF!</definedName>
    <definedName name="ctinh">#REF!</definedName>
    <definedName name="ctmai" localSheetId="8">#REF!</definedName>
    <definedName name="ctmai">#REF!</definedName>
    <definedName name="CTNC">#REF!</definedName>
    <definedName name="cto" localSheetId="8">#REF!</definedName>
    <definedName name="cto">#REF!</definedName>
    <definedName name="ctong" localSheetId="8">#REF!</definedName>
    <definedName name="ctong">#REF!</definedName>
    <definedName name="ctre" localSheetId="8">#REF!</definedName>
    <definedName name="ctre">#REF!</definedName>
    <definedName name="ctt">#REF!</definedName>
    <definedName name="CTTC" localSheetId="8">#REF!&amp;#REF!</definedName>
    <definedName name="CTTC">#REF!&amp;#REF!</definedName>
    <definedName name="CTVL">#REF!</definedName>
    <definedName name="cu" localSheetId="8">#REF!</definedName>
    <definedName name="cu">#REF!</definedName>
    <definedName name="cu_ly" localSheetId="8">#REF!</definedName>
    <definedName name="cu_ly">#REF!</definedName>
    <definedName name="cu_ly_1">#REF!</definedName>
    <definedName name="cui" localSheetId="8">#REF!</definedName>
    <definedName name="cui">#REF!</definedName>
    <definedName name="CuLy" localSheetId="8">#REF!</definedName>
    <definedName name="CuLy">#REF!</definedName>
    <definedName name="CuLy_Q" localSheetId="8">#REF!</definedName>
    <definedName name="CuLy_Q">#REF!</definedName>
    <definedName name="culy1" localSheetId="8">#REF!</definedName>
    <definedName name="culy1">#REF!</definedName>
    <definedName name="culy2" localSheetId="8">#REF!</definedName>
    <definedName name="culy2">#REF!</definedName>
    <definedName name="culy3" localSheetId="8">#REF!</definedName>
    <definedName name="culy3">#REF!</definedName>
    <definedName name="culy4" localSheetId="8">#REF!</definedName>
    <definedName name="culy4">#REF!</definedName>
    <definedName name="culy5" localSheetId="8">#REF!</definedName>
    <definedName name="culy5">#REF!</definedName>
    <definedName name="cung" localSheetId="1" hidden="1">{"'Sheet1'!$L$16"}</definedName>
    <definedName name="cung" localSheetId="2" hidden="1">{"'Sheet1'!$L$16"}</definedName>
    <definedName name="cung" localSheetId="3" hidden="1">{"'Sheet1'!$L$16"}</definedName>
    <definedName name="cung" localSheetId="4" hidden="1">{"'Sheet1'!$L$16"}</definedName>
    <definedName name="cung" localSheetId="5" hidden="1">{"'Sheet1'!$L$16"}</definedName>
    <definedName name="cung" localSheetId="6" hidden="1">{"'Sheet1'!$L$16"}</definedName>
    <definedName name="cung" localSheetId="7" hidden="1">{"'Sheet1'!$L$16"}</definedName>
    <definedName name="cung" localSheetId="8" hidden="1">{"'Sheet1'!$L$16"}</definedName>
    <definedName name="cung" hidden="1">{"'Sheet1'!$L$16"}</definedName>
    <definedName name="cuoc" localSheetId="8">#REF!</definedName>
    <definedName name="cuoc">#REF!</definedName>
    <definedName name="cuoc_vc" localSheetId="8">#REF!</definedName>
    <definedName name="cuoc_vc">#REF!</definedName>
    <definedName name="Cuoc_vc_1">#REF!</definedName>
    <definedName name="CuocVC" localSheetId="8">#REF!</definedName>
    <definedName name="CuocVC">#REF!</definedName>
    <definedName name="CURRENCY" localSheetId="8">#REF!</definedName>
    <definedName name="CURRENCY">#REF!</definedName>
    <definedName name="cv">#REF!</definedName>
    <definedName name="CV.M14.1" localSheetId="8">#REF!</definedName>
    <definedName name="CV.M14.1">#REF!</definedName>
    <definedName name="CV.M14.2" localSheetId="8">#REF!</definedName>
    <definedName name="CV.M14.2">#REF!</definedName>
    <definedName name="CV.MTCat" localSheetId="8">#REF!</definedName>
    <definedName name="CV.MTCat">#REF!</definedName>
    <definedName name="CVC_Q" localSheetId="8">#REF!</definedName>
    <definedName name="CVC_Q">#REF!</definedName>
    <definedName name="cx" localSheetId="8">#REF!</definedName>
    <definedName name="cx">#REF!</definedName>
    <definedName name="cxhtnc" localSheetId="8">#REF!</definedName>
    <definedName name="cxhtnc">#REF!</definedName>
    <definedName name="cxhtvl" localSheetId="8">#REF!</definedName>
    <definedName name="cxhtvl">#REF!</definedName>
    <definedName name="cxnc" localSheetId="8">#REF!</definedName>
    <definedName name="cxnc">#REF!</definedName>
    <definedName name="cxvl" localSheetId="8">#REF!</definedName>
    <definedName name="cxvl">#REF!</definedName>
    <definedName name="cxvv" localSheetId="1" hidden="1">{"'Sheet1'!$L$16"}</definedName>
    <definedName name="cxvv" localSheetId="2" hidden="1">{"'Sheet1'!$L$16"}</definedName>
    <definedName name="cxvv" localSheetId="4" hidden="1">{"'Sheet1'!$L$16"}</definedName>
    <definedName name="cxvv" localSheetId="5" hidden="1">{"'Sheet1'!$L$16"}</definedName>
    <definedName name="cxvv" localSheetId="6" hidden="1">{"'Sheet1'!$L$16"}</definedName>
    <definedName name="cxvv" localSheetId="7" hidden="1">{"'Sheet1'!$L$16"}</definedName>
    <definedName name="cxvv" localSheetId="8" hidden="1">{"'Sheet1'!$L$16"}</definedName>
    <definedName name="cxvv" hidden="1">{"'Sheet1'!$L$16"}</definedName>
    <definedName name="cxxnc" localSheetId="8">#REF!</definedName>
    <definedName name="cxxnc">#REF!</definedName>
    <definedName name="cxxvl" localSheetId="8">#REF!</definedName>
    <definedName name="cxxvl">#REF!</definedName>
    <definedName name="d" localSheetId="8">#REF!</definedName>
    <definedName name="d">#REF!</definedName>
    <definedName name="Ð">#REF!</definedName>
    <definedName name="d.d" localSheetId="8">#REF!</definedName>
    <definedName name="d.d">#REF!</definedName>
    <definedName name="d.d1" localSheetId="8">#REF!</definedName>
    <definedName name="d.d1">#REF!</definedName>
    <definedName name="d.d2" localSheetId="8">#REF!</definedName>
    <definedName name="d.d2">#REF!</definedName>
    <definedName name="D.M14.1" localSheetId="8">#REF!</definedName>
    <definedName name="D.M14.1">#REF!</definedName>
    <definedName name="D.M14.1b" localSheetId="8">#REF!</definedName>
    <definedName name="D.M14.1b">#REF!</definedName>
    <definedName name="D.M14.2" localSheetId="8">#REF!</definedName>
    <definedName name="D.M14.2">#REF!</definedName>
    <definedName name="D.M14.2b" localSheetId="8">#REF!</definedName>
    <definedName name="D.M14.2b">#REF!</definedName>
    <definedName name="D.MTCat" localSheetId="8">#REF!</definedName>
    <definedName name="D.MTCat">#REF!</definedName>
    <definedName name="D.MTCatb" localSheetId="8">#REF!</definedName>
    <definedName name="D.MTCatb">#REF!</definedName>
    <definedName name="d_1" localSheetId="8">#REF!</definedName>
    <definedName name="d_1">#REF!</definedName>
    <definedName name="d_1I" localSheetId="8">#REF!</definedName>
    <definedName name="d_1I">#REF!</definedName>
    <definedName name="d_1II" localSheetId="8">#REF!</definedName>
    <definedName name="d_1II">#REF!</definedName>
    <definedName name="d_1III" localSheetId="8">#REF!</definedName>
    <definedName name="d_1III">#REF!</definedName>
    <definedName name="d_1IV" localSheetId="8">#REF!</definedName>
    <definedName name="d_1IV">#REF!</definedName>
    <definedName name="d_2" localSheetId="8">#REF!</definedName>
    <definedName name="d_2">#REF!</definedName>
    <definedName name="d_2I" localSheetId="8">#REF!</definedName>
    <definedName name="d_2I">#REF!</definedName>
    <definedName name="d_2II" localSheetId="8">#REF!</definedName>
    <definedName name="d_2II">#REF!</definedName>
    <definedName name="d_2III" localSheetId="8">#REF!</definedName>
    <definedName name="d_2III">#REF!</definedName>
    <definedName name="d_2IV" localSheetId="8">#REF!</definedName>
    <definedName name="d_2IV">#REF!</definedName>
    <definedName name="d_3" localSheetId="8">#REF!</definedName>
    <definedName name="d_3">#REF!</definedName>
    <definedName name="d_3I" localSheetId="8">#REF!</definedName>
    <definedName name="d_3I">#REF!</definedName>
    <definedName name="d_3II" localSheetId="8">#REF!</definedName>
    <definedName name="d_3II">#REF!</definedName>
    <definedName name="d_3III" localSheetId="8">#REF!</definedName>
    <definedName name="d_3III">#REF!</definedName>
    <definedName name="d_3IV" localSheetId="8">#REF!</definedName>
    <definedName name="d_3IV">#REF!</definedName>
    <definedName name="d_4" localSheetId="8">#REF!</definedName>
    <definedName name="d_4">#REF!</definedName>
    <definedName name="d_4I" localSheetId="8">#REF!</definedName>
    <definedName name="d_4I">#REF!</definedName>
    <definedName name="d_4II" localSheetId="8">#REF!</definedName>
    <definedName name="d_4II">#REF!</definedName>
    <definedName name="d_4III" localSheetId="8">#REF!</definedName>
    <definedName name="d_4III">#REF!</definedName>
    <definedName name="d_4IV" localSheetId="8">#REF!</definedName>
    <definedName name="d_4IV">#REF!</definedName>
    <definedName name="D_7101A_B" localSheetId="8">#REF!</definedName>
    <definedName name="D_7101A_B">#REF!</definedName>
    <definedName name="d_9bI" localSheetId="8">#REF!</definedName>
    <definedName name="d_9bI">#REF!</definedName>
    <definedName name="d_9bII" localSheetId="8">#REF!</definedName>
    <definedName name="d_9bII">#REF!</definedName>
    <definedName name="d_9bIII" localSheetId="8">#REF!</definedName>
    <definedName name="d_9bIII">#REF!</definedName>
    <definedName name="d_9bIV" localSheetId="8">#REF!</definedName>
    <definedName name="d_9bIV">#REF!</definedName>
    <definedName name="d_9I" localSheetId="8">#REF!</definedName>
    <definedName name="d_9I">#REF!</definedName>
    <definedName name="d_9II" localSheetId="8">#REF!</definedName>
    <definedName name="d_9II">#REF!</definedName>
    <definedName name="d_9III" localSheetId="8">#REF!</definedName>
    <definedName name="d_9III">#REF!</definedName>
    <definedName name="d_9IV" localSheetId="8">#REF!</definedName>
    <definedName name="d_9IV">#REF!</definedName>
    <definedName name="D_Gia">#REF!</definedName>
    <definedName name="D_L" localSheetId="8">#REF!</definedName>
    <definedName name="D_L">#REF!</definedName>
    <definedName name="D_y__ay">#REF!</definedName>
    <definedName name="d0">#REF!</definedName>
    <definedName name="d0.5" localSheetId="8">#REF!</definedName>
    <definedName name="d0.5">#REF!</definedName>
    <definedName name="d1.2" localSheetId="8">#REF!</definedName>
    <definedName name="d1.2">#REF!</definedName>
    <definedName name="d1_" localSheetId="8">#REF!</definedName>
    <definedName name="d1_">#REF!</definedName>
    <definedName name="D1x49" localSheetId="8">#REF!</definedName>
    <definedName name="D1x49">#REF!</definedName>
    <definedName name="D1x49x49" localSheetId="8">#REF!</definedName>
    <definedName name="D1x49x49">#REF!</definedName>
    <definedName name="d1x6" localSheetId="8">#REF!</definedName>
    <definedName name="d1x6">#REF!</definedName>
    <definedName name="d2.4" localSheetId="8">#REF!</definedName>
    <definedName name="d2.4">#REF!</definedName>
    <definedName name="d2_" localSheetId="8">#REF!</definedName>
    <definedName name="d2_">#REF!</definedName>
    <definedName name="d24nc" localSheetId="8">#REF!</definedName>
    <definedName name="d24nc">#REF!</definedName>
    <definedName name="d24vl" localSheetId="8">#REF!</definedName>
    <definedName name="d24vl">#REF!</definedName>
    <definedName name="d3_" localSheetId="8">#REF!</definedName>
    <definedName name="d3_">#REF!</definedName>
    <definedName name="D4.0">#REF!</definedName>
    <definedName name="d4.6" localSheetId="8">#REF!</definedName>
    <definedName name="d4.6">#REF!</definedName>
    <definedName name="d4_" localSheetId="8">#REF!</definedName>
    <definedName name="d4_">#REF!</definedName>
    <definedName name="d4x6" localSheetId="8">#REF!</definedName>
    <definedName name="d4x6">#REF!</definedName>
    <definedName name="d5_" localSheetId="8">#REF!</definedName>
    <definedName name="d5_">#REF!</definedName>
    <definedName name="d6.8" localSheetId="8">#REF!</definedName>
    <definedName name="d6.8">#REF!</definedName>
    <definedName name="DA" localSheetId="8">#REF!</definedName>
    <definedName name="DA">#REF!</definedName>
    <definedName name="da0.5x1">#REF!</definedName>
    <definedName name="da05x1">#REF!</definedName>
    <definedName name="da1x2" localSheetId="8">#REF!</definedName>
    <definedName name="da1x2">#REF!</definedName>
    <definedName name="Da2x4" localSheetId="8">#REF!</definedName>
    <definedName name="Da2x4">#REF!</definedName>
    <definedName name="da300x300">#REF!</definedName>
    <definedName name="Da4x6" localSheetId="8">#REF!</definedName>
    <definedName name="Da4x6">#REF!</definedName>
    <definedName name="dadad">#REF!</definedName>
    <definedName name="dadas" localSheetId="8">#REF!</definedName>
    <definedName name="dadas">#REF!</definedName>
    <definedName name="daDSD" localSheetId="1" hidden="1">{"'Sheet1'!$L$16"}</definedName>
    <definedName name="daDSD" localSheetId="2" hidden="1">{"'Sheet1'!$L$16"}</definedName>
    <definedName name="daDSD" localSheetId="4" hidden="1">{"'Sheet1'!$L$16"}</definedName>
    <definedName name="daDSD" localSheetId="5" hidden="1">{"'Sheet1'!$L$16"}</definedName>
    <definedName name="daDSD" localSheetId="6" hidden="1">{"'Sheet1'!$L$16"}</definedName>
    <definedName name="daDSD" localSheetId="7" hidden="1">{"'Sheet1'!$L$16"}</definedName>
    <definedName name="daDSD" localSheetId="8" hidden="1">{"'Sheet1'!$L$16"}</definedName>
    <definedName name="daDSD" hidden="1">{"'Sheet1'!$L$16"}</definedName>
    <definedName name="dagiang21" localSheetId="1" hidden="1">{"'Sheet1'!$L$16"}</definedName>
    <definedName name="dagiang21" localSheetId="2" hidden="1">{"'Sheet1'!$L$16"}</definedName>
    <definedName name="dagiang21" localSheetId="4" hidden="1">{"'Sheet1'!$L$16"}</definedName>
    <definedName name="dagiang21" localSheetId="5" hidden="1">{"'Sheet1'!$L$16"}</definedName>
    <definedName name="dagiang21" localSheetId="6" hidden="1">{"'Sheet1'!$L$16"}</definedName>
    <definedName name="dagiang21" localSheetId="7" hidden="1">{"'Sheet1'!$L$16"}</definedName>
    <definedName name="dagiang21" localSheetId="8" hidden="1">{"'Sheet1'!$L$16"}</definedName>
    <definedName name="dagiang21" hidden="1">{"'Sheet1'!$L$16"}</definedName>
    <definedName name="dah" localSheetId="8">#REF!</definedName>
    <definedName name="dah">#REF!</definedName>
    <definedName name="dahoc" localSheetId="8">#REF!</definedName>
    <definedName name="dahoc">#REF!</definedName>
    <definedName name="Dalan" localSheetId="8">#REF!</definedName>
    <definedName name="Dalan">#REF!</definedName>
    <definedName name="DALANPASTE" localSheetId="8">#REF!</definedName>
    <definedName name="DALANPASTE">#REF!</definedName>
    <definedName name="dam" localSheetId="8">#REF!</definedName>
    <definedName name="dam">#REF!</definedName>
    <definedName name="dam_24" localSheetId="8">#REF!</definedName>
    <definedName name="dam_24">#REF!</definedName>
    <definedName name="damban0.4" localSheetId="8">#REF!</definedName>
    <definedName name="damban0.4">#REF!</definedName>
    <definedName name="damban0.6" localSheetId="8">#REF!</definedName>
    <definedName name="damban0.6">#REF!</definedName>
    <definedName name="damban0.8" localSheetId="8">#REF!</definedName>
    <definedName name="damban0.8">#REF!</definedName>
    <definedName name="dambaoGT" localSheetId="8">#REF!</definedName>
    <definedName name="dambaoGT">#REF!</definedName>
    <definedName name="damcanh1" localSheetId="8">#REF!</definedName>
    <definedName name="damcanh1">#REF!</definedName>
    <definedName name="damchancuu5.5" localSheetId="8">#REF!</definedName>
    <definedName name="damchancuu5.5">#REF!</definedName>
    <definedName name="damchancuu9" localSheetId="8">#REF!</definedName>
    <definedName name="damchancuu9">#REF!</definedName>
    <definedName name="DamNgang" localSheetId="8">#REF!</definedName>
    <definedName name="DamNgang">#REF!</definedName>
    <definedName name="damrung15" localSheetId="8">#REF!</definedName>
    <definedName name="damrung15">#REF!</definedName>
    <definedName name="damrung18" localSheetId="8">#REF!</definedName>
    <definedName name="damrung18">#REF!</definedName>
    <definedName name="damrung8" localSheetId="8">#REF!</definedName>
    <definedName name="damrung8">#REF!</definedName>
    <definedName name="damtay60" localSheetId="8">#REF!</definedName>
    <definedName name="damtay60">#REF!</definedName>
    <definedName name="damtay80" localSheetId="8">#REF!</definedName>
    <definedName name="damtay80">#REF!</definedName>
    <definedName name="danducsan" localSheetId="8">#REF!</definedName>
    <definedName name="danducsan">#REF!</definedName>
    <definedName name="danep">#REF!</definedName>
    <definedName name="danho">#REF!</definedName>
    <definedName name="dao" localSheetId="1" hidden="1">{"'Sheet1'!$L$16"}</definedName>
    <definedName name="dao" localSheetId="2" hidden="1">{"'Sheet1'!$L$16"}</definedName>
    <definedName name="dao" localSheetId="3">#REF!</definedName>
    <definedName name="dao" localSheetId="4" hidden="1">{"'Sheet1'!$L$16"}</definedName>
    <definedName name="dao" localSheetId="5" hidden="1">{"'Sheet1'!$L$16"}</definedName>
    <definedName name="dao" localSheetId="6" hidden="1">{"'Sheet1'!$L$16"}</definedName>
    <definedName name="dao" localSheetId="7" hidden="1">{"'Sheet1'!$L$16"}</definedName>
    <definedName name="dao" localSheetId="8" hidden="1">{"'Sheet1'!$L$16"}</definedName>
    <definedName name="dao" hidden="1">{"'Sheet1'!$L$16"}</definedName>
    <definedName name="daotd">#REF!</definedName>
    <definedName name="dap" localSheetId="8">#REF!</definedName>
    <definedName name="dap">#REF!</definedName>
    <definedName name="daptd">#REF!</definedName>
    <definedName name="Dat" localSheetId="8">#REF!</definedName>
    <definedName name="Dat">#REF!</definedName>
    <definedName name="Data">#REF!</definedName>
    <definedName name="DATA_DATA2_List" localSheetId="8">#REF!</definedName>
    <definedName name="DATA_DATA2_List">#REF!</definedName>
    <definedName name="data1" localSheetId="3" hidden="1">#REF!</definedName>
    <definedName name="data1" localSheetId="4" hidden="1">#REF!</definedName>
    <definedName name="data1" localSheetId="5" hidden="1">#REF!</definedName>
    <definedName name="data1" localSheetId="6" hidden="1">#REF!</definedName>
    <definedName name="data1" localSheetId="7" hidden="1">#REF!</definedName>
    <definedName name="data1" localSheetId="8" hidden="1">#REF!</definedName>
    <definedName name="data1" hidden="1">#REF!</definedName>
    <definedName name="Data11" localSheetId="8">#REF!</definedName>
    <definedName name="Data11">#REF!</definedName>
    <definedName name="data2" localSheetId="3" hidden="1">#REF!</definedName>
    <definedName name="data2" localSheetId="4" hidden="1">#REF!</definedName>
    <definedName name="data2" localSheetId="5" hidden="1">#REF!</definedName>
    <definedName name="data2" localSheetId="6" hidden="1">#REF!</definedName>
    <definedName name="data2" localSheetId="7" hidden="1">#REF!</definedName>
    <definedName name="data2" localSheetId="8" hidden="1">#REF!</definedName>
    <definedName name="data2" hidden="1">#REF!</definedName>
    <definedName name="data3" localSheetId="3" hidden="1">#REF!</definedName>
    <definedName name="data3" localSheetId="4" hidden="1">#REF!</definedName>
    <definedName name="data3" localSheetId="5" hidden="1">#REF!</definedName>
    <definedName name="data3" localSheetId="6" hidden="1">#REF!</definedName>
    <definedName name="data3" localSheetId="7" hidden="1">#REF!</definedName>
    <definedName name="data3" localSheetId="8" hidden="1">#REF!</definedName>
    <definedName name="data3" hidden="1">#REF!</definedName>
    <definedName name="Data41" localSheetId="8">#REF!</definedName>
    <definedName name="Data41">#REF!</definedName>
    <definedName name="_xlnm.Database" localSheetId="8">#REF!</definedName>
    <definedName name="_xlnm.Database">#REF!</definedName>
    <definedName name="Dataco" localSheetId="8">#REF!</definedName>
    <definedName name="Dataco">#REF!</definedName>
    <definedName name="DataFilter" localSheetId="8">#REF!</definedName>
    <definedName name="DataFilter">#REF!</definedName>
    <definedName name="DataSort" localSheetId="8">#REF!</definedName>
    <definedName name="DataSort">#REF!</definedName>
    <definedName name="datden">#REF!</definedName>
    <definedName name="datdo" localSheetId="8">#REF!</definedName>
    <definedName name="datdo">#REF!</definedName>
    <definedName name="Date" localSheetId="8">#REF!</definedName>
    <definedName name="Date">#REF!</definedName>
    <definedName name="dathai" localSheetId="8">#REF!</definedName>
    <definedName name="dathai">#REF!</definedName>
    <definedName name="datham" localSheetId="8">#REF!</definedName>
    <definedName name="datham">#REF!</definedName>
    <definedName name="datne">#REF!</definedName>
    <definedName name="datnen" localSheetId="8">#REF!</definedName>
    <definedName name="datnen">#REF!</definedName>
    <definedName name="Dattt" localSheetId="8">#REF!</definedName>
    <definedName name="Dattt">#REF!</definedName>
    <definedName name="Datvv" localSheetId="8">#REF!</definedName>
    <definedName name="Datvv">#REF!</definedName>
    <definedName name="daù" localSheetId="1" hidden="1">{"'Sheet1'!$L$16"}</definedName>
    <definedName name="daù" localSheetId="2" hidden="1">{"'Sheet1'!$L$16"}</definedName>
    <definedName name="daù" localSheetId="4" hidden="1">{"'Sheet1'!$L$16"}</definedName>
    <definedName name="daù" localSheetId="5" hidden="1">{"'Sheet1'!$L$16"}</definedName>
    <definedName name="daù" localSheetId="6" hidden="1">{"'Sheet1'!$L$16"}</definedName>
    <definedName name="daù" localSheetId="7" hidden="1">{"'Sheet1'!$L$16"}</definedName>
    <definedName name="daù" localSheetId="8" hidden="1">{"'Sheet1'!$L$16"}</definedName>
    <definedName name="daù" hidden="1">{"'Sheet1'!$L$16"}</definedName>
    <definedName name="dauchi">#REF!</definedName>
    <definedName name="daybuoc">#REF!</definedName>
    <definedName name="daymong" localSheetId="8">#REF!</definedName>
    <definedName name="daymong">#REF!</definedName>
    <definedName name="db">#REF!</definedName>
    <definedName name="dba" localSheetId="8">#REF!</definedName>
    <definedName name="dba">#REF!</definedName>
    <definedName name="DBASE" localSheetId="8">#REF!</definedName>
    <definedName name="DBASE">#REF!</definedName>
    <definedName name="dbhdkx12.5" localSheetId="8">#REF!</definedName>
    <definedName name="dbhdkx12.5">#REF!</definedName>
    <definedName name="dbhdkx18" localSheetId="8">#REF!</definedName>
    <definedName name="dbhdkx18">#REF!</definedName>
    <definedName name="dbhdkx25" localSheetId="8">#REF!</definedName>
    <definedName name="dbhdkx25">#REF!</definedName>
    <definedName name="dbhdkx26.5" localSheetId="8">#REF!</definedName>
    <definedName name="dbhdkx26.5">#REF!</definedName>
    <definedName name="dbhdkx9" localSheetId="8">#REF!</definedName>
    <definedName name="dbhdkx9">#REF!</definedName>
    <definedName name="dbhth16" localSheetId="8">#REF!</definedName>
    <definedName name="dbhth16">#REF!</definedName>
    <definedName name="dbhth17.5" localSheetId="8">#REF!</definedName>
    <definedName name="dbhth17.5">#REF!</definedName>
    <definedName name="dbhth25" localSheetId="8">#REF!</definedName>
    <definedName name="dbhth25">#REF!</definedName>
    <definedName name="DBT" localSheetId="8">#REF!</definedName>
    <definedName name="DBT">#REF!</definedName>
    <definedName name="dc">#REF!</definedName>
    <definedName name="Dcap" localSheetId="8">#REF!</definedName>
    <definedName name="Dcap">#REF!</definedName>
    <definedName name="dcc">#REF!</definedName>
    <definedName name="dcct" localSheetId="8">#REF!</definedName>
    <definedName name="dcct">#REF!</definedName>
    <definedName name="Dch" localSheetId="8">#REF!</definedName>
    <definedName name="Dch">#REF!</definedName>
    <definedName name="dche" localSheetId="8">#REF!</definedName>
    <definedName name="dche">#REF!</definedName>
    <definedName name="dcl">#REF!</definedName>
    <definedName name="Dcol" localSheetId="8">#REF!</definedName>
    <definedName name="Dcol">#REF!</definedName>
    <definedName name="dctc35" localSheetId="8">#REF!</definedName>
    <definedName name="dctc35">#REF!</definedName>
    <definedName name="DD" localSheetId="8">#REF!</definedName>
    <definedName name="DD">#REF!</definedName>
    <definedName name="dd0.5x1">#REF!</definedName>
    <definedName name="dd1pnc">#REF!</definedName>
    <definedName name="dd1pvl">#REF!</definedName>
    <definedName name="dd1x2">#REF!</definedName>
    <definedName name="dd2x4">#REF!</definedName>
    <definedName name="dd3pctnc" localSheetId="8">#REF!</definedName>
    <definedName name="dd3pctnc">#REF!</definedName>
    <definedName name="dd3pctvl" localSheetId="8">#REF!</definedName>
    <definedName name="dd3pctvl">#REF!</definedName>
    <definedName name="dd3plmvl" localSheetId="8">#REF!</definedName>
    <definedName name="dd3plmvl">#REF!</definedName>
    <definedName name="dd3pnc" localSheetId="8">#REF!</definedName>
    <definedName name="dd3pnc">#REF!</definedName>
    <definedName name="dd3pvl" localSheetId="8">#REF!</definedName>
    <definedName name="dd3pvl">#REF!</definedName>
    <definedName name="dd4x6" localSheetId="8">#REF!</definedName>
    <definedName name="dd4x6">#REF!</definedName>
    <definedName name="ddam" localSheetId="8">#REF!</definedName>
    <definedName name="ddam">#REF!</definedName>
    <definedName name="dday" localSheetId="8">#REF!</definedName>
    <definedName name="dday">#REF!</definedName>
    <definedName name="ddd" localSheetId="1" hidden="1">{"'Sheet1'!$L$16"}</definedName>
    <definedName name="ddd" localSheetId="2" hidden="1">{"'Sheet1'!$L$16"}</definedName>
    <definedName name="ddd" localSheetId="3" hidden="1">{"'Sheet1'!$L$16"}</definedName>
    <definedName name="ddd" localSheetId="4" hidden="1">{"'Sheet1'!$L$16"}</definedName>
    <definedName name="ddd" localSheetId="5" hidden="1">{"'Sheet1'!$L$16"}</definedName>
    <definedName name="ddd" localSheetId="6" hidden="1">{"'Sheet1'!$L$16"}</definedName>
    <definedName name="ddd" localSheetId="7" hidden="1">{"'Sheet1'!$L$16"}</definedName>
    <definedName name="ddd" localSheetId="8" hidden="1">{"'Sheet1'!$L$16"}</definedName>
    <definedName name="ddd" hidden="1">{"'Sheet1'!$L$16"}</definedName>
    <definedName name="dddd" localSheetId="4" hidden="1">#REF!</definedName>
    <definedName name="dddd" localSheetId="8" hidden="1">#REF!</definedName>
    <definedName name="dddd" hidden="1">#REF!</definedName>
    <definedName name="ddddd" localSheetId="1" hidden="1">{"'Sheet1'!$L$16"}</definedName>
    <definedName name="ddddd" localSheetId="2" hidden="1">{"'Sheet1'!$L$16"}</definedName>
    <definedName name="ddddd" localSheetId="4" hidden="1">{"'Sheet1'!$L$16"}</definedName>
    <definedName name="ddddd" localSheetId="5" hidden="1">{"'Sheet1'!$L$16"}</definedName>
    <definedName name="ddddd" localSheetId="6" hidden="1">{"'Sheet1'!$L$16"}</definedName>
    <definedName name="ddddd" localSheetId="7" hidden="1">{"'Sheet1'!$L$16"}</definedName>
    <definedName name="ddddd" localSheetId="8" hidden="1">{"'Sheet1'!$L$16"}</definedName>
    <definedName name="ddddd" hidden="1">{"'Sheet1'!$L$16"}</definedName>
    <definedName name="dddddd" localSheetId="1" hidden="1">{"Offgrid",#N/A,FALSE,"OFFGRID";"Region",#N/A,FALSE,"REGION";"Offgrid -2",#N/A,FALSE,"OFFGRID";"WTP",#N/A,FALSE,"WTP";"WTP -2",#N/A,FALSE,"WTP";"Project",#N/A,FALSE,"PROJECT";"Summary -2",#N/A,FALSE,"SUMMARY"}</definedName>
    <definedName name="dddddd" localSheetId="2" hidden="1">{"Offgrid",#N/A,FALSE,"OFFGRID";"Region",#N/A,FALSE,"REGION";"Offgrid -2",#N/A,FALSE,"OFFGRID";"WTP",#N/A,FALSE,"WTP";"WTP -2",#N/A,FALSE,"WTP";"Project",#N/A,FALSE,"PROJECT";"Summary -2",#N/A,FALSE,"SUMMARY"}</definedName>
    <definedName name="dddddd" localSheetId="4" hidden="1">{"Offgrid",#N/A,FALSE,"OFFGRID";"Region",#N/A,FALSE,"REGION";"Offgrid -2",#N/A,FALSE,"OFFGRID";"WTP",#N/A,FALSE,"WTP";"WTP -2",#N/A,FALSE,"WTP";"Project",#N/A,FALSE,"PROJECT";"Summary -2",#N/A,FALSE,"SUMMARY"}</definedName>
    <definedName name="dddddd" localSheetId="5" hidden="1">{"Offgrid",#N/A,FALSE,"OFFGRID";"Region",#N/A,FALSE,"REGION";"Offgrid -2",#N/A,FALSE,"OFFGRID";"WTP",#N/A,FALSE,"WTP";"WTP -2",#N/A,FALSE,"WTP";"Project",#N/A,FALSE,"PROJECT";"Summary -2",#N/A,FALSE,"SUMMARY"}</definedName>
    <definedName name="dddddd" localSheetId="6" hidden="1">{"Offgrid",#N/A,FALSE,"OFFGRID";"Region",#N/A,FALSE,"REGION";"Offgrid -2",#N/A,FALSE,"OFFGRID";"WTP",#N/A,FALSE,"WTP";"WTP -2",#N/A,FALSE,"WTP";"Project",#N/A,FALSE,"PROJECT";"Summary -2",#N/A,FALSE,"SUMMARY"}</definedName>
    <definedName name="dddddd" localSheetId="7" hidden="1">{"Offgrid",#N/A,FALSE,"OFFGRID";"Region",#N/A,FALSE,"REGION";"Offgrid -2",#N/A,FALSE,"OFFGRID";"WTP",#N/A,FALSE,"WTP";"WTP -2",#N/A,FALSE,"WTP";"Project",#N/A,FALSE,"PROJECT";"Summary -2",#N/A,FALSE,"SUMMARY"}</definedName>
    <definedName name="dddddd" localSheetId="8" hidden="1">{"Offgrid",#N/A,FALSE,"OFFGRID";"Region",#N/A,FALSE,"REGION";"Offgrid -2",#N/A,FALSE,"OFFGRID";"WTP",#N/A,FALSE,"WTP";"WTP -2",#N/A,FALSE,"WTP";"Project",#N/A,FALSE,"PROJECT";"Summary -2",#N/A,FALSE,"SUMMARY"}</definedName>
    <definedName name="dddddd" hidden="1">{"Offgrid",#N/A,FALSE,"OFFGRID";"Region",#N/A,FALSE,"REGION";"Offgrid -2",#N/A,FALSE,"OFFGRID";"WTP",#N/A,FALSE,"WTP";"WTP -2",#N/A,FALSE,"WTP";"Project",#N/A,FALSE,"PROJECT";"Summary -2",#N/A,FALSE,"SUMMARY"}</definedName>
    <definedName name="dden" localSheetId="8">#REF!</definedName>
    <definedName name="dden">#REF!</definedName>
    <definedName name="ddhtnc" localSheetId="8">#REF!</definedName>
    <definedName name="ddhtnc">#REF!</definedName>
    <definedName name="ddhtvl" localSheetId="8">#REF!</definedName>
    <definedName name="ddhtvl">#REF!</definedName>
    <definedName name="ddia" localSheetId="8">#REF!</definedName>
    <definedName name="ddia">#REF!</definedName>
    <definedName name="ddien">#REF!</definedName>
    <definedName name="DDM" localSheetId="8">#REF!</definedName>
    <definedName name="DDM">#REF!</definedName>
    <definedName name="ddt2nc" localSheetId="8">#REF!</definedName>
    <definedName name="ddt2nc">#REF!</definedName>
    <definedName name="ddt2vl" localSheetId="8">#REF!</definedName>
    <definedName name="ddt2vl">#REF!</definedName>
    <definedName name="ddtd3pnc" localSheetId="8">#REF!</definedName>
    <definedName name="ddtd3pnc">#REF!</definedName>
    <definedName name="ddtt1pnc" localSheetId="8">#REF!</definedName>
    <definedName name="ddtt1pnc">#REF!</definedName>
    <definedName name="ddtt1pvl" localSheetId="8">#REF!</definedName>
    <definedName name="ddtt1pvl">#REF!</definedName>
    <definedName name="ddtt3pnc" localSheetId="8">#REF!</definedName>
    <definedName name="ddtt3pnc">#REF!</definedName>
    <definedName name="ddtt3pvl" localSheetId="8">#REF!</definedName>
    <definedName name="ddtt3pvl">#REF!</definedName>
    <definedName name="de" localSheetId="8">#REF!</definedName>
    <definedName name="de">#REF!</definedName>
    <definedName name="Decimal" localSheetId="5">#REF!</definedName>
    <definedName name="Decimal" localSheetId="6">#REF!</definedName>
    <definedName name="Decimal" localSheetId="7">#REF!</definedName>
    <definedName name="Decimal" localSheetId="8">#REF!</definedName>
    <definedName name="Decimal">#REF!</definedName>
    <definedName name="deff" localSheetId="8">#REF!</definedName>
    <definedName name="deff">#REF!</definedName>
    <definedName name="DEFINENAME">#REF!</definedName>
    <definedName name="deg">#REF!</definedName>
    <definedName name="Den_bu" localSheetId="8">#REF!</definedName>
    <definedName name="Den_bu">#REF!</definedName>
    <definedName name="DenBu" localSheetId="8">#REF!</definedName>
    <definedName name="DenBu">#REF!</definedName>
    <definedName name="DenDK" localSheetId="1" hidden="1">{"'Sheet1'!$L$16"}</definedName>
    <definedName name="DenDK" localSheetId="2" hidden="1">{"'Sheet1'!$L$16"}</definedName>
    <definedName name="DenDK" localSheetId="4" hidden="1">{"'Sheet1'!$L$16"}</definedName>
    <definedName name="DenDK" localSheetId="5" hidden="1">{"'Sheet1'!$L$16"}</definedName>
    <definedName name="DenDK" localSheetId="6" hidden="1">{"'Sheet1'!$L$16"}</definedName>
    <definedName name="DenDK" localSheetId="7" hidden="1">{"'Sheet1'!$L$16"}</definedName>
    <definedName name="DenDK" localSheetId="8" hidden="1">{"'Sheet1'!$L$16"}</definedName>
    <definedName name="DenDK" hidden="1">{"'Sheet1'!$L$16"}</definedName>
    <definedName name="det" localSheetId="8">#REF!</definedName>
    <definedName name="det">#REF!</definedName>
    <definedName name="Det32x3" localSheetId="8">#REF!</definedName>
    <definedName name="Det32x3">#REF!</definedName>
    <definedName name="Det35x3" localSheetId="8">#REF!</definedName>
    <definedName name="Det35x3">#REF!</definedName>
    <definedName name="Det40x4" localSheetId="8">#REF!</definedName>
    <definedName name="Det40x4">#REF!</definedName>
    <definedName name="Det50x5" localSheetId="8">#REF!</definedName>
    <definedName name="Det50x5">#REF!</definedName>
    <definedName name="Det63x6" localSheetId="8">#REF!</definedName>
    <definedName name="Det63x6">#REF!</definedName>
    <definedName name="Det75x6" localSheetId="8">#REF!</definedName>
    <definedName name="Det75x6">#REF!</definedName>
    <definedName name="Detour" localSheetId="8">#REF!</definedName>
    <definedName name="Detour">#REF!</definedName>
    <definedName name="df" localSheetId="1" hidden="1">{"'Sheet1'!$L$16"}</definedName>
    <definedName name="df" localSheetId="2" hidden="1">{"'Sheet1'!$L$16"}</definedName>
    <definedName name="df" localSheetId="3">#REF!</definedName>
    <definedName name="df" localSheetId="4" hidden="1">{"'Sheet1'!$L$16"}</definedName>
    <definedName name="df" localSheetId="5" hidden="1">{"'Sheet1'!$L$16"}</definedName>
    <definedName name="df" localSheetId="6" hidden="1">{"'Sheet1'!$L$16"}</definedName>
    <definedName name="df" localSheetId="7" hidden="1">{"'Sheet1'!$L$16"}</definedName>
    <definedName name="df" localSheetId="8" hidden="1">{"'Sheet1'!$L$16"}</definedName>
    <definedName name="df" hidden="1">{"'Sheet1'!$L$16"}</definedName>
    <definedName name="DFADF" localSheetId="1" hidden="1">{"'Sheet1'!$L$16"}</definedName>
    <definedName name="DFADF" localSheetId="2" hidden="1">{"'Sheet1'!$L$16"}</definedName>
    <definedName name="DFADF" localSheetId="4" hidden="1">{"'Sheet1'!$L$16"}</definedName>
    <definedName name="DFADF" localSheetId="5" hidden="1">{"'Sheet1'!$L$16"}</definedName>
    <definedName name="DFADF" localSheetId="6" hidden="1">{"'Sheet1'!$L$16"}</definedName>
    <definedName name="DFADF" localSheetId="7" hidden="1">{"'Sheet1'!$L$16"}</definedName>
    <definedName name="DFADF" localSheetId="8" hidden="1">{"'Sheet1'!$L$16"}</definedName>
    <definedName name="DFADF" hidden="1">{"'Sheet1'!$L$16"}</definedName>
    <definedName name="dfadsfsdf" localSheetId="1" hidden="1">{"'Sheet1'!$L$16"}</definedName>
    <definedName name="dfadsfsdf" localSheetId="2" hidden="1">{"'Sheet1'!$L$16"}</definedName>
    <definedName name="dfadsfsdf" localSheetId="4" hidden="1">{"'Sheet1'!$L$16"}</definedName>
    <definedName name="dfadsfsdf" localSheetId="5" hidden="1">{"'Sheet1'!$L$16"}</definedName>
    <definedName name="dfadsfsdf" localSheetId="6" hidden="1">{"'Sheet1'!$L$16"}</definedName>
    <definedName name="dfadsfsdf" localSheetId="7" hidden="1">{"'Sheet1'!$L$16"}</definedName>
    <definedName name="dfadsfsdf" localSheetId="8" hidden="1">{"'Sheet1'!$L$16"}</definedName>
    <definedName name="dfadsfsdf" hidden="1">{"'Sheet1'!$L$16"}</definedName>
    <definedName name="dfasdfdfdfd" localSheetId="1" hidden="1">{"'Sheet1'!$L$16"}</definedName>
    <definedName name="dfasdfdfdfd" localSheetId="2" hidden="1">{"'Sheet1'!$L$16"}</definedName>
    <definedName name="dfasdfdfdfd" localSheetId="4" hidden="1">{"'Sheet1'!$L$16"}</definedName>
    <definedName name="dfasdfdfdfd" localSheetId="5" hidden="1">{"'Sheet1'!$L$16"}</definedName>
    <definedName name="dfasdfdfdfd" localSheetId="6" hidden="1">{"'Sheet1'!$L$16"}</definedName>
    <definedName name="dfasdfdfdfd" localSheetId="7" hidden="1">{"'Sheet1'!$L$16"}</definedName>
    <definedName name="dfasdfdfdfd" localSheetId="8" hidden="1">{"'Sheet1'!$L$16"}</definedName>
    <definedName name="dfasdfdfdfd" hidden="1">{"'Sheet1'!$L$16"}</definedName>
    <definedName name="dfasdfsdfsdf" localSheetId="1" hidden="1">{"'Sheet1'!$L$16"}</definedName>
    <definedName name="dfasdfsdfsdf" localSheetId="2" hidden="1">{"'Sheet1'!$L$16"}</definedName>
    <definedName name="dfasdfsdfsdf" localSheetId="4" hidden="1">{"'Sheet1'!$L$16"}</definedName>
    <definedName name="dfasdfsdfsdf" localSheetId="5" hidden="1">{"'Sheet1'!$L$16"}</definedName>
    <definedName name="dfasdfsdfsdf" localSheetId="6" hidden="1">{"'Sheet1'!$L$16"}</definedName>
    <definedName name="dfasdfsdfsdf" localSheetId="7" hidden="1">{"'Sheet1'!$L$16"}</definedName>
    <definedName name="dfasdfsdfsdf" localSheetId="8" hidden="1">{"'Sheet1'!$L$16"}</definedName>
    <definedName name="dfasdfsdfsdf" hidden="1">{"'Sheet1'!$L$16"}</definedName>
    <definedName name="dfdfd" localSheetId="1" hidden="1">{"'Sheet1'!$L$16"}</definedName>
    <definedName name="dfdfd" localSheetId="2" hidden="1">{"'Sheet1'!$L$16"}</definedName>
    <definedName name="dfdfd" localSheetId="3" hidden="1">{"'Sheet1'!$L$16"}</definedName>
    <definedName name="dfdfd" localSheetId="4" hidden="1">{"'Sheet1'!$L$16"}</definedName>
    <definedName name="dfdfd" localSheetId="5" hidden="1">{"'Sheet1'!$L$16"}</definedName>
    <definedName name="dfdfd" localSheetId="6" hidden="1">{"'Sheet1'!$L$16"}</definedName>
    <definedName name="dfdfd" localSheetId="7" hidden="1">{"'Sheet1'!$L$16"}</definedName>
    <definedName name="dfdfd" localSheetId="8" hidden="1">{"'Sheet1'!$L$16"}</definedName>
    <definedName name="dfdfd" hidden="1">{"'Sheet1'!$L$16"}</definedName>
    <definedName name="dffffhg" localSheetId="1" hidden="1">{0}</definedName>
    <definedName name="dffffhg" localSheetId="2" hidden="1">{0}</definedName>
    <definedName name="dffffhg" localSheetId="4" hidden="1">{0}</definedName>
    <definedName name="dffffhg" localSheetId="5" hidden="1">{0}</definedName>
    <definedName name="dffffhg" localSheetId="6" hidden="1">{0}</definedName>
    <definedName name="dffffhg" localSheetId="7" hidden="1">{0}</definedName>
    <definedName name="dffffhg" localSheetId="8" hidden="1">{0}</definedName>
    <definedName name="dffffhg" hidden="1">{0}</definedName>
    <definedName name="dfg">#REF!</definedName>
    <definedName name="dfgdfg" localSheetId="4" hidden="1">#REF!</definedName>
    <definedName name="dfgdfg" localSheetId="5" hidden="1">#REF!</definedName>
    <definedName name="dfgdfg" localSheetId="6" hidden="1">#REF!</definedName>
    <definedName name="dfgdfg" localSheetId="7" hidden="1">#REF!</definedName>
    <definedName name="dfgdfg" localSheetId="8" hidden="1">#REF!</definedName>
    <definedName name="dfgdfg" hidden="1">#REF!</definedName>
    <definedName name="dfggg" localSheetId="1" hidden="1">{"'Sheet1'!$L$16"}</definedName>
    <definedName name="dfggg" localSheetId="2" hidden="1">{"'Sheet1'!$L$16"}</definedName>
    <definedName name="dfggg" localSheetId="3" hidden="1">{"'Sheet1'!$L$16"}</definedName>
    <definedName name="dfggg" localSheetId="4" hidden="1">{"'Sheet1'!$L$16"}</definedName>
    <definedName name="dfggg" localSheetId="5" hidden="1">{"'Sheet1'!$L$16"}</definedName>
    <definedName name="dfggg" localSheetId="6" hidden="1">{"'Sheet1'!$L$16"}</definedName>
    <definedName name="dfggg" localSheetId="7" hidden="1">{"'Sheet1'!$L$16"}</definedName>
    <definedName name="dfggg" localSheetId="8" hidden="1">{"'Sheet1'!$L$16"}</definedName>
    <definedName name="dfggg" hidden="1">{"'Sheet1'!$L$16"}</definedName>
    <definedName name="dfgh" localSheetId="1" hidden="1">{#N/A,#N/A,FALSE,"Chi tiÆt"}</definedName>
    <definedName name="dfgh" localSheetId="2" hidden="1">{#N/A,#N/A,FALSE,"Chi tiÆt"}</definedName>
    <definedName name="dfgh" localSheetId="4" hidden="1">{#N/A,#N/A,FALSE,"Chi tiÆt"}</definedName>
    <definedName name="dfgh" localSheetId="5" hidden="1">{#N/A,#N/A,FALSE,"Chi tiÆt"}</definedName>
    <definedName name="dfgh" localSheetId="6" hidden="1">{#N/A,#N/A,FALSE,"Chi tiÆt"}</definedName>
    <definedName name="dfgh" localSheetId="7" hidden="1">{#N/A,#N/A,FALSE,"Chi tiÆt"}</definedName>
    <definedName name="dfgh" localSheetId="8" hidden="1">{#N/A,#N/A,FALSE,"Chi tiÆt"}</definedName>
    <definedName name="dfgh" hidden="1">{#N/A,#N/A,FALSE,"Chi tiÆt"}</definedName>
    <definedName name="dfgrh" localSheetId="4" hidden="1">{"Offgrid",#N/A,FALSE,"OFFGRID";"Region",#N/A,FALSE,"REGION";"Offgrid -2",#N/A,FALSE,"OFFGRID";"WTP",#N/A,FALSE,"WTP";"WTP -2",#N/A,FALSE,"WTP";"Project",#N/A,FALSE,"PROJECT";"Summary -2",#N/A,FALSE,"SUMMARY"}</definedName>
    <definedName name="dfgrh" localSheetId="5" hidden="1">{"Offgrid",#N/A,FALSE,"OFFGRID";"Region",#N/A,FALSE,"REGION";"Offgrid -2",#N/A,FALSE,"OFFGRID";"WTP",#N/A,FALSE,"WTP";"WTP -2",#N/A,FALSE,"WTP";"Project",#N/A,FALSE,"PROJECT";"Summary -2",#N/A,FALSE,"SUMMARY"}</definedName>
    <definedName name="dfgrh" localSheetId="6" hidden="1">{"Offgrid",#N/A,FALSE,"OFFGRID";"Region",#N/A,FALSE,"REGION";"Offgrid -2",#N/A,FALSE,"OFFGRID";"WTP",#N/A,FALSE,"WTP";"WTP -2",#N/A,FALSE,"WTP";"Project",#N/A,FALSE,"PROJECT";"Summary -2",#N/A,FALSE,"SUMMARY"}</definedName>
    <definedName name="dfgrh" localSheetId="7" hidden="1">{"Offgrid",#N/A,FALSE,"OFFGRID";"Region",#N/A,FALSE,"REGION";"Offgrid -2",#N/A,FALSE,"OFFGRID";"WTP",#N/A,FALSE,"WTP";"WTP -2",#N/A,FALSE,"WTP";"Project",#N/A,FALSE,"PROJECT";"Summary -2",#N/A,FALSE,"SUMMARY"}</definedName>
    <definedName name="dfgrh" localSheetId="8" hidden="1">{"Offgrid",#N/A,FALSE,"OFFGRID";"Region",#N/A,FALSE,"REGION";"Offgrid -2",#N/A,FALSE,"OFFGRID";"WTP",#N/A,FALSE,"WTP";"WTP -2",#N/A,FALSE,"WTP";"Project",#N/A,FALSE,"PROJECT";"Summary -2",#N/A,FALSE,"SUMMARY"}</definedName>
    <definedName name="dfgrh" hidden="1">{"Offgrid",#N/A,FALSE,"OFFGRID";"Region",#N/A,FALSE,"REGION";"Offgrid -2",#N/A,FALSE,"OFFGRID";"WTP",#N/A,FALSE,"WTP";"WTP -2",#N/A,FALSE,"WTP";"Project",#N/A,FALSE,"PROJECT";"Summary -2",#N/A,FALSE,"SUMMARY"}</definedName>
    <definedName name="dfgzxdf" localSheetId="1" hidden="1">{0,#N/A,FALSE,0;0,#N/A,FALSE,0;0,#N/A,FALSE,0;0,#N/A,FALSE,0;0,#N/A,FALSE,0;0,#N/A,FALSE,0;0,#N/A,FALSE,0}</definedName>
    <definedName name="dfgzxdf" localSheetId="2" hidden="1">{0,#N/A,FALSE,0;0,#N/A,FALSE,0;0,#N/A,FALSE,0;0,#N/A,FALSE,0;0,#N/A,FALSE,0;0,#N/A,FALSE,0;0,#N/A,FALSE,0}</definedName>
    <definedName name="dfgzxdf" localSheetId="4" hidden="1">{0,#N/A,FALSE,0;0,#N/A,FALSE,0;0,#N/A,FALSE,0;0,#N/A,FALSE,0;0,#N/A,FALSE,0;0,#N/A,FALSE,0;0,#N/A,FALSE,0}</definedName>
    <definedName name="dfgzxdf" localSheetId="5" hidden="1">{0,#N/A,FALSE,0;0,#N/A,FALSE,0;0,#N/A,FALSE,0;0,#N/A,FALSE,0;0,#N/A,FALSE,0;0,#N/A,FALSE,0;0,#N/A,FALSE,0}</definedName>
    <definedName name="dfgzxdf" localSheetId="6" hidden="1">{0,#N/A,FALSE,0;0,#N/A,FALSE,0;0,#N/A,FALSE,0;0,#N/A,FALSE,0;0,#N/A,FALSE,0;0,#N/A,FALSE,0;0,#N/A,FALSE,0}</definedName>
    <definedName name="dfgzxdf" localSheetId="7" hidden="1">{0,#N/A,FALSE,0;0,#N/A,FALSE,0;0,#N/A,FALSE,0;0,#N/A,FALSE,0;0,#N/A,FALSE,0;0,#N/A,FALSE,0;0,#N/A,FALSE,0}</definedName>
    <definedName name="dfgzxdf" localSheetId="8" hidden="1">{0,#N/A,FALSE,0;0,#N/A,FALSE,0;0,#N/A,FALSE,0;0,#N/A,FALSE,0;0,#N/A,FALSE,0;0,#N/A,FALSE,0;0,#N/A,FALSE,0}</definedName>
    <definedName name="dfgzxdf" hidden="1">{0,#N/A,FALSE,0;0,#N/A,FALSE,0;0,#N/A,FALSE,0;0,#N/A,FALSE,0;0,#N/A,FALSE,0;0,#N/A,FALSE,0;0,#N/A,FALSE,0}</definedName>
    <definedName name="dfh" localSheetId="1" hidden="1">{"'Sheet1'!$L$16"}</definedName>
    <definedName name="dfh" localSheetId="2" hidden="1">{"'Sheet1'!$L$16"}</definedName>
    <definedName name="dfh" localSheetId="3" hidden="1">{"'Sheet1'!$L$16"}</definedName>
    <definedName name="dfh" localSheetId="4" hidden="1">{"'Sheet1'!$L$16"}</definedName>
    <definedName name="dfh" localSheetId="5" hidden="1">{"'Sheet1'!$L$16"}</definedName>
    <definedName name="dfh" localSheetId="6" hidden="1">{"'Sheet1'!$L$16"}</definedName>
    <definedName name="dfh" localSheetId="7" hidden="1">{"'Sheet1'!$L$16"}</definedName>
    <definedName name="dfh" localSheetId="8" hidden="1">{"'Sheet1'!$L$16"}</definedName>
    <definedName name="dfh" hidden="1">{"'Sheet1'!$L$16"}</definedName>
    <definedName name="dfhadf" localSheetId="1" hidden="1">{"'Sheet1'!$L$16"}</definedName>
    <definedName name="dfhadf" localSheetId="2" hidden="1">{"'Sheet1'!$L$16"}</definedName>
    <definedName name="dfhadf" localSheetId="4" hidden="1">{"'Sheet1'!$L$16"}</definedName>
    <definedName name="dfhadf" localSheetId="5" hidden="1">{"'Sheet1'!$L$16"}</definedName>
    <definedName name="dfhadf" localSheetId="6" hidden="1">{"'Sheet1'!$L$16"}</definedName>
    <definedName name="dfhadf" localSheetId="7" hidden="1">{"'Sheet1'!$L$16"}</definedName>
    <definedName name="dfhadf" localSheetId="8" hidden="1">{"'Sheet1'!$L$16"}</definedName>
    <definedName name="dfhadf" hidden="1">{"'Sheet1'!$L$16"}</definedName>
    <definedName name="dfsdf" localSheetId="1" hidden="1">{#N/A,#N/A,FALSE,"CCTV"}</definedName>
    <definedName name="dfsdf" localSheetId="2" hidden="1">{#N/A,#N/A,FALSE,"CCTV"}</definedName>
    <definedName name="dfsdf" localSheetId="4" hidden="1">{#N/A,#N/A,FALSE,"CCTV"}</definedName>
    <definedName name="dfsdf" localSheetId="5" hidden="1">{#N/A,#N/A,FALSE,"CCTV"}</definedName>
    <definedName name="dfsdf" localSheetId="6" hidden="1">{#N/A,#N/A,FALSE,"CCTV"}</definedName>
    <definedName name="dfsdf" localSheetId="7" hidden="1">{#N/A,#N/A,FALSE,"CCTV"}</definedName>
    <definedName name="dfsdf" localSheetId="8" hidden="1">{#N/A,#N/A,FALSE,"CCTV"}</definedName>
    <definedName name="dfsdf" hidden="1">{#N/A,#N/A,FALSE,"CCTV"}</definedName>
    <definedName name="dfsfsd" localSheetId="1" hidden="1">{"'Sheet1'!$L$16"}</definedName>
    <definedName name="dfsfsd" localSheetId="2" hidden="1">{"'Sheet1'!$L$16"}</definedName>
    <definedName name="dfsfsd" localSheetId="3" hidden="1">{"'Sheet1'!$L$16"}</definedName>
    <definedName name="dfsfsd" localSheetId="4" hidden="1">{"'Sheet1'!$L$16"}</definedName>
    <definedName name="dfsfsd" localSheetId="5" hidden="1">{"'Sheet1'!$L$16"}</definedName>
    <definedName name="dfsfsd" localSheetId="6" hidden="1">{"'Sheet1'!$L$16"}</definedName>
    <definedName name="dfsfsd" localSheetId="7" hidden="1">{"'Sheet1'!$L$16"}</definedName>
    <definedName name="dfsfsd" localSheetId="8" hidden="1">{"'Sheet1'!$L$16"}</definedName>
    <definedName name="dfsfsd" hidden="1">{"'Sheet1'!$L$16"}</definedName>
    <definedName name="dg">#REF!</definedName>
    <definedName name="dg_5cau" localSheetId="8">#REF!</definedName>
    <definedName name="dg_5cau">#REF!</definedName>
    <definedName name="DG_ban">#REF!</definedName>
    <definedName name="ĐG_Đất_DC">#REF!</definedName>
    <definedName name="dgc" localSheetId="8">#REF!</definedName>
    <definedName name="dgc">#REF!</definedName>
    <definedName name="dgct">#REF!</definedName>
    <definedName name="DGCT_L.SON1">#REF!</definedName>
    <definedName name="DGCT_T.Quy_P.Thuy_Q" localSheetId="8">#REF!</definedName>
    <definedName name="DGCT_T.Quy_P.Thuy_Q">#REF!</definedName>
    <definedName name="DGCT_TRAUQUYPHUTHUY_HN" localSheetId="8">#REF!</definedName>
    <definedName name="DGCT_TRAUQUYPHUTHUY_HN">#REF!</definedName>
    <definedName name="DGCTI592" localSheetId="8">#REF!</definedName>
    <definedName name="DGCTI592">#REF!</definedName>
    <definedName name="dgd" localSheetId="8">#REF!</definedName>
    <definedName name="dgd">#REF!</definedName>
    <definedName name="dgdz">#REF!</definedName>
    <definedName name="dghdfgj" localSheetId="1" hidden="1">{"'Sheet1'!$L$16"}</definedName>
    <definedName name="dghdfgj" localSheetId="2" hidden="1">{"'Sheet1'!$L$16"}</definedName>
    <definedName name="dghdfgj" localSheetId="4" hidden="1">{"'Sheet1'!$L$16"}</definedName>
    <definedName name="dghdfgj" localSheetId="5" hidden="1">{"'Sheet1'!$L$16"}</definedName>
    <definedName name="dghdfgj" localSheetId="6" hidden="1">{"'Sheet1'!$L$16"}</definedName>
    <definedName name="dghdfgj" localSheetId="7" hidden="1">{"'Sheet1'!$L$16"}</definedName>
    <definedName name="dghdfgj" localSheetId="8" hidden="1">{"'Sheet1'!$L$16"}</definedName>
    <definedName name="dghdfgj" hidden="1">{"'Sheet1'!$L$16"}</definedName>
    <definedName name="dghdgfh" localSheetId="1" hidden="1">{"'Sheet1'!$L$16"}</definedName>
    <definedName name="dghdgfh" localSheetId="2" hidden="1">{"'Sheet1'!$L$16"}</definedName>
    <definedName name="dghdgfh" localSheetId="4" hidden="1">{"'Sheet1'!$L$16"}</definedName>
    <definedName name="dghdgfh" localSheetId="5" hidden="1">{"'Sheet1'!$L$16"}</definedName>
    <definedName name="dghdgfh" localSheetId="6" hidden="1">{"'Sheet1'!$L$16"}</definedName>
    <definedName name="dghdgfh" localSheetId="7" hidden="1">{"'Sheet1'!$L$16"}</definedName>
    <definedName name="dghdgfh" localSheetId="8" hidden="1">{"'Sheet1'!$L$16"}</definedName>
    <definedName name="dghdgfh" hidden="1">{"'Sheet1'!$L$16"}</definedName>
    <definedName name="dghjyuk" localSheetId="1" hidden="1">{"'Sheet1'!$L$16"}</definedName>
    <definedName name="dghjyuk" localSheetId="2" hidden="1">{"'Sheet1'!$L$16"}</definedName>
    <definedName name="dghjyuk" localSheetId="4" hidden="1">{"'Sheet1'!$L$16"}</definedName>
    <definedName name="dghjyuk" localSheetId="5" hidden="1">{"'Sheet1'!$L$16"}</definedName>
    <definedName name="dghjyuk" localSheetId="6" hidden="1">{"'Sheet1'!$L$16"}</definedName>
    <definedName name="dghjyuk" localSheetId="7" hidden="1">{"'Sheet1'!$L$16"}</definedName>
    <definedName name="dghjyuk" localSheetId="8" hidden="1">{"'Sheet1'!$L$16"}</definedName>
    <definedName name="dghjyuk" hidden="1">{"'Sheet1'!$L$16"}</definedName>
    <definedName name="DGia" localSheetId="8">#REF!</definedName>
    <definedName name="DGia">#REF!</definedName>
    <definedName name="DGM">#REF!</definedName>
    <definedName name="dgnc" localSheetId="8">#REF!</definedName>
    <definedName name="dgnc">#REF!</definedName>
    <definedName name="DGTH" localSheetId="8">#REF!</definedName>
    <definedName name="DGTH">#REF!</definedName>
    <definedName name="DGTH1">#REF!</definedName>
    <definedName name="dgth2">#REF!</definedName>
    <definedName name="DGTR">#REF!</definedName>
    <definedName name="DGTV" localSheetId="8">#REF!</definedName>
    <definedName name="DGTV">#REF!</definedName>
    <definedName name="dgvl" localSheetId="8">#REF!</definedName>
    <definedName name="dgvl">#REF!</definedName>
    <definedName name="DGVL1">#REF!</definedName>
    <definedName name="DGVT">#REF!</definedName>
    <definedName name="dh" localSheetId="1" hidden="1">{#N/A,#N/A,FALSE,"Chi tiÆt"}</definedName>
    <definedName name="dh" localSheetId="2" hidden="1">{#N/A,#N/A,FALSE,"Chi tiÆt"}</definedName>
    <definedName name="dh" localSheetId="3">#REF!</definedName>
    <definedName name="dh" localSheetId="4" hidden="1">{#N/A,#N/A,FALSE,"Chi tiÆt"}</definedName>
    <definedName name="dh" localSheetId="5" hidden="1">{#N/A,#N/A,FALSE,"Chi tiÆt"}</definedName>
    <definedName name="dh" localSheetId="6" hidden="1">{#N/A,#N/A,FALSE,"Chi tiÆt"}</definedName>
    <definedName name="dh" localSheetId="7" hidden="1">{#N/A,#N/A,FALSE,"Chi tiÆt"}</definedName>
    <definedName name="dh" localSheetId="8" hidden="1">{#N/A,#N/A,FALSE,"Chi tiÆt"}</definedName>
    <definedName name="dh" hidden="1">{#N/A,#N/A,FALSE,"Chi tiÆt"}</definedName>
    <definedName name="dhfdhgf" localSheetId="1" hidden="1">{"'Sheet1'!$L$16"}</definedName>
    <definedName name="dhfdhgf" localSheetId="2" hidden="1">{"'Sheet1'!$L$16"}</definedName>
    <definedName name="dhfdhgf" localSheetId="4" hidden="1">{"'Sheet1'!$L$16"}</definedName>
    <definedName name="dhfdhgf" localSheetId="5" hidden="1">{"'Sheet1'!$L$16"}</definedName>
    <definedName name="dhfdhgf" localSheetId="6" hidden="1">{"'Sheet1'!$L$16"}</definedName>
    <definedName name="dhfdhgf" localSheetId="7" hidden="1">{"'Sheet1'!$L$16"}</definedName>
    <definedName name="dhfdhgf" localSheetId="8" hidden="1">{"'Sheet1'!$L$16"}</definedName>
    <definedName name="dhfdhgf" hidden="1">{"'Sheet1'!$L$16"}</definedName>
    <definedName name="dhg" localSheetId="1" hidden="1">{"'Sheet1'!$L$16"}</definedName>
    <definedName name="dhg" localSheetId="2" hidden="1">{"'Sheet1'!$L$16"}</definedName>
    <definedName name="dhg" localSheetId="4" hidden="1">{"'Sheet1'!$L$16"}</definedName>
    <definedName name="dhg" localSheetId="5" hidden="1">{"'Sheet1'!$L$16"}</definedName>
    <definedName name="dhg" localSheetId="6" hidden="1">{"'Sheet1'!$L$16"}</definedName>
    <definedName name="dhg" localSheetId="7" hidden="1">{"'Sheet1'!$L$16"}</definedName>
    <definedName name="dhg" localSheetId="8" hidden="1">{"'Sheet1'!$L$16"}</definedName>
    <definedName name="dhg" hidden="1">{"'Sheet1'!$L$16"}</definedName>
    <definedName name="dhhsf" localSheetId="1" hidden="1">{"'Sheet1'!$L$16"}</definedName>
    <definedName name="dhhsf" localSheetId="2" hidden="1">{"'Sheet1'!$L$16"}</definedName>
    <definedName name="dhhsf" localSheetId="4" hidden="1">{"'Sheet1'!$L$16"}</definedName>
    <definedName name="dhhsf" localSheetId="5" hidden="1">{"'Sheet1'!$L$16"}</definedName>
    <definedName name="dhhsf" localSheetId="6" hidden="1">{"'Sheet1'!$L$16"}</definedName>
    <definedName name="dhhsf" localSheetId="7" hidden="1">{"'Sheet1'!$L$16"}</definedName>
    <definedName name="dhhsf" localSheetId="8" hidden="1">{"'Sheet1'!$L$16"}</definedName>
    <definedName name="dhhsf" hidden="1">{"'Sheet1'!$L$16"}</definedName>
    <definedName name="dhoc" localSheetId="8">#REF!</definedName>
    <definedName name="dhoc">#REF!</definedName>
    <definedName name="dhom" localSheetId="8">#REF!</definedName>
    <definedName name="dhom">#REF!</definedName>
    <definedName name="DICH11" localSheetId="8">#REF!</definedName>
    <definedName name="DICH11">#REF!</definedName>
    <definedName name="dich22" localSheetId="8">#REF!</definedName>
    <definedName name="dich22">#REF!</definedName>
    <definedName name="dien" localSheetId="1" hidden="1">{"'Sheet1'!$L$16"}</definedName>
    <definedName name="dien" localSheetId="2" hidden="1">{"'Sheet1'!$L$16"}</definedName>
    <definedName name="dien" localSheetId="3">#REF!</definedName>
    <definedName name="dien" localSheetId="4" hidden="1">{"'Sheet1'!$L$16"}</definedName>
    <definedName name="dien" localSheetId="5" hidden="1">{"'Sheet1'!$L$16"}</definedName>
    <definedName name="dien" localSheetId="6" hidden="1">{"'Sheet1'!$L$16"}</definedName>
    <definedName name="dien" localSheetId="7" hidden="1">{"'Sheet1'!$L$16"}</definedName>
    <definedName name="dien" localSheetId="8" hidden="1">{"'Sheet1'!$L$16"}</definedName>
    <definedName name="dien" hidden="1">{"'Sheet1'!$L$16"}</definedName>
    <definedName name="Diện_Tích">#REF!</definedName>
    <definedName name="Diện_Tích_Đất">#REF!</definedName>
    <definedName name="dientichck" localSheetId="8">#REF!</definedName>
    <definedName name="dientichck">#REF!</definedName>
    <definedName name="DienTichTheoMau" localSheetId="8">#REF!</definedName>
    <definedName name="DienTichTheoMau">#REF!</definedName>
    <definedName name="dim" localSheetId="8">#REF!</definedName>
    <definedName name="dim">#REF!</definedName>
    <definedName name="dinh">#REF!</definedName>
    <definedName name="dinh2" localSheetId="8">#REF!</definedName>
    <definedName name="dinh2">#REF!</definedName>
    <definedName name="dinhdia">#REF!</definedName>
    <definedName name="dinhmong" localSheetId="8">#REF!</definedName>
    <definedName name="dinhmong">#REF!</definedName>
    <definedName name="DinhMuc" localSheetId="8">#REF!</definedName>
    <definedName name="DinhMuc">#REF!</definedName>
    <definedName name="direct1" localSheetId="4" hidden="1">#REF!</definedName>
    <definedName name="direct1" localSheetId="5" hidden="1">#REF!</definedName>
    <definedName name="direct1" localSheetId="6" hidden="1">#REF!</definedName>
    <definedName name="direct1" localSheetId="7" hidden="1">#REF!</definedName>
    <definedName name="direct1" localSheetId="8" hidden="1">#REF!</definedName>
    <definedName name="direct1" hidden="1">#REF!</definedName>
    <definedName name="Discount" localSheetId="3" hidden="1">#REF!</definedName>
    <definedName name="Discount" localSheetId="4" hidden="1">#REF!</definedName>
    <definedName name="Discount" localSheetId="5" hidden="1">#REF!</definedName>
    <definedName name="Discount" localSheetId="6" hidden="1">#REF!</definedName>
    <definedName name="Discount" localSheetId="7" hidden="1">#REF!</definedName>
    <definedName name="Discount" localSheetId="8" hidden="1">#REF!</definedName>
    <definedName name="Discount" hidden="1">#REF!</definedName>
    <definedName name="display_area_2" localSheetId="3" hidden="1">#REF!</definedName>
    <definedName name="display_area_2" localSheetId="4" hidden="1">#REF!</definedName>
    <definedName name="display_area_2" localSheetId="5" hidden="1">#REF!</definedName>
    <definedName name="display_area_2" localSheetId="6" hidden="1">#REF!</definedName>
    <definedName name="display_area_2" localSheetId="7" hidden="1">#REF!</definedName>
    <definedName name="display_area_2" localSheetId="8" hidden="1">#REF!</definedName>
    <definedName name="display_area_2" hidden="1">#REF!</definedName>
    <definedName name="dispo_dt2">#REF!</definedName>
    <definedName name="dj" localSheetId="1" hidden="1">{"'Sheet1'!$L$16"}</definedName>
    <definedName name="dj" localSheetId="2" hidden="1">{"'Sheet1'!$L$16"}</definedName>
    <definedName name="dj" localSheetId="4" hidden="1">{"'Sheet1'!$L$16"}</definedName>
    <definedName name="dj" localSheetId="5" hidden="1">{"'Sheet1'!$L$16"}</definedName>
    <definedName name="dj" localSheetId="6" hidden="1">{"'Sheet1'!$L$16"}</definedName>
    <definedName name="dj" localSheetId="7" hidden="1">{"'Sheet1'!$L$16"}</definedName>
    <definedName name="dj" localSheetId="8" hidden="1">{"'Sheet1'!$L$16"}</definedName>
    <definedName name="dj" hidden="1">{"'Sheet1'!$L$16"}</definedName>
    <definedName name="dk">#REF!</definedName>
    <definedName name="DK_Gia" localSheetId="5">#REF!</definedName>
    <definedName name="DK_Gia" localSheetId="6">#REF!</definedName>
    <definedName name="DK_Gia" localSheetId="7">#REF!</definedName>
    <definedName name="DK_Gia" localSheetId="8">#REF!</definedName>
    <definedName name="DK_Gia">#REF!</definedName>
    <definedName name="DKCO" localSheetId="8">#REF!</definedName>
    <definedName name="DKCO">#REF!</definedName>
    <definedName name="dkm" localSheetId="8">IF(#REF!="hết KM",0,INT(#REF!/VLOOKUP(#REF!,#REF!,2,0))*VLOOKUP(#REF!,#REF!,4,0))</definedName>
    <definedName name="dkm">IF(#REF!="hết KM",0,INT(#REF!/VLOOKUP(#REF!,#REF!,2,0))*VLOOKUP(#REF!,#REF!,4,0))</definedName>
    <definedName name="DKNO" localSheetId="8">#REF!</definedName>
    <definedName name="DKNO">#REF!</definedName>
    <definedName name="DL">#REF!</definedName>
    <definedName name="DL15HT" localSheetId="8">#REF!</definedName>
    <definedName name="DL15HT">#REF!</definedName>
    <definedName name="DL16HT" localSheetId="8">#REF!</definedName>
    <definedName name="DL16HT">#REF!</definedName>
    <definedName name="DL19HT" localSheetId="8">#REF!</definedName>
    <definedName name="DL19HT">#REF!</definedName>
    <definedName name="DL20HT" localSheetId="8">#REF!</definedName>
    <definedName name="DL20HT">#REF!</definedName>
    <definedName name="DLC" localSheetId="8">#REF!</definedName>
    <definedName name="DLC">#REF!</definedName>
    <definedName name="DLSE">#REF!</definedName>
    <definedName name="DLST">#REF!</definedName>
    <definedName name="DM" localSheetId="8">#REF!</definedName>
    <definedName name="DM">#REF!</definedName>
    <definedName name="dm1." localSheetId="8">#REF!</definedName>
    <definedName name="dm1.">#REF!</definedName>
    <definedName name="dm2." localSheetId="8">#REF!</definedName>
    <definedName name="dm2.">#REF!</definedName>
    <definedName name="dmat" localSheetId="8">#REF!</definedName>
    <definedName name="dmat">#REF!</definedName>
    <definedName name="DMC" localSheetId="8">#REF!</definedName>
    <definedName name="DMC">#REF!</definedName>
    <definedName name="DMCa" localSheetId="8">#REF!</definedName>
    <definedName name="DMCa">#REF!</definedName>
    <definedName name="dmoi" localSheetId="8">#REF!</definedName>
    <definedName name="dmoi">#REF!</definedName>
    <definedName name="dmz">#REF!</definedName>
    <definedName name="DN" localSheetId="8">#REF!</definedName>
    <definedName name="DN">#REF!</definedName>
    <definedName name="dno">#REF!</definedName>
    <definedName name="DÑt45x4" localSheetId="8">#REF!</definedName>
    <definedName name="DÑt45x4">#REF!</definedName>
    <definedName name="dntt10" localSheetId="1" hidden="1">{"'Sheet1'!$L$16"}</definedName>
    <definedName name="dntt10" localSheetId="2" hidden="1">{"'Sheet1'!$L$16"}</definedName>
    <definedName name="dntt10" localSheetId="4" hidden="1">{"'Sheet1'!$L$16"}</definedName>
    <definedName name="dntt10" localSheetId="5" hidden="1">{"'Sheet1'!$L$16"}</definedName>
    <definedName name="dntt10" localSheetId="6" hidden="1">{"'Sheet1'!$L$16"}</definedName>
    <definedName name="dntt10" localSheetId="7" hidden="1">{"'Sheet1'!$L$16"}</definedName>
    <definedName name="dntt10" localSheetId="8" hidden="1">{"'Sheet1'!$L$16"}</definedName>
    <definedName name="dntt10" hidden="1">{"'Sheet1'!$L$16"}</definedName>
    <definedName name="dntt9" localSheetId="1" hidden="1">{"'Sheet1'!$L$16"}</definedName>
    <definedName name="dntt9" localSheetId="2" hidden="1">{"'Sheet1'!$L$16"}</definedName>
    <definedName name="dntt9" localSheetId="4" hidden="1">{"'Sheet1'!$L$16"}</definedName>
    <definedName name="dntt9" localSheetId="5" hidden="1">{"'Sheet1'!$L$16"}</definedName>
    <definedName name="dntt9" localSheetId="6" hidden="1">{"'Sheet1'!$L$16"}</definedName>
    <definedName name="dntt9" localSheetId="7" hidden="1">{"'Sheet1'!$L$16"}</definedName>
    <definedName name="dntt9" localSheetId="8" hidden="1">{"'Sheet1'!$L$16"}</definedName>
    <definedName name="dntt9" hidden="1">{"'Sheet1'!$L$16"}</definedName>
    <definedName name="doan1" localSheetId="8">#REF!</definedName>
    <definedName name="doan1">#REF!</definedName>
    <definedName name="doan2" localSheetId="8">#REF!</definedName>
    <definedName name="doan2">#REF!</definedName>
    <definedName name="doan3" localSheetId="8">#REF!</definedName>
    <definedName name="doan3">#REF!</definedName>
    <definedName name="doan4" localSheetId="8">#REF!</definedName>
    <definedName name="doan4">#REF!</definedName>
    <definedName name="doan5" localSheetId="8">#REF!</definedName>
    <definedName name="doan5">#REF!</definedName>
    <definedName name="doan6" localSheetId="8">#REF!</definedName>
    <definedName name="doan6">#REF!</definedName>
    <definedName name="doanhthuA">#REF!</definedName>
    <definedName name="dobt" localSheetId="8">#REF!</definedName>
    <definedName name="dobt">#REF!</definedName>
    <definedName name="Document_array" localSheetId="8">{"N©ng tÇng 4 Trô së UBND QuËn Hoµn KiÕm .xls","Sheet1"}</definedName>
    <definedName name="Document_array">{"N©ng tÇng 4 Trô së UBND QuËn Hoµn KiÕm .xls","Sheet1"}</definedName>
    <definedName name="Documents_array" localSheetId="8">#REF!</definedName>
    <definedName name="Documents_array">#REF!</definedName>
    <definedName name="Domain" localSheetId="4" hidden="1">#REF!</definedName>
    <definedName name="Domain" localSheetId="5" hidden="1">#REF!</definedName>
    <definedName name="Domain" localSheetId="6" hidden="1">#REF!</definedName>
    <definedName name="Domain" localSheetId="7" hidden="1">#REF!</definedName>
    <definedName name="Domain" localSheetId="8" hidden="1">#REF!</definedName>
    <definedName name="Domain" hidden="1">#REF!</definedName>
    <definedName name="Dong_coc" localSheetId="8">#REF!</definedName>
    <definedName name="Dong_coc">#REF!</definedName>
    <definedName name="dongia">#REF!</definedName>
    <definedName name="dongia1">#REF!</definedName>
    <definedName name="DongiaPA1" localSheetId="8">#REF!</definedName>
    <definedName name="DongiaPA1">#REF!</definedName>
    <definedName name="DongiaPA2" localSheetId="8">#REF!</definedName>
    <definedName name="DongiaPA2">#REF!</definedName>
    <definedName name="Donvi" localSheetId="8">#REF!</definedName>
    <definedName name="Donvi">#REF!</definedName>
    <definedName name="DONVIDG" localSheetId="8">OFFSET(#REF!,COUNTIF(#REF!,"&lt;&gt;0")-1,0,1)</definedName>
    <definedName name="DONVIDG">OFFSET(#REF!,COUNTIF(#REF!,"&lt;&gt;0")-1,0,1)</definedName>
    <definedName name="DoorWindow" localSheetId="8">#REF!</definedName>
    <definedName name="DoorWindow">#REF!</definedName>
    <definedName name="Dp" localSheetId="8">#REF!</definedName>
    <definedName name="Dp">#REF!</definedName>
    <definedName name="DQQD" localSheetId="8">#REF!</definedName>
    <definedName name="DQQD">#REF!</definedName>
    <definedName name="drg">#REF!</definedName>
    <definedName name="Dry">#REF!</definedName>
    <definedName name="dry.">#REF!</definedName>
    <definedName name="dry.." localSheetId="8">#REF!</definedName>
    <definedName name="dry..">#REF!</definedName>
    <definedName name="ds" localSheetId="8">#REF!</definedName>
    <definedName name="ds">#REF!</definedName>
    <definedName name="DS_2" localSheetId="8">#REF!</definedName>
    <definedName name="DS_2">#REF!</definedName>
    <definedName name="DS_305" localSheetId="8">#REF!</definedName>
    <definedName name="DS_305">#REF!</definedName>
    <definedName name="DS_381" localSheetId="8">#REF!</definedName>
    <definedName name="DS_381">#REF!</definedName>
    <definedName name="ds1p2nc" localSheetId="8">#REF!</definedName>
    <definedName name="ds1p2nc">#REF!</definedName>
    <definedName name="ds1p2vc" localSheetId="8">#REF!</definedName>
    <definedName name="ds1p2vc">#REF!</definedName>
    <definedName name="ds1p2vl" localSheetId="8">#REF!</definedName>
    <definedName name="ds1p2vl">#REF!</definedName>
    <definedName name="ds1pnc" localSheetId="8">#REF!</definedName>
    <definedName name="ds1pnc">#REF!</definedName>
    <definedName name="ds1pvl" localSheetId="8">#REF!</definedName>
    <definedName name="ds1pvl">#REF!</definedName>
    <definedName name="ds3pmnc" localSheetId="8">#REF!</definedName>
    <definedName name="ds3pmnc">#REF!</definedName>
    <definedName name="ds3pmvc" localSheetId="8">#REF!</definedName>
    <definedName name="ds3pmvc">#REF!</definedName>
    <definedName name="ds3pmvl" localSheetId="8">#REF!</definedName>
    <definedName name="ds3pmvl">#REF!</definedName>
    <definedName name="ds3pnc" localSheetId="8">#REF!</definedName>
    <definedName name="ds3pnc">#REF!</definedName>
    <definedName name="ds3pvl" localSheetId="8">#REF!</definedName>
    <definedName name="ds3pvl">#REF!</definedName>
    <definedName name="dsafddsdf" localSheetId="1" hidden="1">{"'Sheet1'!$L$16"}</definedName>
    <definedName name="dsafddsdf" localSheetId="2" hidden="1">{"'Sheet1'!$L$16"}</definedName>
    <definedName name="dsafddsdf" localSheetId="4" hidden="1">{"'Sheet1'!$L$16"}</definedName>
    <definedName name="dsafddsdf" localSheetId="5" hidden="1">{"'Sheet1'!$L$16"}</definedName>
    <definedName name="dsafddsdf" localSheetId="6" hidden="1">{"'Sheet1'!$L$16"}</definedName>
    <definedName name="dsafddsdf" localSheetId="7" hidden="1">{"'Sheet1'!$L$16"}</definedName>
    <definedName name="dsafddsdf" localSheetId="8" hidden="1">{"'Sheet1'!$L$16"}</definedName>
    <definedName name="dsafddsdf" hidden="1">{"'Sheet1'!$L$16"}</definedName>
    <definedName name="dsct3pnc" localSheetId="8">#REF!</definedName>
    <definedName name="dsct3pnc">#REF!</definedName>
    <definedName name="dsct3pvl" localSheetId="8">#REF!</definedName>
    <definedName name="dsct3pvl">#REF!</definedName>
    <definedName name="DSet" localSheetId="8">#REF!</definedName>
    <definedName name="DSet">#REF!</definedName>
    <definedName name="dsfdsdfsdf" localSheetId="1" hidden="1">{#N/A,#N/A,FALSE,"CCTV"}</definedName>
    <definedName name="dsfdsdfsdf" localSheetId="2" hidden="1">{#N/A,#N/A,FALSE,"CCTV"}</definedName>
    <definedName name="dsfdsdfsdf" localSheetId="4" hidden="1">{#N/A,#N/A,FALSE,"CCTV"}</definedName>
    <definedName name="dsfdsdfsdf" localSheetId="5" hidden="1">{#N/A,#N/A,FALSE,"CCTV"}</definedName>
    <definedName name="dsfdsdfsdf" localSheetId="6" hidden="1">{#N/A,#N/A,FALSE,"CCTV"}</definedName>
    <definedName name="dsfdsdfsdf" localSheetId="7" hidden="1">{#N/A,#N/A,FALSE,"CCTV"}</definedName>
    <definedName name="dsfdsdfsdf" localSheetId="8" hidden="1">{#N/A,#N/A,FALSE,"CCTV"}</definedName>
    <definedName name="dsfdsdfsdf" hidden="1">{#N/A,#N/A,FALSE,"CCTV"}</definedName>
    <definedName name="dsfsdfsfsdf" localSheetId="1" hidden="1">{"'Sheet1'!$L$16"}</definedName>
    <definedName name="dsfsdfsfsdf" localSheetId="2" hidden="1">{"'Sheet1'!$L$16"}</definedName>
    <definedName name="dsfsdfsfsdf" localSheetId="4" hidden="1">{"'Sheet1'!$L$16"}</definedName>
    <definedName name="dsfsdfsfsdf" localSheetId="5" hidden="1">{"'Sheet1'!$L$16"}</definedName>
    <definedName name="dsfsdfsfsdf" localSheetId="6" hidden="1">{"'Sheet1'!$L$16"}</definedName>
    <definedName name="dsfsdfsfsdf" localSheetId="7" hidden="1">{"'Sheet1'!$L$16"}</definedName>
    <definedName name="dsfsdfsfsdf" localSheetId="8" hidden="1">{"'Sheet1'!$L$16"}</definedName>
    <definedName name="dsfsdfsfsdf" hidden="1">{"'Sheet1'!$L$16"}</definedName>
    <definedName name="dskhu" localSheetId="8">#REF!</definedName>
    <definedName name="dskhu">#REF!</definedName>
    <definedName name="dsm" localSheetId="8">#REF!</definedName>
    <definedName name="dsm">#REF!</definedName>
    <definedName name="DSmau" localSheetId="8">#REF!</definedName>
    <definedName name="DSmau">#REF!</definedName>
    <definedName name="Dsoil" localSheetId="8">#REF!</definedName>
    <definedName name="Dsoil">#REF!</definedName>
    <definedName name="DSTinh" localSheetId="8">#REF!</definedName>
    <definedName name="DSTinh">#REF!</definedName>
    <definedName name="DSUMDATA" localSheetId="8">#REF!</definedName>
    <definedName name="DSUMDATA">#REF!</definedName>
    <definedName name="Dsup" localSheetId="8">#REF!</definedName>
    <definedName name="Dsup">#REF!</definedName>
    <definedName name="dt">#REF!</definedName>
    <definedName name="Dt_" localSheetId="8">#REF!</definedName>
    <definedName name="Dt_">#REF!</definedName>
    <definedName name="DT_V1">#REF!</definedName>
    <definedName name="DT_Xây">#REF!</definedName>
    <definedName name="dtct">#REF!</definedName>
    <definedName name="dthaihh" localSheetId="8">#REF!</definedName>
    <definedName name="dthaihh">#REF!</definedName>
    <definedName name="dtich1" localSheetId="8">#REF!</definedName>
    <definedName name="dtich1">#REF!</definedName>
    <definedName name="dtich2" localSheetId="8">#REF!</definedName>
    <definedName name="dtich2">#REF!</definedName>
    <definedName name="dtich3" localSheetId="8">#REF!</definedName>
    <definedName name="dtich3">#REF!</definedName>
    <definedName name="dtich4" localSheetId="8">#REF!</definedName>
    <definedName name="dtich4">#REF!</definedName>
    <definedName name="dtich5" localSheetId="8">#REF!</definedName>
    <definedName name="dtich5">#REF!</definedName>
    <definedName name="dtich6" localSheetId="8">#REF!</definedName>
    <definedName name="dtich6">#REF!</definedName>
    <definedName name="DTKT3" localSheetId="1" hidden="1">{"'Sheet1'!$L$16"}</definedName>
    <definedName name="DTKT3" localSheetId="2" hidden="1">{"'Sheet1'!$L$16"}</definedName>
    <definedName name="DTKT3" localSheetId="4" hidden="1">{"'Sheet1'!$L$16"}</definedName>
    <definedName name="DTKT3" localSheetId="5" hidden="1">{"'Sheet1'!$L$16"}</definedName>
    <definedName name="DTKT3" localSheetId="6" hidden="1">{"'Sheet1'!$L$16"}</definedName>
    <definedName name="DTKT3" localSheetId="7" hidden="1">{"'Sheet1'!$L$16"}</definedName>
    <definedName name="DTKT3" localSheetId="8" hidden="1">{"'Sheet1'!$L$16"}</definedName>
    <definedName name="DTKT3" hidden="1">{"'Sheet1'!$L$16"}</definedName>
    <definedName name="DTTK" localSheetId="1" hidden="1">{"'Sheet1'!$L$16"}</definedName>
    <definedName name="DTTK" localSheetId="2" hidden="1">{"'Sheet1'!$L$16"}</definedName>
    <definedName name="DTTK" localSheetId="3" hidden="1">{"'Sheet1'!$L$16"}</definedName>
    <definedName name="DTTK" localSheetId="4" hidden="1">{"'Sheet1'!$L$16"}</definedName>
    <definedName name="DTTK" localSheetId="5" hidden="1">{"'Sheet1'!$L$16"}</definedName>
    <definedName name="DTTK" localSheetId="6" hidden="1">{"'Sheet1'!$L$16"}</definedName>
    <definedName name="DTTK" localSheetId="7" hidden="1">{"'Sheet1'!$L$16"}</definedName>
    <definedName name="DTTK" localSheetId="8" hidden="1">{"'Sheet1'!$L$16"}</definedName>
    <definedName name="DTTK" hidden="1">{"'Sheet1'!$L$16"}</definedName>
    <definedName name="Du" localSheetId="4" hidden="1">#REF!</definedName>
    <definedName name="Du" localSheetId="5" hidden="1">#REF!</definedName>
    <definedName name="Du" localSheetId="6" hidden="1">#REF!</definedName>
    <definedName name="Du" localSheetId="7" hidden="1">#REF!</definedName>
    <definedName name="Du" localSheetId="8" hidden="1">#REF!</definedName>
    <definedName name="Du" hidden="1">#REF!</definedName>
    <definedName name="duong" localSheetId="8">#REF!</definedName>
    <definedName name="duong">#REF!</definedName>
    <definedName name="Duong_373" localSheetId="8">#REF!</definedName>
    <definedName name="Duong_373">#REF!</definedName>
    <definedName name="Duong_dau_cau" localSheetId="8">#REF!</definedName>
    <definedName name="Duong_dau_cau">#REF!</definedName>
    <definedName name="Duong_tam" localSheetId="8">#REF!</definedName>
    <definedName name="Duong_tam">#REF!</definedName>
    <definedName name="duong04" localSheetId="8">#REF!</definedName>
    <definedName name="duong04">#REF!</definedName>
    <definedName name="duong1" localSheetId="8">#REF!</definedName>
    <definedName name="duong1">#REF!</definedName>
    <definedName name="duong2" localSheetId="8">#REF!</definedName>
    <definedName name="duong2">#REF!</definedName>
    <definedName name="duong3" localSheetId="8">#REF!</definedName>
    <definedName name="duong3">#REF!</definedName>
    <definedName name="duong35" localSheetId="8">#REF!</definedName>
    <definedName name="duong35">#REF!</definedName>
    <definedName name="duong4" localSheetId="8">#REF!</definedName>
    <definedName name="duong4">#REF!</definedName>
    <definedName name="duong5" localSheetId="8">#REF!</definedName>
    <definedName name="duong5">#REF!</definedName>
    <definedName name="DUT" localSheetId="8">#REF!</definedName>
    <definedName name="DUT">#REF!</definedName>
    <definedName name="dutoan">#REF!</definedName>
    <definedName name="DutoanDongmo" localSheetId="8">#REF!</definedName>
    <definedName name="DutoanDongmo">#REF!</definedName>
    <definedName name="dv">#REF!</definedName>
    <definedName name="dvql" localSheetId="8">#REF!</definedName>
    <definedName name="dvql">#REF!</definedName>
    <definedName name="dw" localSheetId="8">#REF!</definedName>
    <definedName name="dw">#REF!</definedName>
    <definedName name="Dwall" localSheetId="8">#REF!</definedName>
    <definedName name="Dwall">#REF!</definedName>
    <definedName name="DWPRICE" localSheetId="3" hidden="1">#REF!</definedName>
    <definedName name="DWPRICE" localSheetId="4" hidden="1">#REF!</definedName>
    <definedName name="DWPRICE" localSheetId="5" hidden="1">#REF!</definedName>
    <definedName name="DWPRICE" localSheetId="6" hidden="1">#REF!</definedName>
    <definedName name="DWPRICE" localSheetId="7" hidden="1">#REF!</definedName>
    <definedName name="DWPRICE" localSheetId="8" hidden="1">#REF!</definedName>
    <definedName name="DWPRICE" hidden="1">#REF!</definedName>
    <definedName name="DX" localSheetId="8">#REF!</definedName>
    <definedName name="DX">#REF!</definedName>
    <definedName name="DY" localSheetId="3">#REF!</definedName>
    <definedName name="Dy" localSheetId="4" hidden="1">#REF!</definedName>
    <definedName name="Dy" localSheetId="5" hidden="1">#REF!</definedName>
    <definedName name="Dy" localSheetId="6" hidden="1">#REF!</definedName>
    <definedName name="Dy" localSheetId="7" hidden="1">#REF!</definedName>
    <definedName name="Dy" localSheetId="8" hidden="1">#REF!</definedName>
    <definedName name="Dy" hidden="1">#REF!</definedName>
    <definedName name="DZ" localSheetId="8">#REF!</definedName>
    <definedName name="DZ">#REF!</definedName>
    <definedName name="Dz_35">#REF!</definedName>
    <definedName name="dztramtt" localSheetId="8">#REF!</definedName>
    <definedName name="dztramtt">#REF!</definedName>
    <definedName name="e">#REF!</definedName>
    <definedName name="ë" localSheetId="8">#REF!</definedName>
    <definedName name="ë">#REF!</definedName>
    <definedName name="E_p" localSheetId="8">#REF!</definedName>
    <definedName name="E_p">#REF!</definedName>
    <definedName name="E1.000" localSheetId="8">#REF!</definedName>
    <definedName name="E1.000">#REF!</definedName>
    <definedName name="E1.010" localSheetId="8">#REF!</definedName>
    <definedName name="E1.010">#REF!</definedName>
    <definedName name="E1.020" localSheetId="8">#REF!</definedName>
    <definedName name="E1.020">#REF!</definedName>
    <definedName name="E1.200" localSheetId="8">#REF!</definedName>
    <definedName name="E1.200">#REF!</definedName>
    <definedName name="E1.210" localSheetId="8">#REF!</definedName>
    <definedName name="E1.210">#REF!</definedName>
    <definedName name="E1.220" localSheetId="8">#REF!</definedName>
    <definedName name="E1.220">#REF!</definedName>
    <definedName name="E1.300" localSheetId="8">#REF!</definedName>
    <definedName name="E1.300">#REF!</definedName>
    <definedName name="E1.310" localSheetId="8">#REF!</definedName>
    <definedName name="E1.310">#REF!</definedName>
    <definedName name="E1.320" localSheetId="8">#REF!</definedName>
    <definedName name="E1.320">#REF!</definedName>
    <definedName name="E1.400" localSheetId="8">#REF!</definedName>
    <definedName name="E1.400">#REF!</definedName>
    <definedName name="E1.410" localSheetId="8">#REF!</definedName>
    <definedName name="E1.410">#REF!</definedName>
    <definedName name="E1.420" localSheetId="8">#REF!</definedName>
    <definedName name="E1.420">#REF!</definedName>
    <definedName name="E1.500" localSheetId="8">#REF!</definedName>
    <definedName name="E1.500">#REF!</definedName>
    <definedName name="E1.510" localSheetId="8">#REF!</definedName>
    <definedName name="E1.510">#REF!</definedName>
    <definedName name="E1.520" localSheetId="8">#REF!</definedName>
    <definedName name="E1.520">#REF!</definedName>
    <definedName name="E1.600" localSheetId="8">#REF!</definedName>
    <definedName name="E1.600">#REF!</definedName>
    <definedName name="E1.611" localSheetId="8">#REF!</definedName>
    <definedName name="E1.611">#REF!</definedName>
    <definedName name="E1.631" localSheetId="8">#REF!</definedName>
    <definedName name="E1.631">#REF!</definedName>
    <definedName name="E2.000" localSheetId="8">#REF!</definedName>
    <definedName name="E2.000">#REF!</definedName>
    <definedName name="E2.000A" localSheetId="8">#REF!</definedName>
    <definedName name="E2.000A">#REF!</definedName>
    <definedName name="E2.010" localSheetId="8">#REF!</definedName>
    <definedName name="E2.010">#REF!</definedName>
    <definedName name="E2.010A" localSheetId="8">#REF!</definedName>
    <definedName name="E2.010A">#REF!</definedName>
    <definedName name="E2.020" localSheetId="8">#REF!</definedName>
    <definedName name="E2.020">#REF!</definedName>
    <definedName name="E2.020A" localSheetId="8">#REF!</definedName>
    <definedName name="E2.020A">#REF!</definedName>
    <definedName name="E2.100" localSheetId="8">#REF!</definedName>
    <definedName name="E2.100">#REF!</definedName>
    <definedName name="E2.100A" localSheetId="8">#REF!</definedName>
    <definedName name="E2.100A">#REF!</definedName>
    <definedName name="E2.110" localSheetId="8">#REF!</definedName>
    <definedName name="E2.110">#REF!</definedName>
    <definedName name="E2.110A" localSheetId="8">#REF!</definedName>
    <definedName name="E2.110A">#REF!</definedName>
    <definedName name="E2.120" localSheetId="8">#REF!</definedName>
    <definedName name="E2.120">#REF!</definedName>
    <definedName name="E2.120A" localSheetId="8">#REF!</definedName>
    <definedName name="E2.120A">#REF!</definedName>
    <definedName name="E3.000" localSheetId="8">#REF!</definedName>
    <definedName name="E3.000">#REF!</definedName>
    <definedName name="E3.010" localSheetId="8">#REF!</definedName>
    <definedName name="E3.010">#REF!</definedName>
    <definedName name="E3.020" localSheetId="8">#REF!</definedName>
    <definedName name="E3.020">#REF!</definedName>
    <definedName name="E3.031" localSheetId="8">#REF!</definedName>
    <definedName name="E3.031">#REF!</definedName>
    <definedName name="E3.032" localSheetId="8">#REF!</definedName>
    <definedName name="E3.032">#REF!</definedName>
    <definedName name="E3.033" localSheetId="8">#REF!</definedName>
    <definedName name="E3.033">#REF!</definedName>
    <definedName name="E4.001" localSheetId="8">#REF!</definedName>
    <definedName name="E4.001">#REF!</definedName>
    <definedName name="E4.011" localSheetId="8">#REF!</definedName>
    <definedName name="E4.011">#REF!</definedName>
    <definedName name="E4.021" localSheetId="8">#REF!</definedName>
    <definedName name="E4.021">#REF!</definedName>
    <definedName name="E4.101" localSheetId="8">#REF!</definedName>
    <definedName name="E4.101">#REF!</definedName>
    <definedName name="E4.111" localSheetId="8">#REF!</definedName>
    <definedName name="E4.111">#REF!</definedName>
    <definedName name="E4.121" localSheetId="8">#REF!</definedName>
    <definedName name="E4.121">#REF!</definedName>
    <definedName name="E5.010" localSheetId="8">#REF!</definedName>
    <definedName name="E5.010">#REF!</definedName>
    <definedName name="E5.020" localSheetId="8">#REF!</definedName>
    <definedName name="E5.020">#REF!</definedName>
    <definedName name="E5.030" localSheetId="8">#REF!</definedName>
    <definedName name="E5.030">#REF!</definedName>
    <definedName name="E6.001" localSheetId="8">#REF!</definedName>
    <definedName name="E6.001">#REF!</definedName>
    <definedName name="E6.002" localSheetId="8">#REF!</definedName>
    <definedName name="E6.002">#REF!</definedName>
    <definedName name="E6.011" localSheetId="8">#REF!</definedName>
    <definedName name="E6.011">#REF!</definedName>
    <definedName name="E6.012" localSheetId="8">#REF!</definedName>
    <definedName name="E6.012">#REF!</definedName>
    <definedName name="ë74" localSheetId="8">#REF!</definedName>
    <definedName name="ë74">#REF!</definedName>
    <definedName name="Earthwork" localSheetId="8">#REF!</definedName>
    <definedName name="Earthwork">#REF!</definedName>
    <definedName name="ec" localSheetId="8">#REF!</definedName>
    <definedName name="ec">#REF!</definedName>
    <definedName name="ec_" localSheetId="8">#REF!</definedName>
    <definedName name="ec_">#REF!</definedName>
    <definedName name="EcG">#REF!</definedName>
    <definedName name="Eci">#REF!</definedName>
    <definedName name="Ecs">#REF!</definedName>
    <definedName name="ED" localSheetId="1" hidden="1">{#N/A,#N/A,FALSE,"CCTV"}</definedName>
    <definedName name="ED" localSheetId="2" hidden="1">{#N/A,#N/A,FALSE,"CCTV"}</definedName>
    <definedName name="ED" localSheetId="4" hidden="1">{#N/A,#N/A,FALSE,"CCTV"}</definedName>
    <definedName name="ED" localSheetId="5" hidden="1">{#N/A,#N/A,FALSE,"CCTV"}</definedName>
    <definedName name="ED" localSheetId="6" hidden="1">{#N/A,#N/A,FALSE,"CCTV"}</definedName>
    <definedName name="ED" localSheetId="7" hidden="1">{#N/A,#N/A,FALSE,"CCTV"}</definedName>
    <definedName name="ED" localSheetId="8" hidden="1">{#N/A,#N/A,FALSE,"CCTV"}</definedName>
    <definedName name="ED" hidden="1">{#N/A,#N/A,FALSE,"CCTV"}</definedName>
    <definedName name="EDR" localSheetId="8">#REF!</definedName>
    <definedName name="EDR">#REF!</definedName>
    <definedName name="eef" localSheetId="1" hidden="1">{"'Sheet1'!$L$16"}</definedName>
    <definedName name="eef" localSheetId="2" hidden="1">{"'Sheet1'!$L$16"}</definedName>
    <definedName name="eef" localSheetId="4" hidden="1">{"'Sheet1'!$L$16"}</definedName>
    <definedName name="eef" localSheetId="5" hidden="1">{"'Sheet1'!$L$16"}</definedName>
    <definedName name="eef" localSheetId="6" hidden="1">{"'Sheet1'!$L$16"}</definedName>
    <definedName name="eef" localSheetId="7" hidden="1">{"'Sheet1'!$L$16"}</definedName>
    <definedName name="eef" localSheetId="8" hidden="1">{"'Sheet1'!$L$16"}</definedName>
    <definedName name="eef" hidden="1">{"'Sheet1'!$L$16"}</definedName>
    <definedName name="efs" localSheetId="8">#REF!</definedName>
    <definedName name="efs">#REF!</definedName>
    <definedName name="EIRR11" localSheetId="8">#REF!</definedName>
    <definedName name="EIRR11">#REF!</definedName>
    <definedName name="EIRR22" localSheetId="8">#REF!</definedName>
    <definedName name="EIRR22">#REF!</definedName>
    <definedName name="EL2_" localSheetId="8">#REF!</definedName>
    <definedName name="EL2_">#REF!</definedName>
    <definedName name="EL3_" localSheetId="8">#REF!</definedName>
    <definedName name="EL3_">#REF!</definedName>
    <definedName name="EL4_" localSheetId="8">#REF!</definedName>
    <definedName name="EL4_">#REF!</definedName>
    <definedName name="EL5_" localSheetId="8">#REF!</definedName>
    <definedName name="EL5_">#REF!</definedName>
    <definedName name="EL6_">#REF!</definedName>
    <definedName name="ELa" localSheetId="8">#REF!</definedName>
    <definedName name="ELa">#REF!</definedName>
    <definedName name="ELb" localSheetId="8">#REF!</definedName>
    <definedName name="ELb">#REF!</definedName>
    <definedName name="ELc" localSheetId="8">#REF!</definedName>
    <definedName name="ELc">#REF!</definedName>
    <definedName name="ELLEN1" localSheetId="1" hidden="1">{#N/A,#N/A,FALSE,"CCTV"}</definedName>
    <definedName name="ELLEN1" localSheetId="2" hidden="1">{#N/A,#N/A,FALSE,"CCTV"}</definedName>
    <definedName name="ELLEN1" localSheetId="4" hidden="1">{#N/A,#N/A,FALSE,"CCTV"}</definedName>
    <definedName name="ELLEN1" localSheetId="5" hidden="1">{#N/A,#N/A,FALSE,"CCTV"}</definedName>
    <definedName name="ELLEN1" localSheetId="6" hidden="1">{#N/A,#N/A,FALSE,"CCTV"}</definedName>
    <definedName name="ELLEN1" localSheetId="7" hidden="1">{#N/A,#N/A,FALSE,"CCTV"}</definedName>
    <definedName name="ELLEN1" localSheetId="8" hidden="1">{#N/A,#N/A,FALSE,"CCTV"}</definedName>
    <definedName name="ELLEN1" hidden="1">{#N/A,#N/A,FALSE,"CCTV"}</definedName>
    <definedName name="ELLEN10" localSheetId="1" hidden="1">{#N/A,#N/A,FALSE,"CCTV"}</definedName>
    <definedName name="ELLEN10" localSheetId="2" hidden="1">{#N/A,#N/A,FALSE,"CCTV"}</definedName>
    <definedName name="ELLEN10" localSheetId="4" hidden="1">{#N/A,#N/A,FALSE,"CCTV"}</definedName>
    <definedName name="ELLEN10" localSheetId="5" hidden="1">{#N/A,#N/A,FALSE,"CCTV"}</definedName>
    <definedName name="ELLEN10" localSheetId="6" hidden="1">{#N/A,#N/A,FALSE,"CCTV"}</definedName>
    <definedName name="ELLEN10" localSheetId="7" hidden="1">{#N/A,#N/A,FALSE,"CCTV"}</definedName>
    <definedName name="ELLEN10" localSheetId="8" hidden="1">{#N/A,#N/A,FALSE,"CCTV"}</definedName>
    <definedName name="ELLEN10" hidden="1">{#N/A,#N/A,FALSE,"CCTV"}</definedName>
    <definedName name="ELLEN11" localSheetId="1" hidden="1">{#N/A,#N/A,FALSE,"CCTV"}</definedName>
    <definedName name="ELLEN11" localSheetId="2" hidden="1">{#N/A,#N/A,FALSE,"CCTV"}</definedName>
    <definedName name="ELLEN11" localSheetId="4" hidden="1">{#N/A,#N/A,FALSE,"CCTV"}</definedName>
    <definedName name="ELLEN11" localSheetId="5" hidden="1">{#N/A,#N/A,FALSE,"CCTV"}</definedName>
    <definedName name="ELLEN11" localSheetId="6" hidden="1">{#N/A,#N/A,FALSE,"CCTV"}</definedName>
    <definedName name="ELLEN11" localSheetId="7" hidden="1">{#N/A,#N/A,FALSE,"CCTV"}</definedName>
    <definedName name="ELLEN11" localSheetId="8" hidden="1">{#N/A,#N/A,FALSE,"CCTV"}</definedName>
    <definedName name="ELLEN11" hidden="1">{#N/A,#N/A,FALSE,"CCTV"}</definedName>
    <definedName name="ELLEN12" localSheetId="1" hidden="1">{#N/A,#N/A,FALSE,"CCTV"}</definedName>
    <definedName name="ELLEN12" localSheetId="2" hidden="1">{#N/A,#N/A,FALSE,"CCTV"}</definedName>
    <definedName name="ELLEN12" localSheetId="4" hidden="1">{#N/A,#N/A,FALSE,"CCTV"}</definedName>
    <definedName name="ELLEN12" localSheetId="5" hidden="1">{#N/A,#N/A,FALSE,"CCTV"}</definedName>
    <definedName name="ELLEN12" localSheetId="6" hidden="1">{#N/A,#N/A,FALSE,"CCTV"}</definedName>
    <definedName name="ELLEN12" localSheetId="7" hidden="1">{#N/A,#N/A,FALSE,"CCTV"}</definedName>
    <definedName name="ELLEN12" localSheetId="8" hidden="1">{#N/A,#N/A,FALSE,"CCTV"}</definedName>
    <definedName name="ELLEN12" hidden="1">{#N/A,#N/A,FALSE,"CCTV"}</definedName>
    <definedName name="ELLEN13" localSheetId="1" hidden="1">{#N/A,#N/A,FALSE,"CCTV"}</definedName>
    <definedName name="ELLEN13" localSheetId="2" hidden="1">{#N/A,#N/A,FALSE,"CCTV"}</definedName>
    <definedName name="ELLEN13" localSheetId="4" hidden="1">{#N/A,#N/A,FALSE,"CCTV"}</definedName>
    <definedName name="ELLEN13" localSheetId="5" hidden="1">{#N/A,#N/A,FALSE,"CCTV"}</definedName>
    <definedName name="ELLEN13" localSheetId="6" hidden="1">{#N/A,#N/A,FALSE,"CCTV"}</definedName>
    <definedName name="ELLEN13" localSheetId="7" hidden="1">{#N/A,#N/A,FALSE,"CCTV"}</definedName>
    <definedName name="ELLEN13" localSheetId="8" hidden="1">{#N/A,#N/A,FALSE,"CCTV"}</definedName>
    <definedName name="ELLEN13" hidden="1">{#N/A,#N/A,FALSE,"CCTV"}</definedName>
    <definedName name="ELLEN14" localSheetId="1" hidden="1">{#N/A,#N/A,FALSE,"CCTV"}</definedName>
    <definedName name="ELLEN14" localSheetId="2" hidden="1">{#N/A,#N/A,FALSE,"CCTV"}</definedName>
    <definedName name="ELLEN14" localSheetId="4" hidden="1">{#N/A,#N/A,FALSE,"CCTV"}</definedName>
    <definedName name="ELLEN14" localSheetId="5" hidden="1">{#N/A,#N/A,FALSE,"CCTV"}</definedName>
    <definedName name="ELLEN14" localSheetId="6" hidden="1">{#N/A,#N/A,FALSE,"CCTV"}</definedName>
    <definedName name="ELLEN14" localSheetId="7" hidden="1">{#N/A,#N/A,FALSE,"CCTV"}</definedName>
    <definedName name="ELLEN14" localSheetId="8" hidden="1">{#N/A,#N/A,FALSE,"CCTV"}</definedName>
    <definedName name="ELLEN14" hidden="1">{#N/A,#N/A,FALSE,"CCTV"}</definedName>
    <definedName name="ELLEN15" localSheetId="1" hidden="1">{#N/A,#N/A,FALSE,"CCTV"}</definedName>
    <definedName name="ELLEN15" localSheetId="2" hidden="1">{#N/A,#N/A,FALSE,"CCTV"}</definedName>
    <definedName name="ELLEN15" localSheetId="4" hidden="1">{#N/A,#N/A,FALSE,"CCTV"}</definedName>
    <definedName name="ELLEN15" localSheetId="5" hidden="1">{#N/A,#N/A,FALSE,"CCTV"}</definedName>
    <definedName name="ELLEN15" localSheetId="6" hidden="1">{#N/A,#N/A,FALSE,"CCTV"}</definedName>
    <definedName name="ELLEN15" localSheetId="7" hidden="1">{#N/A,#N/A,FALSE,"CCTV"}</definedName>
    <definedName name="ELLEN15" localSheetId="8" hidden="1">{#N/A,#N/A,FALSE,"CCTV"}</definedName>
    <definedName name="ELLEN15" hidden="1">{#N/A,#N/A,FALSE,"CCTV"}</definedName>
    <definedName name="ELLEN16" localSheetId="1" hidden="1">{#N/A,#N/A,FALSE,"CCTV"}</definedName>
    <definedName name="ELLEN16" localSheetId="2" hidden="1">{#N/A,#N/A,FALSE,"CCTV"}</definedName>
    <definedName name="ELLEN16" localSheetId="4" hidden="1">{#N/A,#N/A,FALSE,"CCTV"}</definedName>
    <definedName name="ELLEN16" localSheetId="5" hidden="1">{#N/A,#N/A,FALSE,"CCTV"}</definedName>
    <definedName name="ELLEN16" localSheetId="6" hidden="1">{#N/A,#N/A,FALSE,"CCTV"}</definedName>
    <definedName name="ELLEN16" localSheetId="7" hidden="1">{#N/A,#N/A,FALSE,"CCTV"}</definedName>
    <definedName name="ELLEN16" localSheetId="8" hidden="1">{#N/A,#N/A,FALSE,"CCTV"}</definedName>
    <definedName name="ELLEN16" hidden="1">{#N/A,#N/A,FALSE,"CCTV"}</definedName>
    <definedName name="ELLEN17" localSheetId="1" hidden="1">{#N/A,#N/A,FALSE,"CCTV"}</definedName>
    <definedName name="ELLEN17" localSheetId="2" hidden="1">{#N/A,#N/A,FALSE,"CCTV"}</definedName>
    <definedName name="ELLEN17" localSheetId="4" hidden="1">{#N/A,#N/A,FALSE,"CCTV"}</definedName>
    <definedName name="ELLEN17" localSheetId="5" hidden="1">{#N/A,#N/A,FALSE,"CCTV"}</definedName>
    <definedName name="ELLEN17" localSheetId="6" hidden="1">{#N/A,#N/A,FALSE,"CCTV"}</definedName>
    <definedName name="ELLEN17" localSheetId="7" hidden="1">{#N/A,#N/A,FALSE,"CCTV"}</definedName>
    <definedName name="ELLEN17" localSheetId="8" hidden="1">{#N/A,#N/A,FALSE,"CCTV"}</definedName>
    <definedName name="ELLEN17" hidden="1">{#N/A,#N/A,FALSE,"CCTV"}</definedName>
    <definedName name="ELLEN18" localSheetId="1" hidden="1">{#N/A,#N/A,FALSE,"CCTV"}</definedName>
    <definedName name="ELLEN18" localSheetId="2" hidden="1">{#N/A,#N/A,FALSE,"CCTV"}</definedName>
    <definedName name="ELLEN18" localSheetId="4" hidden="1">{#N/A,#N/A,FALSE,"CCTV"}</definedName>
    <definedName name="ELLEN18" localSheetId="5" hidden="1">{#N/A,#N/A,FALSE,"CCTV"}</definedName>
    <definedName name="ELLEN18" localSheetId="6" hidden="1">{#N/A,#N/A,FALSE,"CCTV"}</definedName>
    <definedName name="ELLEN18" localSheetId="7" hidden="1">{#N/A,#N/A,FALSE,"CCTV"}</definedName>
    <definedName name="ELLEN18" localSheetId="8" hidden="1">{#N/A,#N/A,FALSE,"CCTV"}</definedName>
    <definedName name="ELLEN18" hidden="1">{#N/A,#N/A,FALSE,"CCTV"}</definedName>
    <definedName name="ELLEN19" localSheetId="1" hidden="1">{#N/A,#N/A,FALSE,"CCTV"}</definedName>
    <definedName name="ELLEN19" localSheetId="2" hidden="1">{#N/A,#N/A,FALSE,"CCTV"}</definedName>
    <definedName name="ELLEN19" localSheetId="4" hidden="1">{#N/A,#N/A,FALSE,"CCTV"}</definedName>
    <definedName name="ELLEN19" localSheetId="5" hidden="1">{#N/A,#N/A,FALSE,"CCTV"}</definedName>
    <definedName name="ELLEN19" localSheetId="6" hidden="1">{#N/A,#N/A,FALSE,"CCTV"}</definedName>
    <definedName name="ELLEN19" localSheetId="7" hidden="1">{#N/A,#N/A,FALSE,"CCTV"}</definedName>
    <definedName name="ELLEN19" localSheetId="8" hidden="1">{#N/A,#N/A,FALSE,"CCTV"}</definedName>
    <definedName name="ELLEN19" hidden="1">{#N/A,#N/A,FALSE,"CCTV"}</definedName>
    <definedName name="ELLEN2" localSheetId="1" hidden="1">{#N/A,#N/A,FALSE,"CCTV"}</definedName>
    <definedName name="ELLEN2" localSheetId="2" hidden="1">{#N/A,#N/A,FALSE,"CCTV"}</definedName>
    <definedName name="ELLEN2" localSheetId="4" hidden="1">{#N/A,#N/A,FALSE,"CCTV"}</definedName>
    <definedName name="ELLEN2" localSheetId="5" hidden="1">{#N/A,#N/A,FALSE,"CCTV"}</definedName>
    <definedName name="ELLEN2" localSheetId="6" hidden="1">{#N/A,#N/A,FALSE,"CCTV"}</definedName>
    <definedName name="ELLEN2" localSheetId="7" hidden="1">{#N/A,#N/A,FALSE,"CCTV"}</definedName>
    <definedName name="ELLEN2" localSheetId="8" hidden="1">{#N/A,#N/A,FALSE,"CCTV"}</definedName>
    <definedName name="ELLEN2" hidden="1">{#N/A,#N/A,FALSE,"CCTV"}</definedName>
    <definedName name="ELLEN3" localSheetId="1" hidden="1">{#N/A,#N/A,FALSE,"CCTV"}</definedName>
    <definedName name="ELLEN3" localSheetId="2" hidden="1">{#N/A,#N/A,FALSE,"CCTV"}</definedName>
    <definedName name="ELLEN3" localSheetId="4" hidden="1">{#N/A,#N/A,FALSE,"CCTV"}</definedName>
    <definedName name="ELLEN3" localSheetId="5" hidden="1">{#N/A,#N/A,FALSE,"CCTV"}</definedName>
    <definedName name="ELLEN3" localSheetId="6" hidden="1">{#N/A,#N/A,FALSE,"CCTV"}</definedName>
    <definedName name="ELLEN3" localSheetId="7" hidden="1">{#N/A,#N/A,FALSE,"CCTV"}</definedName>
    <definedName name="ELLEN3" localSheetId="8" hidden="1">{#N/A,#N/A,FALSE,"CCTV"}</definedName>
    <definedName name="ELLEN3" hidden="1">{#N/A,#N/A,FALSE,"CCTV"}</definedName>
    <definedName name="ELLEN4" localSheetId="1" hidden="1">{#N/A,#N/A,FALSE,"CCTV"}</definedName>
    <definedName name="ELLEN4" localSheetId="2" hidden="1">{#N/A,#N/A,FALSE,"CCTV"}</definedName>
    <definedName name="ELLEN4" localSheetId="4" hidden="1">{#N/A,#N/A,FALSE,"CCTV"}</definedName>
    <definedName name="ELLEN4" localSheetId="5" hidden="1">{#N/A,#N/A,FALSE,"CCTV"}</definedName>
    <definedName name="ELLEN4" localSheetId="6" hidden="1">{#N/A,#N/A,FALSE,"CCTV"}</definedName>
    <definedName name="ELLEN4" localSheetId="7" hidden="1">{#N/A,#N/A,FALSE,"CCTV"}</definedName>
    <definedName name="ELLEN4" localSheetId="8" hidden="1">{#N/A,#N/A,FALSE,"CCTV"}</definedName>
    <definedName name="ELLEN4" hidden="1">{#N/A,#N/A,FALSE,"CCTV"}</definedName>
    <definedName name="ELLEN5" localSheetId="1" hidden="1">{#N/A,#N/A,FALSE,"CCTV"}</definedName>
    <definedName name="ELLEN5" localSheetId="2" hidden="1">{#N/A,#N/A,FALSE,"CCTV"}</definedName>
    <definedName name="ELLEN5" localSheetId="4" hidden="1">{#N/A,#N/A,FALSE,"CCTV"}</definedName>
    <definedName name="ELLEN5" localSheetId="5" hidden="1">{#N/A,#N/A,FALSE,"CCTV"}</definedName>
    <definedName name="ELLEN5" localSheetId="6" hidden="1">{#N/A,#N/A,FALSE,"CCTV"}</definedName>
    <definedName name="ELLEN5" localSheetId="7" hidden="1">{#N/A,#N/A,FALSE,"CCTV"}</definedName>
    <definedName name="ELLEN5" localSheetId="8" hidden="1">{#N/A,#N/A,FALSE,"CCTV"}</definedName>
    <definedName name="ELLEN5" hidden="1">{#N/A,#N/A,FALSE,"CCTV"}</definedName>
    <definedName name="ELLEN6" localSheetId="1" hidden="1">{#N/A,#N/A,FALSE,"CCTV"}</definedName>
    <definedName name="ELLEN6" localSheetId="2" hidden="1">{#N/A,#N/A,FALSE,"CCTV"}</definedName>
    <definedName name="ELLEN6" localSheetId="4" hidden="1">{#N/A,#N/A,FALSE,"CCTV"}</definedName>
    <definedName name="ELLEN6" localSheetId="5" hidden="1">{#N/A,#N/A,FALSE,"CCTV"}</definedName>
    <definedName name="ELLEN6" localSheetId="6" hidden="1">{#N/A,#N/A,FALSE,"CCTV"}</definedName>
    <definedName name="ELLEN6" localSheetId="7" hidden="1">{#N/A,#N/A,FALSE,"CCTV"}</definedName>
    <definedName name="ELLEN6" localSheetId="8" hidden="1">{#N/A,#N/A,FALSE,"CCTV"}</definedName>
    <definedName name="ELLEN6" hidden="1">{#N/A,#N/A,FALSE,"CCTV"}</definedName>
    <definedName name="ELLEN7" localSheetId="1" hidden="1">{#N/A,#N/A,FALSE,"CCTV"}</definedName>
    <definedName name="ELLEN7" localSheetId="2" hidden="1">{#N/A,#N/A,FALSE,"CCTV"}</definedName>
    <definedName name="ELLEN7" localSheetId="4" hidden="1">{#N/A,#N/A,FALSE,"CCTV"}</definedName>
    <definedName name="ELLEN7" localSheetId="5" hidden="1">{#N/A,#N/A,FALSE,"CCTV"}</definedName>
    <definedName name="ELLEN7" localSheetId="6" hidden="1">{#N/A,#N/A,FALSE,"CCTV"}</definedName>
    <definedName name="ELLEN7" localSheetId="7" hidden="1">{#N/A,#N/A,FALSE,"CCTV"}</definedName>
    <definedName name="ELLEN7" localSheetId="8" hidden="1">{#N/A,#N/A,FALSE,"CCTV"}</definedName>
    <definedName name="ELLEN7" hidden="1">{#N/A,#N/A,FALSE,"CCTV"}</definedName>
    <definedName name="ELLEN8" localSheetId="1" hidden="1">{#N/A,#N/A,FALSE,"CCTV"}</definedName>
    <definedName name="ELLEN8" localSheetId="2" hidden="1">{#N/A,#N/A,FALSE,"CCTV"}</definedName>
    <definedName name="ELLEN8" localSheetId="4" hidden="1">{#N/A,#N/A,FALSE,"CCTV"}</definedName>
    <definedName name="ELLEN8" localSheetId="5" hidden="1">{#N/A,#N/A,FALSE,"CCTV"}</definedName>
    <definedName name="ELLEN8" localSheetId="6" hidden="1">{#N/A,#N/A,FALSE,"CCTV"}</definedName>
    <definedName name="ELLEN8" localSheetId="7" hidden="1">{#N/A,#N/A,FALSE,"CCTV"}</definedName>
    <definedName name="ELLEN8" localSheetId="8" hidden="1">{#N/A,#N/A,FALSE,"CCTV"}</definedName>
    <definedName name="ELLEN8" hidden="1">{#N/A,#N/A,FALSE,"CCTV"}</definedName>
    <definedName name="ELLEN9" localSheetId="1" hidden="1">{#N/A,#N/A,FALSE,"CCTV"}</definedName>
    <definedName name="ELLEN9" localSheetId="2" hidden="1">{#N/A,#N/A,FALSE,"CCTV"}</definedName>
    <definedName name="ELLEN9" localSheetId="4" hidden="1">{#N/A,#N/A,FALSE,"CCTV"}</definedName>
    <definedName name="ELLEN9" localSheetId="5" hidden="1">{#N/A,#N/A,FALSE,"CCTV"}</definedName>
    <definedName name="ELLEN9" localSheetId="6" hidden="1">{#N/A,#N/A,FALSE,"CCTV"}</definedName>
    <definedName name="ELLEN9" localSheetId="7" hidden="1">{#N/A,#N/A,FALSE,"CCTV"}</definedName>
    <definedName name="ELLEN9" localSheetId="8" hidden="1">{#N/A,#N/A,FALSE,"CCTV"}</definedName>
    <definedName name="ELLEN9" hidden="1">{#N/A,#N/A,FALSE,"CCTV"}</definedName>
    <definedName name="elp" localSheetId="8">#REF!</definedName>
    <definedName name="elp">#REF!</definedName>
    <definedName name="ELsf" localSheetId="8">#REF!</definedName>
    <definedName name="ELsf">#REF!</definedName>
    <definedName name="ELso" localSheetId="8">#REF!</definedName>
    <definedName name="ELso">#REF!</definedName>
    <definedName name="en" localSheetId="8">#REF!</definedName>
    <definedName name="en">#REF!</definedName>
    <definedName name="End_1" localSheetId="8">#REF!</definedName>
    <definedName name="End_1">#REF!</definedName>
    <definedName name="End_10" localSheetId="8">#REF!</definedName>
    <definedName name="End_10">#REF!</definedName>
    <definedName name="End_11" localSheetId="8">#REF!</definedName>
    <definedName name="End_11">#REF!</definedName>
    <definedName name="End_12" localSheetId="8">#REF!</definedName>
    <definedName name="End_12">#REF!</definedName>
    <definedName name="End_13" localSheetId="8">#REF!</definedName>
    <definedName name="End_13">#REF!</definedName>
    <definedName name="End_2" localSheetId="8">#REF!</definedName>
    <definedName name="End_2">#REF!</definedName>
    <definedName name="End_3" localSheetId="8">#REF!</definedName>
    <definedName name="End_3">#REF!</definedName>
    <definedName name="End_4" localSheetId="8">#REF!</definedName>
    <definedName name="End_4">#REF!</definedName>
    <definedName name="End_5" localSheetId="8">#REF!</definedName>
    <definedName name="End_5">#REF!</definedName>
    <definedName name="End_6" localSheetId="8">#REF!</definedName>
    <definedName name="End_6">#REF!</definedName>
    <definedName name="End_7" localSheetId="8">#REF!</definedName>
    <definedName name="End_7">#REF!</definedName>
    <definedName name="End_8" localSheetId="8">#REF!</definedName>
    <definedName name="End_8">#REF!</definedName>
    <definedName name="End_9" localSheetId="8">#REF!</definedName>
    <definedName name="End_9">#REF!</definedName>
    <definedName name="Ep">#REF!</definedName>
    <definedName name="EQI" localSheetId="8">#REF!</definedName>
    <definedName name="EQI">#REF!</definedName>
    <definedName name="er" localSheetId="1" hidden="1">{0,0,0,0;0,0,0,0;0,0,0,0;0,0,0,0;0,0,0,0;0,0,0,0;0,0,0,0}</definedName>
    <definedName name="er" localSheetId="2" hidden="1">{0,0,0,0;0,0,0,0;0,0,0,0;0,0,0,0;0,0,0,0;0,0,0,0;0,0,0,0}</definedName>
    <definedName name="er" localSheetId="4" hidden="1">{0,0,0,0;0,0,0,0;0,0,0,0;0,0,0,0;0,0,0,0;0,0,0,0;0,0,0,0}</definedName>
    <definedName name="er" localSheetId="5" hidden="1">{0,0,0,0;0,0,0,0;0,0,0,0;0,0,0,0;0,0,0,0;0,0,0,0;0,0,0,0}</definedName>
    <definedName name="er" localSheetId="6" hidden="1">{0,0,0,0;0,0,0,0;0,0,0,0;0,0,0,0;0,0,0,0;0,0,0,0;0,0,0,0}</definedName>
    <definedName name="er" localSheetId="7" hidden="1">{0,0,0,0;0,0,0,0;0,0,0,0;0,0,0,0;0,0,0,0;0,0,0,0;0,0,0,0}</definedName>
    <definedName name="er" localSheetId="8" hidden="1">{0,0,0,0;0,0,0,0;0,0,0,0;0,0,0,0;0,0,0,0;0,0,0,0;0,0,0,0}</definedName>
    <definedName name="er" hidden="1">{0,0,0,0;0,0,0,0;0,0,0,0;0,0,0,0;0,0,0,0;0,0,0,0;0,0,0,0}</definedName>
    <definedName name="Error_Chek" localSheetId="8">#REF!</definedName>
    <definedName name="Error_Chek">#REF!</definedName>
    <definedName name="ert" localSheetId="8">#REF!</definedName>
    <definedName name="ert">#REF!</definedName>
    <definedName name="Es" localSheetId="8">#REF!</definedName>
    <definedName name="Es">#REF!</definedName>
    <definedName name="ẻt" localSheetId="8">#REF!</definedName>
    <definedName name="ẻt">#REF!</definedName>
    <definedName name="etuiuti" localSheetId="1" hidden="1">{"'Sheet1'!$L$16"}</definedName>
    <definedName name="etuiuti" localSheetId="2" hidden="1">{"'Sheet1'!$L$16"}</definedName>
    <definedName name="etuiuti" localSheetId="4" hidden="1">{"'Sheet1'!$L$16"}</definedName>
    <definedName name="etuiuti" localSheetId="5" hidden="1">{"'Sheet1'!$L$16"}</definedName>
    <definedName name="etuiuti" localSheetId="6" hidden="1">{"'Sheet1'!$L$16"}</definedName>
    <definedName name="etuiuti" localSheetId="7" hidden="1">{"'Sheet1'!$L$16"}</definedName>
    <definedName name="etuiuti" localSheetId="8" hidden="1">{"'Sheet1'!$L$16"}</definedName>
    <definedName name="etuiuti" hidden="1">{"'Sheet1'!$L$16"}</definedName>
    <definedName name="EVNB" localSheetId="8">#REF!</definedName>
    <definedName name="EVNB">#REF!</definedName>
    <definedName name="EWFFDEWWE" localSheetId="8">#REF!</definedName>
    <definedName name="EWFFDEWWE">#REF!</definedName>
    <definedName name="EWWEDFEW" localSheetId="8">#REF!</definedName>
    <definedName name="EWWEDFEW">#REF!</definedName>
    <definedName name="EX" localSheetId="8">#REF!</definedName>
    <definedName name="EX">#REF!</definedName>
    <definedName name="Ex_L" localSheetId="8">#REF!</definedName>
    <definedName name="Ex_L">#REF!</definedName>
    <definedName name="EX_Length_373" localSheetId="8">#REF!</definedName>
    <definedName name="EX_Length_373">#REF!</definedName>
    <definedName name="EXC" localSheetId="8">#REF!</definedName>
    <definedName name="EXC">#REF!</definedName>
    <definedName name="EXCH" localSheetId="8">#REF!</definedName>
    <definedName name="EXCH">#REF!</definedName>
    <definedName name="EXPORT" localSheetId="8">#REF!</definedName>
    <definedName name="EXPORT">#REF!</definedName>
    <definedName name="_xlnm.Extract" localSheetId="8">#REF!</definedName>
    <definedName name="_xlnm.Extract">#REF!</definedName>
    <definedName name="ey">#REF!</definedName>
    <definedName name="ẻytt" localSheetId="1" hidden="1">{0}</definedName>
    <definedName name="ẻytt" localSheetId="2" hidden="1">{0}</definedName>
    <definedName name="ẻytt" localSheetId="4" hidden="1">{0}</definedName>
    <definedName name="ẻytt" localSheetId="5" hidden="1">{0}</definedName>
    <definedName name="ẻytt" localSheetId="6" hidden="1">{0}</definedName>
    <definedName name="ẻytt" localSheetId="7" hidden="1">{0}</definedName>
    <definedName name="ẻytt" localSheetId="8" hidden="1">{0}</definedName>
    <definedName name="ẻytt" hidden="1">{0}</definedName>
    <definedName name="f" localSheetId="8">#REF!</definedName>
    <definedName name="f">#REF!</definedName>
    <definedName name="f_2" localSheetId="8">#REF!</definedName>
    <definedName name="f_2">#REF!</definedName>
    <definedName name="f_21" localSheetId="8">#REF!</definedName>
    <definedName name="f_21">#REF!</definedName>
    <definedName name="f_22" localSheetId="8">#REF!</definedName>
    <definedName name="f_22">#REF!</definedName>
    <definedName name="f_23" localSheetId="8">#REF!</definedName>
    <definedName name="f_23">#REF!</definedName>
    <definedName name="f_24" localSheetId="8">#REF!</definedName>
    <definedName name="f_24">#REF!</definedName>
    <definedName name="f_3" localSheetId="8">#REF!</definedName>
    <definedName name="f_3">#REF!</definedName>
    <definedName name="f_31" localSheetId="8">#REF!</definedName>
    <definedName name="f_31">#REF!</definedName>
    <definedName name="f_32" localSheetId="8">#REF!</definedName>
    <definedName name="f_32">#REF!</definedName>
    <definedName name="F_33" localSheetId="8">#REF!</definedName>
    <definedName name="F_33">#REF!</definedName>
    <definedName name="f_34" localSheetId="8">#REF!</definedName>
    <definedName name="f_34">#REF!</definedName>
    <definedName name="f_4" localSheetId="8">#REF!</definedName>
    <definedName name="f_4">#REF!</definedName>
    <definedName name="f_41" localSheetId="8">#REF!</definedName>
    <definedName name="f_41">#REF!</definedName>
    <definedName name="f_42" localSheetId="8">#REF!</definedName>
    <definedName name="f_42">#REF!</definedName>
    <definedName name="f_43" localSheetId="8">#REF!</definedName>
    <definedName name="f_43">#REF!</definedName>
    <definedName name="f_44" localSheetId="8">#REF!</definedName>
    <definedName name="f_44">#REF!</definedName>
    <definedName name="f_9a1" localSheetId="8">#REF!</definedName>
    <definedName name="f_9a1">#REF!</definedName>
    <definedName name="f_9a2" localSheetId="8">#REF!</definedName>
    <definedName name="f_9a2">#REF!</definedName>
    <definedName name="f_9a3" localSheetId="8">#REF!</definedName>
    <definedName name="f_9a3">#REF!</definedName>
    <definedName name="f_9a4" localSheetId="8">#REF!</definedName>
    <definedName name="f_9a4">#REF!</definedName>
    <definedName name="f_9b1" localSheetId="8">#REF!</definedName>
    <definedName name="f_9b1">#REF!</definedName>
    <definedName name="f_9b2" localSheetId="8">#REF!</definedName>
    <definedName name="f_9b2">#REF!</definedName>
    <definedName name="f_9b3" localSheetId="8">#REF!</definedName>
    <definedName name="f_9b3">#REF!</definedName>
    <definedName name="f_9b4" localSheetId="8">#REF!</definedName>
    <definedName name="f_9b4">#REF!</definedName>
    <definedName name="F0.000" localSheetId="8">#REF!</definedName>
    <definedName name="F0.000">#REF!</definedName>
    <definedName name="F0.010" localSheetId="8">#REF!</definedName>
    <definedName name="F0.010">#REF!</definedName>
    <definedName name="F0.020" localSheetId="8">#REF!</definedName>
    <definedName name="F0.020">#REF!</definedName>
    <definedName name="F0.100" localSheetId="8">#REF!</definedName>
    <definedName name="F0.100">#REF!</definedName>
    <definedName name="F0.110" localSheetId="8">#REF!</definedName>
    <definedName name="F0.110">#REF!</definedName>
    <definedName name="F0.120" localSheetId="8">#REF!</definedName>
    <definedName name="F0.120">#REF!</definedName>
    <definedName name="F0.200" localSheetId="8">#REF!</definedName>
    <definedName name="F0.200">#REF!</definedName>
    <definedName name="F0.210" localSheetId="8">#REF!</definedName>
    <definedName name="F0.210">#REF!</definedName>
    <definedName name="F0.220" localSheetId="8">#REF!</definedName>
    <definedName name="F0.220">#REF!</definedName>
    <definedName name="F0.300" localSheetId="8">#REF!</definedName>
    <definedName name="F0.300">#REF!</definedName>
    <definedName name="F0.310" localSheetId="8">#REF!</definedName>
    <definedName name="F0.310">#REF!</definedName>
    <definedName name="F0.320" localSheetId="8">#REF!</definedName>
    <definedName name="F0.320">#REF!</definedName>
    <definedName name="F1.000" localSheetId="8">#REF!</definedName>
    <definedName name="F1.000">#REF!</definedName>
    <definedName name="F1.010" localSheetId="8">#REF!</definedName>
    <definedName name="F1.010">#REF!</definedName>
    <definedName name="F1.020" localSheetId="8">#REF!</definedName>
    <definedName name="F1.020">#REF!</definedName>
    <definedName name="F1.100" localSheetId="8">#REF!</definedName>
    <definedName name="F1.100">#REF!</definedName>
    <definedName name="F1.110" localSheetId="8">#REF!</definedName>
    <definedName name="F1.110">#REF!</definedName>
    <definedName name="F1.120" localSheetId="8">#REF!</definedName>
    <definedName name="F1.120">#REF!</definedName>
    <definedName name="F1.130" localSheetId="8">#REF!</definedName>
    <definedName name="F1.130">#REF!</definedName>
    <definedName name="F1.140" localSheetId="8">#REF!</definedName>
    <definedName name="F1.140">#REF!</definedName>
    <definedName name="F1.150" localSheetId="8">#REF!</definedName>
    <definedName name="F1.150">#REF!</definedName>
    <definedName name="F2.001" localSheetId="8">#REF!</definedName>
    <definedName name="F2.001">#REF!</definedName>
    <definedName name="F2.011" localSheetId="8">#REF!</definedName>
    <definedName name="F2.011">#REF!</definedName>
    <definedName name="F2.021" localSheetId="8">#REF!</definedName>
    <definedName name="F2.021">#REF!</definedName>
    <definedName name="F2.031" localSheetId="8">#REF!</definedName>
    <definedName name="F2.031">#REF!</definedName>
    <definedName name="F2.041" localSheetId="8">#REF!</definedName>
    <definedName name="F2.041">#REF!</definedName>
    <definedName name="F2.051" localSheetId="8">#REF!</definedName>
    <definedName name="F2.051">#REF!</definedName>
    <definedName name="F2.052" localSheetId="8">#REF!</definedName>
    <definedName name="F2.052">#REF!</definedName>
    <definedName name="F2.061" localSheetId="8">#REF!</definedName>
    <definedName name="F2.061">#REF!</definedName>
    <definedName name="F2.071" localSheetId="8">#REF!</definedName>
    <definedName name="F2.071">#REF!</definedName>
    <definedName name="F2.101" localSheetId="8">#REF!</definedName>
    <definedName name="F2.101">#REF!</definedName>
    <definedName name="F2.111" localSheetId="8">#REF!</definedName>
    <definedName name="F2.111">#REF!</definedName>
    <definedName name="F2.121" localSheetId="8">#REF!</definedName>
    <definedName name="F2.121">#REF!</definedName>
    <definedName name="F2.131" localSheetId="8">#REF!</definedName>
    <definedName name="F2.131">#REF!</definedName>
    <definedName name="F2.141" localSheetId="8">#REF!</definedName>
    <definedName name="F2.141">#REF!</definedName>
    <definedName name="F2.200" localSheetId="8">#REF!</definedName>
    <definedName name="F2.200">#REF!</definedName>
    <definedName name="F2.210" localSheetId="8">#REF!</definedName>
    <definedName name="F2.210">#REF!</definedName>
    <definedName name="F2.220" localSheetId="8">#REF!</definedName>
    <definedName name="F2.220">#REF!</definedName>
    <definedName name="F2.230" localSheetId="8">#REF!</definedName>
    <definedName name="F2.230">#REF!</definedName>
    <definedName name="F2.240" localSheetId="8">#REF!</definedName>
    <definedName name="F2.240">#REF!</definedName>
    <definedName name="F2.250" localSheetId="8">#REF!</definedName>
    <definedName name="F2.250">#REF!</definedName>
    <definedName name="F2.300" localSheetId="8">#REF!</definedName>
    <definedName name="F2.300">#REF!</definedName>
    <definedName name="F2.310" localSheetId="8">#REF!</definedName>
    <definedName name="F2.310">#REF!</definedName>
    <definedName name="F2.320" localSheetId="8">#REF!</definedName>
    <definedName name="F2.320">#REF!</definedName>
    <definedName name="F3.000" localSheetId="8">#REF!</definedName>
    <definedName name="F3.000">#REF!</definedName>
    <definedName name="F3.010" localSheetId="8">#REF!</definedName>
    <definedName name="F3.010">#REF!</definedName>
    <definedName name="F3.020" localSheetId="8">#REF!</definedName>
    <definedName name="F3.020">#REF!</definedName>
    <definedName name="F3.030" localSheetId="8">#REF!</definedName>
    <definedName name="F3.030">#REF!</definedName>
    <definedName name="F3.100" localSheetId="8">#REF!</definedName>
    <definedName name="F3.100">#REF!</definedName>
    <definedName name="F3.110" localSheetId="8">#REF!</definedName>
    <definedName name="F3.110">#REF!</definedName>
    <definedName name="F3.120" localSheetId="8">#REF!</definedName>
    <definedName name="F3.120">#REF!</definedName>
    <definedName name="F3.130" localSheetId="8">#REF!</definedName>
    <definedName name="F3.130">#REF!</definedName>
    <definedName name="F4.000" localSheetId="8">#REF!</definedName>
    <definedName name="F4.000">#REF!</definedName>
    <definedName name="F4.010" localSheetId="8">#REF!</definedName>
    <definedName name="F4.010">#REF!</definedName>
    <definedName name="F4.020" localSheetId="8">#REF!</definedName>
    <definedName name="F4.020">#REF!</definedName>
    <definedName name="F4.030" localSheetId="8">#REF!</definedName>
    <definedName name="F4.030">#REF!</definedName>
    <definedName name="F4.100" localSheetId="8">#REF!</definedName>
    <definedName name="F4.100">#REF!</definedName>
    <definedName name="F4.120" localSheetId="8">#REF!</definedName>
    <definedName name="F4.120">#REF!</definedName>
    <definedName name="F4.140" localSheetId="8">#REF!</definedName>
    <definedName name="F4.140">#REF!</definedName>
    <definedName name="F4.160" localSheetId="8">#REF!</definedName>
    <definedName name="F4.160">#REF!</definedName>
    <definedName name="F4.200" localSheetId="8">#REF!</definedName>
    <definedName name="F4.200">#REF!</definedName>
    <definedName name="F4.220" localSheetId="8">#REF!</definedName>
    <definedName name="F4.220">#REF!</definedName>
    <definedName name="F4.240" localSheetId="8">#REF!</definedName>
    <definedName name="F4.240">#REF!</definedName>
    <definedName name="F4.260" localSheetId="8">#REF!</definedName>
    <definedName name="F4.260">#REF!</definedName>
    <definedName name="F4.300" localSheetId="8">#REF!</definedName>
    <definedName name="F4.300">#REF!</definedName>
    <definedName name="F4.320" localSheetId="8">#REF!</definedName>
    <definedName name="F4.320">#REF!</definedName>
    <definedName name="F4.340" localSheetId="8">#REF!</definedName>
    <definedName name="F4.340">#REF!</definedName>
    <definedName name="F4.400" localSheetId="8">#REF!</definedName>
    <definedName name="F4.400">#REF!</definedName>
    <definedName name="F4.420" localSheetId="8">#REF!</definedName>
    <definedName name="F4.420">#REF!</definedName>
    <definedName name="F4.440" localSheetId="8">#REF!</definedName>
    <definedName name="F4.440">#REF!</definedName>
    <definedName name="F4.500" localSheetId="8">#REF!</definedName>
    <definedName name="F4.500">#REF!</definedName>
    <definedName name="F4.530" localSheetId="8">#REF!</definedName>
    <definedName name="F4.530">#REF!</definedName>
    <definedName name="F4.550" localSheetId="8">#REF!</definedName>
    <definedName name="F4.550">#REF!</definedName>
    <definedName name="F4.570" localSheetId="8">#REF!</definedName>
    <definedName name="F4.570">#REF!</definedName>
    <definedName name="F4.600" localSheetId="8">#REF!</definedName>
    <definedName name="F4.600">#REF!</definedName>
    <definedName name="F4.610" localSheetId="8">#REF!</definedName>
    <definedName name="F4.610">#REF!</definedName>
    <definedName name="F4.620" localSheetId="8">#REF!</definedName>
    <definedName name="F4.620">#REF!</definedName>
    <definedName name="F4.700" localSheetId="8">#REF!</definedName>
    <definedName name="F4.700">#REF!</definedName>
    <definedName name="F4.730" localSheetId="8">#REF!</definedName>
    <definedName name="F4.730">#REF!</definedName>
    <definedName name="F4.740" localSheetId="8">#REF!</definedName>
    <definedName name="F4.740">#REF!</definedName>
    <definedName name="F4.800" localSheetId="8">#REF!</definedName>
    <definedName name="F4.800">#REF!</definedName>
    <definedName name="F4.830" localSheetId="8">#REF!</definedName>
    <definedName name="F4.830">#REF!</definedName>
    <definedName name="F4.840" localSheetId="8">#REF!</definedName>
    <definedName name="F4.840">#REF!</definedName>
    <definedName name="F5.01" localSheetId="8">#REF!</definedName>
    <definedName name="F5.01">#REF!</definedName>
    <definedName name="F5.02" localSheetId="8">#REF!</definedName>
    <definedName name="F5.02">#REF!</definedName>
    <definedName name="F5.03" localSheetId="8">#REF!</definedName>
    <definedName name="F5.03">#REF!</definedName>
    <definedName name="F5.04" localSheetId="8">#REF!</definedName>
    <definedName name="F5.04">#REF!</definedName>
    <definedName name="F5.05" localSheetId="8">#REF!</definedName>
    <definedName name="F5.05">#REF!</definedName>
    <definedName name="F5.11" localSheetId="8">#REF!</definedName>
    <definedName name="F5.11">#REF!</definedName>
    <definedName name="F5.12" localSheetId="8">#REF!</definedName>
    <definedName name="F5.12">#REF!</definedName>
    <definedName name="F5.13" localSheetId="8">#REF!</definedName>
    <definedName name="F5.13">#REF!</definedName>
    <definedName name="F5.14" localSheetId="8">#REF!</definedName>
    <definedName name="F5.14">#REF!</definedName>
    <definedName name="F5.15" localSheetId="8">#REF!</definedName>
    <definedName name="F5.15">#REF!</definedName>
    <definedName name="F6.001" localSheetId="8">#REF!</definedName>
    <definedName name="F6.001">#REF!</definedName>
    <definedName name="F6.002" localSheetId="8">#REF!</definedName>
    <definedName name="F6.002">#REF!</definedName>
    <definedName name="F6.003" localSheetId="8">#REF!</definedName>
    <definedName name="F6.003">#REF!</definedName>
    <definedName name="F6.004" localSheetId="8">#REF!</definedName>
    <definedName name="F6.004">#REF!</definedName>
    <definedName name="f82E46" localSheetId="8">#REF!</definedName>
    <definedName name="f82E46">#REF!</definedName>
    <definedName name="f92F56" localSheetId="8">#REF!</definedName>
    <definedName name="f92F56">#REF!</definedName>
    <definedName name="fáaafafaf" localSheetId="1" hidden="1">{"'Sheet1'!$L$16"}</definedName>
    <definedName name="fáaafafaf" localSheetId="2" hidden="1">{"'Sheet1'!$L$16"}</definedName>
    <definedName name="fáaafafaf" localSheetId="3" hidden="1">{"'Sheet1'!$L$16"}</definedName>
    <definedName name="fáaafafaf" localSheetId="4" hidden="1">{"'Sheet1'!$L$16"}</definedName>
    <definedName name="fáaafafaf" localSheetId="5" hidden="1">{"'Sheet1'!$L$16"}</definedName>
    <definedName name="fáaafafaf" localSheetId="6" hidden="1">{"'Sheet1'!$L$16"}</definedName>
    <definedName name="fáaafafaf" localSheetId="7" hidden="1">{"'Sheet1'!$L$16"}</definedName>
    <definedName name="fáaafafaf" localSheetId="8" hidden="1">{"'Sheet1'!$L$16"}</definedName>
    <definedName name="fáaafafaf" hidden="1">{"'Sheet1'!$L$16"}</definedName>
    <definedName name="FACTOR" localSheetId="8">#REF!</definedName>
    <definedName name="FACTOR">#REF!</definedName>
    <definedName name="FAFS" localSheetId="1" hidden="1">{"'Sheet1'!$L$16"}</definedName>
    <definedName name="FAFS" localSheetId="2" hidden="1">{"'Sheet1'!$L$16"}</definedName>
    <definedName name="FAFS" localSheetId="4" hidden="1">{"'Sheet1'!$L$16"}</definedName>
    <definedName name="FAFS" localSheetId="5" hidden="1">{"'Sheet1'!$L$16"}</definedName>
    <definedName name="FAFS" localSheetId="6" hidden="1">{"'Sheet1'!$L$16"}</definedName>
    <definedName name="FAFS" localSheetId="7" hidden="1">{"'Sheet1'!$L$16"}</definedName>
    <definedName name="FAFS" localSheetId="8" hidden="1">{"'Sheet1'!$L$16"}</definedName>
    <definedName name="FAFS" hidden="1">{"'Sheet1'!$L$16"}</definedName>
    <definedName name="fagfa" localSheetId="1" hidden="1">{"'Sheet1'!$L$16"}</definedName>
    <definedName name="fagfa" localSheetId="2" hidden="1">{"'Sheet1'!$L$16"}</definedName>
    <definedName name="fagfa" localSheetId="4" hidden="1">{"'Sheet1'!$L$16"}</definedName>
    <definedName name="fagfa" localSheetId="5" hidden="1">{"'Sheet1'!$L$16"}</definedName>
    <definedName name="fagfa" localSheetId="6" hidden="1">{"'Sheet1'!$L$16"}</definedName>
    <definedName name="fagfa" localSheetId="7" hidden="1">{"'Sheet1'!$L$16"}</definedName>
    <definedName name="fagfa" localSheetId="8" hidden="1">{"'Sheet1'!$L$16"}</definedName>
    <definedName name="fagfa" hidden="1">{"'Sheet1'!$L$16"}</definedName>
    <definedName name="fasdfsdfsdfsdf" localSheetId="1" hidden="1">{"'Sheet1'!$L$16"}</definedName>
    <definedName name="fasdfsdfsdfsdf" localSheetId="2" hidden="1">{"'Sheet1'!$L$16"}</definedName>
    <definedName name="fasdfsdfsdfsdf" localSheetId="4" hidden="1">{"'Sheet1'!$L$16"}</definedName>
    <definedName name="fasdfsdfsdfsdf" localSheetId="5" hidden="1">{"'Sheet1'!$L$16"}</definedName>
    <definedName name="fasdfsdfsdfsdf" localSheetId="6" hidden="1">{"'Sheet1'!$L$16"}</definedName>
    <definedName name="fasdfsdfsdfsdf" localSheetId="7" hidden="1">{"'Sheet1'!$L$16"}</definedName>
    <definedName name="fasdfsdfsdfsdf" localSheetId="8" hidden="1">{"'Sheet1'!$L$16"}</definedName>
    <definedName name="fasdfsdfsdfsdf" hidden="1">{"'Sheet1'!$L$16"}</definedName>
    <definedName name="fasfaga" localSheetId="1" hidden="1">{"'Sheet1'!$L$16"}</definedName>
    <definedName name="fasfaga" localSheetId="2" hidden="1">{"'Sheet1'!$L$16"}</definedName>
    <definedName name="fasfaga" localSheetId="3" hidden="1">{"'Sheet1'!$L$16"}</definedName>
    <definedName name="fasfaga" localSheetId="4" hidden="1">{"'Sheet1'!$L$16"}</definedName>
    <definedName name="fasfaga" localSheetId="5" hidden="1">{"'Sheet1'!$L$16"}</definedName>
    <definedName name="fasfaga" localSheetId="6" hidden="1">{"'Sheet1'!$L$16"}</definedName>
    <definedName name="fasfaga" localSheetId="7" hidden="1">{"'Sheet1'!$L$16"}</definedName>
    <definedName name="fasfaga" localSheetId="8" hidden="1">{"'Sheet1'!$L$16"}</definedName>
    <definedName name="fasfaga" hidden="1">{"'Sheet1'!$L$16"}</definedName>
    <definedName name="fasfsadfs" localSheetId="1" hidden="1">{"'Sheet1'!$L$16"}</definedName>
    <definedName name="fasfsadfs" localSheetId="2" hidden="1">{"'Sheet1'!$L$16"}</definedName>
    <definedName name="fasfsadfs" localSheetId="4" hidden="1">{"'Sheet1'!$L$16"}</definedName>
    <definedName name="fasfsadfs" localSheetId="5" hidden="1">{"'Sheet1'!$L$16"}</definedName>
    <definedName name="fasfsadfs" localSheetId="6" hidden="1">{"'Sheet1'!$L$16"}</definedName>
    <definedName name="fasfsadfs" localSheetId="7" hidden="1">{"'Sheet1'!$L$16"}</definedName>
    <definedName name="fasfsadfs" localSheetId="8" hidden="1">{"'Sheet1'!$L$16"}</definedName>
    <definedName name="fasfsadfs" hidden="1">{"'Sheet1'!$L$16"}</definedName>
    <definedName name="FASFSD" localSheetId="1" hidden="1">{"'Sheet1'!$L$16"}</definedName>
    <definedName name="FASFSD" localSheetId="2" hidden="1">{"'Sheet1'!$L$16"}</definedName>
    <definedName name="FASFSD" localSheetId="4" hidden="1">{"'Sheet1'!$L$16"}</definedName>
    <definedName name="FASFSD" localSheetId="5" hidden="1">{"'Sheet1'!$L$16"}</definedName>
    <definedName name="FASFSD" localSheetId="6" hidden="1">{"'Sheet1'!$L$16"}</definedName>
    <definedName name="FASFSD" localSheetId="7" hidden="1">{"'Sheet1'!$L$16"}</definedName>
    <definedName name="FASFSD" localSheetId="8" hidden="1">{"'Sheet1'!$L$16"}</definedName>
    <definedName name="FASFSD" hidden="1">{"'Sheet1'!$L$16"}</definedName>
    <definedName name="Fax" localSheetId="8">#REF!</definedName>
    <definedName name="Fax">#REF!</definedName>
    <definedName name="Fay" localSheetId="8">#REF!</definedName>
    <definedName name="Fay">#REF!</definedName>
    <definedName name="fb">#REF!</definedName>
    <definedName name="fbfn" localSheetId="4" hidden="1">{"'Sheet1'!$L$16"}</definedName>
    <definedName name="fbfn" localSheetId="5" hidden="1">{"'Sheet1'!$L$16"}</definedName>
    <definedName name="fbfn" localSheetId="6" hidden="1">{"'Sheet1'!$L$16"}</definedName>
    <definedName name="fbfn" localSheetId="7" hidden="1">{"'Sheet1'!$L$16"}</definedName>
    <definedName name="fbfn" localSheetId="8" hidden="1">{"'Sheet1'!$L$16"}</definedName>
    <definedName name="fbfn" hidden="1">{"'Sheet1'!$L$16"}</definedName>
    <definedName name="fbsdggdsf" localSheetId="8">{"DZ-TDTB2.XLS","Dcksat.xls"}</definedName>
    <definedName name="fbsdggdsf">{"DZ-TDTB2.XLS","Dcksat.xls"}</definedName>
    <definedName name="fc" localSheetId="8">#REF!</definedName>
    <definedName name="fc">#REF!</definedName>
    <definedName name="fÇ" localSheetId="1" hidden="1">{"'Sheet1'!$L$16"}</definedName>
    <definedName name="fÇ" localSheetId="2" hidden="1">{"'Sheet1'!$L$16"}</definedName>
    <definedName name="fÇ" localSheetId="3" hidden="1">{"'Sheet1'!$L$16"}</definedName>
    <definedName name="fÇ" localSheetId="4" hidden="1">{"'Sheet1'!$L$16"}</definedName>
    <definedName name="fÇ" localSheetId="5" hidden="1">{"'Sheet1'!$L$16"}</definedName>
    <definedName name="fÇ" localSheetId="6" hidden="1">{"'Sheet1'!$L$16"}</definedName>
    <definedName name="fÇ" localSheetId="7" hidden="1">{"'Sheet1'!$L$16"}</definedName>
    <definedName name="fÇ" localSheetId="8" hidden="1">{"'Sheet1'!$L$16"}</definedName>
    <definedName name="fÇ" hidden="1">{"'Sheet1'!$L$16"}</definedName>
    <definedName name="fcds" localSheetId="8">#REF!</definedName>
    <definedName name="fcds">#REF!</definedName>
    <definedName name="fcg">#REF!</definedName>
    <definedName name="fcig">#REF!</definedName>
    <definedName name="fcir" localSheetId="8">#REF!</definedName>
    <definedName name="fcir">#REF!</definedName>
    <definedName name="fcoc" localSheetId="8">#REF!</definedName>
    <definedName name="fcoc">#REF!</definedName>
    <definedName name="FCode" localSheetId="3" hidden="1">#REF!</definedName>
    <definedName name="FCode" localSheetId="4" hidden="1">#REF!</definedName>
    <definedName name="FCode" localSheetId="5" hidden="1">#REF!</definedName>
    <definedName name="FCode" localSheetId="6" hidden="1">#REF!</definedName>
    <definedName name="FCode" localSheetId="7" hidden="1">#REF!</definedName>
    <definedName name="FCode" localSheetId="8" hidden="1">#REF!</definedName>
    <definedName name="FCode" hidden="1">#REF!</definedName>
    <definedName name="fcS">#REF!</definedName>
    <definedName name="fd">#REF!</definedName>
    <definedName name="fdd">#REF!</definedName>
    <definedName name="fdfg" localSheetId="8">{"Book1","DTcµuphalaiPS.xls"}</definedName>
    <definedName name="fdfg">{"Book1","DTcµuphalaiPS.xls"}</definedName>
    <definedName name="fdg" localSheetId="1" hidden="1">{"'Sheet1'!$L$16"}</definedName>
    <definedName name="fdg" localSheetId="2" hidden="1">{"'Sheet1'!$L$16"}</definedName>
    <definedName name="fdg" localSheetId="4" hidden="1">{"'Sheet1'!$L$16"}</definedName>
    <definedName name="fdg" localSheetId="5" hidden="1">{"'Sheet1'!$L$16"}</definedName>
    <definedName name="fdg" localSheetId="6" hidden="1">{"'Sheet1'!$L$16"}</definedName>
    <definedName name="fdg" localSheetId="7" hidden="1">{"'Sheet1'!$L$16"}</definedName>
    <definedName name="fdg" localSheetId="8" hidden="1">{"'Sheet1'!$L$16"}</definedName>
    <definedName name="fdg" hidden="1">{"'Sheet1'!$L$16"}</definedName>
    <definedName name="fdgfg" localSheetId="1" hidden="1">{"'Sheet1'!$L$16"}</definedName>
    <definedName name="fdgfg" localSheetId="2" hidden="1">{"'Sheet1'!$L$16"}</definedName>
    <definedName name="fdgfg" localSheetId="4" hidden="1">{"'Sheet1'!$L$16"}</definedName>
    <definedName name="fdgfg" localSheetId="5" hidden="1">{"'Sheet1'!$L$16"}</definedName>
    <definedName name="fdgfg" localSheetId="6" hidden="1">{"'Sheet1'!$L$16"}</definedName>
    <definedName name="fdgfg" localSheetId="7" hidden="1">{"'Sheet1'!$L$16"}</definedName>
    <definedName name="fdgfg" localSheetId="8" hidden="1">{"'Sheet1'!$L$16"}</definedName>
    <definedName name="fdgfg" hidden="1">{"'Sheet1'!$L$16"}</definedName>
    <definedName name="fdhfg" localSheetId="1" hidden="1">{0}</definedName>
    <definedName name="fdhfg" localSheetId="2" hidden="1">{0}</definedName>
    <definedName name="fdhfg" localSheetId="4" hidden="1">{0}</definedName>
    <definedName name="fdhfg" localSheetId="5" hidden="1">{0}</definedName>
    <definedName name="fdhfg" localSheetId="6" hidden="1">{0}</definedName>
    <definedName name="fdhfg" localSheetId="7" hidden="1">{0}</definedName>
    <definedName name="fdhfg" localSheetId="8" hidden="1">{0}</definedName>
    <definedName name="fdhfg" hidden="1">{0}</definedName>
    <definedName name="fdjj" localSheetId="1" hidden="1">{0}</definedName>
    <definedName name="fdjj" localSheetId="2" hidden="1">{0}</definedName>
    <definedName name="fdjj" localSheetId="4" hidden="1">{0}</definedName>
    <definedName name="fdjj" localSheetId="5" hidden="1">{0}</definedName>
    <definedName name="fdjj" localSheetId="6" hidden="1">{0}</definedName>
    <definedName name="fdjj" localSheetId="7" hidden="1">{0}</definedName>
    <definedName name="fdjj" localSheetId="8" hidden="1">{0}</definedName>
    <definedName name="fdjj" hidden="1">{0}</definedName>
    <definedName name="FDR" localSheetId="8">#REF!</definedName>
    <definedName name="FDR">#REF!</definedName>
    <definedName name="fdsfsdfd" localSheetId="1" hidden="1">{"'Sheet1'!$L$16"}</definedName>
    <definedName name="fdsfsdfd" localSheetId="2" hidden="1">{"'Sheet1'!$L$16"}</definedName>
    <definedName name="fdsfsdfd" localSheetId="3" hidden="1">{"'Sheet1'!$L$16"}</definedName>
    <definedName name="fdsfsdfd" localSheetId="4" hidden="1">{"'Sheet1'!$L$16"}</definedName>
    <definedName name="fdsfsdfd" localSheetId="5" hidden="1">{"'Sheet1'!$L$16"}</definedName>
    <definedName name="fdsfsdfd" localSheetId="6" hidden="1">{"'Sheet1'!$L$16"}</definedName>
    <definedName name="fdsfsdfd" localSheetId="7" hidden="1">{"'Sheet1'!$L$16"}</definedName>
    <definedName name="fdsfsdfd" localSheetId="8" hidden="1">{"'Sheet1'!$L$16"}</definedName>
    <definedName name="fdsfsdfd" hidden="1">{"'Sheet1'!$L$16"}</definedName>
    <definedName name="FF" localSheetId="8">#REF!</definedName>
    <definedName name="FF">#REF!</definedName>
    <definedName name="ff_" localSheetId="8">#REF!</definedName>
    <definedName name="ff_">#REF!</definedName>
    <definedName name="ffas" localSheetId="1" hidden="1">{"'Sheet1'!$L$16"}</definedName>
    <definedName name="ffas" localSheetId="2" hidden="1">{"'Sheet1'!$L$16"}</definedName>
    <definedName name="ffas" localSheetId="4" hidden="1">{"'Sheet1'!$L$16"}</definedName>
    <definedName name="ffas" localSheetId="5" hidden="1">{"'Sheet1'!$L$16"}</definedName>
    <definedName name="ffas" localSheetId="6" hidden="1">{"'Sheet1'!$L$16"}</definedName>
    <definedName name="ffas" localSheetId="7" hidden="1">{"'Sheet1'!$L$16"}</definedName>
    <definedName name="ffas" localSheetId="8" hidden="1">{"'Sheet1'!$L$16"}</definedName>
    <definedName name="ffas" hidden="1">{"'Sheet1'!$L$16"}</definedName>
    <definedName name="fff" localSheetId="1" hidden="1">{"'Sheet1'!$L$16"}</definedName>
    <definedName name="fff" localSheetId="2" hidden="1">{"'Sheet1'!$L$16"}</definedName>
    <definedName name="fff" localSheetId="3">#REF!</definedName>
    <definedName name="fff" localSheetId="4" hidden="1">{"'Sheet1'!$L$16"}</definedName>
    <definedName name="fff" localSheetId="5" hidden="1">{"'Sheet1'!$L$16"}</definedName>
    <definedName name="fff" localSheetId="6" hidden="1">{"'Sheet1'!$L$16"}</definedName>
    <definedName name="fff" localSheetId="7" hidden="1">{"'Sheet1'!$L$16"}</definedName>
    <definedName name="fff" localSheetId="8" hidden="1">{"'Sheet1'!$L$16"}</definedName>
    <definedName name="fff" hidden="1">{"'Sheet1'!$L$16"}</definedName>
    <definedName name="ffff" localSheetId="1" hidden="1">{"'Sheet1'!$L$16"}</definedName>
    <definedName name="ffff" localSheetId="2" hidden="1">{"'Sheet1'!$L$16"}</definedName>
    <definedName name="ffff" localSheetId="4" hidden="1">{"'Sheet1'!$L$16"}</definedName>
    <definedName name="ffff" localSheetId="5" hidden="1">{"'Sheet1'!$L$16"}</definedName>
    <definedName name="ffff" localSheetId="6" hidden="1">{"'Sheet1'!$L$16"}</definedName>
    <definedName name="ffff" localSheetId="7" hidden="1">{"'Sheet1'!$L$16"}</definedName>
    <definedName name="ffff" localSheetId="8" hidden="1">{"'Sheet1'!$L$16"}</definedName>
    <definedName name="ffff" hidden="1">{"'Sheet1'!$L$16"}</definedName>
    <definedName name="fffffffffffffff" localSheetId="1" hidden="1">{"'Sheet1'!$L$16"}</definedName>
    <definedName name="fffffffffffffff" localSheetId="2" hidden="1">{"'Sheet1'!$L$16"}</definedName>
    <definedName name="fffffffffffffff" localSheetId="3" hidden="1">{"'Sheet1'!$L$16"}</definedName>
    <definedName name="fffffffffffffff" localSheetId="4" hidden="1">{"'Sheet1'!$L$16"}</definedName>
    <definedName name="fffffffffffffff" localSheetId="5" hidden="1">{"'Sheet1'!$L$16"}</definedName>
    <definedName name="fffffffffffffff" localSheetId="6" hidden="1">{"'Sheet1'!$L$16"}</definedName>
    <definedName name="fffffffffffffff" localSheetId="7" hidden="1">{"'Sheet1'!$L$16"}</definedName>
    <definedName name="fffffffffffffff" localSheetId="8" hidden="1">{"'Sheet1'!$L$16"}</definedName>
    <definedName name="fffffffffffffff" hidden="1">{"'Sheet1'!$L$16"}</definedName>
    <definedName name="ffs" localSheetId="8">#REF!</definedName>
    <definedName name="ffs">#REF!</definedName>
    <definedName name="fg" localSheetId="1" hidden="1">{"'Sheet1'!$L$16"}</definedName>
    <definedName name="fg" localSheetId="2" hidden="1">{"'Sheet1'!$L$16"}</definedName>
    <definedName name="Fg" localSheetId="3">#REF!</definedName>
    <definedName name="fg" localSheetId="4" hidden="1">{"'Sheet1'!$L$16"}</definedName>
    <definedName name="fg" localSheetId="5" hidden="1">{"'Sheet1'!$L$16"}</definedName>
    <definedName name="fg" localSheetId="6" hidden="1">{"'Sheet1'!$L$16"}</definedName>
    <definedName name="fg" localSheetId="7" hidden="1">{"'Sheet1'!$L$16"}</definedName>
    <definedName name="fg" localSheetId="8" hidden="1">{"'Sheet1'!$L$16"}</definedName>
    <definedName name="fg" hidden="1">{"'Sheet1'!$L$16"}</definedName>
    <definedName name="FGAF" localSheetId="1" hidden="1">{"'Sheet1'!$L$16"}</definedName>
    <definedName name="FGAF" localSheetId="2" hidden="1">{"'Sheet1'!$L$16"}</definedName>
    <definedName name="FGAF" localSheetId="4" hidden="1">{"'Sheet1'!$L$16"}</definedName>
    <definedName name="FGAF" localSheetId="5" hidden="1">{"'Sheet1'!$L$16"}</definedName>
    <definedName name="FGAF" localSheetId="6" hidden="1">{"'Sheet1'!$L$16"}</definedName>
    <definedName name="FGAF" localSheetId="7" hidden="1">{"'Sheet1'!$L$16"}</definedName>
    <definedName name="FGAF" localSheetId="8" hidden="1">{"'Sheet1'!$L$16"}</definedName>
    <definedName name="FGAF" hidden="1">{"'Sheet1'!$L$16"}</definedName>
    <definedName name="fgh" localSheetId="1" hidden="1">{"'Sheet1'!$L$16"}</definedName>
    <definedName name="fgh" localSheetId="2" hidden="1">{"'Sheet1'!$L$16"}</definedName>
    <definedName name="fgh" localSheetId="4" hidden="1">{"'Sheet1'!$L$16"}</definedName>
    <definedName name="fgh" localSheetId="5" hidden="1">{"'Sheet1'!$L$16"}</definedName>
    <definedName name="fgh" localSheetId="6" hidden="1">{"'Sheet1'!$L$16"}</definedName>
    <definedName name="fgh" localSheetId="7" hidden="1">{"'Sheet1'!$L$16"}</definedName>
    <definedName name="fgh" localSheetId="8" hidden="1">{"'Sheet1'!$L$16"}</definedName>
    <definedName name="fgh" hidden="1">{"'Sheet1'!$L$16"}</definedName>
    <definedName name="fghgh" localSheetId="1" hidden="1">{"'Sheet1'!$L$16"}</definedName>
    <definedName name="fghgh" localSheetId="2" hidden="1">{"'Sheet1'!$L$16"}</definedName>
    <definedName name="fghgh" localSheetId="4" hidden="1">{"'Sheet1'!$L$16"}</definedName>
    <definedName name="fghgh" localSheetId="5" hidden="1">{"'Sheet1'!$L$16"}</definedName>
    <definedName name="fghgh" localSheetId="6" hidden="1">{"'Sheet1'!$L$16"}</definedName>
    <definedName name="fghgh" localSheetId="7" hidden="1">{"'Sheet1'!$L$16"}</definedName>
    <definedName name="fghgh" localSheetId="8" hidden="1">{"'Sheet1'!$L$16"}</definedName>
    <definedName name="fghgh" hidden="1">{"'Sheet1'!$L$16"}</definedName>
    <definedName name="fghghgh">#REF!</definedName>
    <definedName name="fgjhkgh" localSheetId="1" hidden="1">{0}</definedName>
    <definedName name="fgjhkgh" localSheetId="2" hidden="1">{0}</definedName>
    <definedName name="fgjhkgh" localSheetId="4" hidden="1">{0}</definedName>
    <definedName name="fgjhkgh" localSheetId="5" hidden="1">{0}</definedName>
    <definedName name="fgjhkgh" localSheetId="6" hidden="1">{0}</definedName>
    <definedName name="fgjhkgh" localSheetId="7" hidden="1">{0}</definedName>
    <definedName name="fgjhkgh" localSheetId="8" hidden="1">{0}</definedName>
    <definedName name="fgjhkgh" hidden="1">{0}</definedName>
    <definedName name="fgn" localSheetId="1" hidden="1">{"'Sheet1'!$L$16"}</definedName>
    <definedName name="fgn" localSheetId="2" hidden="1">{"'Sheet1'!$L$16"}</definedName>
    <definedName name="fgn" localSheetId="4" hidden="1">{"'Sheet1'!$L$16"}</definedName>
    <definedName name="fgn" localSheetId="5" hidden="1">{"'Sheet1'!$L$16"}</definedName>
    <definedName name="fgn" localSheetId="6" hidden="1">{"'Sheet1'!$L$16"}</definedName>
    <definedName name="fgn" localSheetId="7" hidden="1">{"'Sheet1'!$L$16"}</definedName>
    <definedName name="fgn" localSheetId="8" hidden="1">{"'Sheet1'!$L$16"}</definedName>
    <definedName name="fgn" hidden="1">{"'Sheet1'!$L$16"}</definedName>
    <definedName name="fh" localSheetId="1" hidden="1">{"'Sheet1'!$L$16"}</definedName>
    <definedName name="fh" localSheetId="2" hidden="1">{"'Sheet1'!$L$16"}</definedName>
    <definedName name="fh" localSheetId="4" hidden="1">{"'Sheet1'!$L$16"}</definedName>
    <definedName name="fh" localSheetId="5" hidden="1">{"'Sheet1'!$L$16"}</definedName>
    <definedName name="fh" localSheetId="6" hidden="1">{"'Sheet1'!$L$16"}</definedName>
    <definedName name="fh" localSheetId="7" hidden="1">{"'Sheet1'!$L$16"}</definedName>
    <definedName name="fh" localSheetId="8" hidden="1">{"'Sheet1'!$L$16"}</definedName>
    <definedName name="fh" hidden="1">{"'Sheet1'!$L$16"}</definedName>
    <definedName name="fhhh" localSheetId="1" hidden="1">{"'Sheet1'!$L$16"}</definedName>
    <definedName name="fhhh" localSheetId="2" hidden="1">{"'Sheet1'!$L$16"}</definedName>
    <definedName name="fhhh" localSheetId="4" hidden="1">{"'Sheet1'!$L$16"}</definedName>
    <definedName name="fhhh" localSheetId="5" hidden="1">{"'Sheet1'!$L$16"}</definedName>
    <definedName name="fhhh" localSheetId="6" hidden="1">{"'Sheet1'!$L$16"}</definedName>
    <definedName name="fhhh" localSheetId="7" hidden="1">{"'Sheet1'!$L$16"}</definedName>
    <definedName name="fhhh" localSheetId="8" hidden="1">{"'Sheet1'!$L$16"}</definedName>
    <definedName name="fhhh" hidden="1">{"'Sheet1'!$L$16"}</definedName>
    <definedName name="Fi" localSheetId="8">#REF!</definedName>
    <definedName name="Fi">#REF!</definedName>
    <definedName name="Fi_f" localSheetId="8">#REF!</definedName>
    <definedName name="Fi_f">#REF!</definedName>
    <definedName name="FIL" localSheetId="8">#REF!</definedName>
    <definedName name="FIL">#REF!</definedName>
    <definedName name="FILE" localSheetId="8">#REF!</definedName>
    <definedName name="FILE">#REF!</definedName>
    <definedName name="FiLL" localSheetId="4" hidden="1">#REF!</definedName>
    <definedName name="FiLL" localSheetId="5" hidden="1">#REF!</definedName>
    <definedName name="FiLL" localSheetId="6" hidden="1">#REF!</definedName>
    <definedName name="FiLL" localSheetId="7" hidden="1">#REF!</definedName>
    <definedName name="FiLL" localSheetId="8" hidden="1">#REF!</definedName>
    <definedName name="FiLL" hidden="1">#REF!</definedName>
    <definedName name="fine">#REF!</definedName>
    <definedName name="FinishWork" localSheetId="8">#REF!</definedName>
    <definedName name="FinishWork">#REF!</definedName>
    <definedName name="Fitb" localSheetId="8">#REF!</definedName>
    <definedName name="Fitb">#REF!</definedName>
    <definedName name="fl" localSheetId="8">#REF!</definedName>
    <definedName name="fl">#REF!</definedName>
    <definedName name="FlexZZ" localSheetId="8">#REF!</definedName>
    <definedName name="FlexZZ">#REF!</definedName>
    <definedName name="Flv">#REF!</definedName>
    <definedName name="FOR" localSheetId="1" hidden="1">{#N/A,#N/A,FALSE,"CCTV"}</definedName>
    <definedName name="FOR" localSheetId="2" hidden="1">{#N/A,#N/A,FALSE,"CCTV"}</definedName>
    <definedName name="FOR" localSheetId="4" hidden="1">{#N/A,#N/A,FALSE,"CCTV"}</definedName>
    <definedName name="FOR" localSheetId="5" hidden="1">{#N/A,#N/A,FALSE,"CCTV"}</definedName>
    <definedName name="FOR" localSheetId="6" hidden="1">{#N/A,#N/A,FALSE,"CCTV"}</definedName>
    <definedName name="FOR" localSheetId="7" hidden="1">{#N/A,#N/A,FALSE,"CCTV"}</definedName>
    <definedName name="FOR" localSheetId="8" hidden="1">{#N/A,#N/A,FALSE,"CCTV"}</definedName>
    <definedName name="FOR" hidden="1">{#N/A,#N/A,FALSE,"CCTV"}</definedName>
    <definedName name="FORK" localSheetId="8">#REF!</definedName>
    <definedName name="FORK">#REF!</definedName>
    <definedName name="FORMAT" localSheetId="1" hidden="1">{#N/A,#N/A,FALSE,"CCTV"}</definedName>
    <definedName name="FORMAT" localSheetId="2" hidden="1">{#N/A,#N/A,FALSE,"CCTV"}</definedName>
    <definedName name="FORMAT" localSheetId="4" hidden="1">{#N/A,#N/A,FALSE,"CCTV"}</definedName>
    <definedName name="FORMAT" localSheetId="5" hidden="1">{#N/A,#N/A,FALSE,"CCTV"}</definedName>
    <definedName name="FORMAT" localSheetId="6" hidden="1">{#N/A,#N/A,FALSE,"CCTV"}</definedName>
    <definedName name="FORMAT" localSheetId="7" hidden="1">{#N/A,#N/A,FALSE,"CCTV"}</definedName>
    <definedName name="FORMAT" localSheetId="8" hidden="1">{#N/A,#N/A,FALSE,"CCTV"}</definedName>
    <definedName name="FORMAT" hidden="1">{#N/A,#N/A,FALSE,"CCTV"}</definedName>
    <definedName name="FP" localSheetId="8">#REF!</definedName>
    <definedName name="FP">#REF!</definedName>
    <definedName name="fp_" localSheetId="8">#REF!</definedName>
    <definedName name="fp_">#REF!</definedName>
    <definedName name="fpc" localSheetId="8">#REF!</definedName>
    <definedName name="fpc">#REF!</definedName>
    <definedName name="fpcs" localSheetId="8">#REF!</definedName>
    <definedName name="fpcs">#REF!</definedName>
    <definedName name="fpe" localSheetId="8">#REF!</definedName>
    <definedName name="fpe">#REF!</definedName>
    <definedName name="fpe_" localSheetId="8">#REF!</definedName>
    <definedName name="fpe_">#REF!</definedName>
    <definedName name="fpet" localSheetId="8">#REF!</definedName>
    <definedName name="fpet">#REF!</definedName>
    <definedName name="fpf" localSheetId="8">#REF!</definedName>
    <definedName name="fpf">#REF!</definedName>
    <definedName name="fps" localSheetId="8">#REF!</definedName>
    <definedName name="fps">#REF!</definedName>
    <definedName name="fpu">#REF!</definedName>
    <definedName name="fpy">#REF!</definedName>
    <definedName name="frG">#REF!</definedName>
    <definedName name="fs" localSheetId="8">#REF!</definedName>
    <definedName name="fs">#REF!</definedName>
    <definedName name="fsb" localSheetId="8">#REF!</definedName>
    <definedName name="fsb">#REF!</definedName>
    <definedName name="fsdfdsf" localSheetId="1" hidden="1">{"'Sheet1'!$L$16"}</definedName>
    <definedName name="fsdfdsf" localSheetId="2" hidden="1">{"'Sheet1'!$L$16"}</definedName>
    <definedName name="fsdfdsf" localSheetId="3" hidden="1">{"'Sheet1'!$L$16"}</definedName>
    <definedName name="fsdfdsf" localSheetId="4" hidden="1">{"'Sheet1'!$L$16"}</definedName>
    <definedName name="fsdfdsf" localSheetId="5" hidden="1">{"'Sheet1'!$L$16"}</definedName>
    <definedName name="fsdfdsf" localSheetId="6" hidden="1">{"'Sheet1'!$L$16"}</definedName>
    <definedName name="fsdfdsf" localSheetId="7" hidden="1">{"'Sheet1'!$L$16"}</definedName>
    <definedName name="fsdfdsf" localSheetId="8" hidden="1">{"'Sheet1'!$L$16"}</definedName>
    <definedName name="fsdfdsf" hidden="1">{"'Sheet1'!$L$16"}</definedName>
    <definedName name="fsdfgdf" localSheetId="1" hidden="1">{"'Sheet1'!$L$16"}</definedName>
    <definedName name="fsdfgdf" localSheetId="2" hidden="1">{"'Sheet1'!$L$16"}</definedName>
    <definedName name="fsdfgdf" localSheetId="4" hidden="1">{"'Sheet1'!$L$16"}</definedName>
    <definedName name="fsdfgdf" localSheetId="5" hidden="1">{"'Sheet1'!$L$16"}</definedName>
    <definedName name="fsdfgdf" localSheetId="6" hidden="1">{"'Sheet1'!$L$16"}</definedName>
    <definedName name="fsdfgdf" localSheetId="7" hidden="1">{"'Sheet1'!$L$16"}</definedName>
    <definedName name="fsdfgdf" localSheetId="8" hidden="1">{"'Sheet1'!$L$16"}</definedName>
    <definedName name="fsdfgdf" hidden="1">{"'Sheet1'!$L$16"}</definedName>
    <definedName name="fsdfsdfd" localSheetId="1" hidden="1">{#N/A,#N/A,FALSE,"CCTV"}</definedName>
    <definedName name="fsdfsdfd" localSheetId="2" hidden="1">{#N/A,#N/A,FALSE,"CCTV"}</definedName>
    <definedName name="fsdfsdfd" localSheetId="4" hidden="1">{#N/A,#N/A,FALSE,"CCTV"}</definedName>
    <definedName name="fsdfsdfd" localSheetId="5" hidden="1">{#N/A,#N/A,FALSE,"CCTV"}</definedName>
    <definedName name="fsdfsdfd" localSheetId="6" hidden="1">{#N/A,#N/A,FALSE,"CCTV"}</definedName>
    <definedName name="fsdfsdfd" localSheetId="7" hidden="1">{#N/A,#N/A,FALSE,"CCTV"}</definedName>
    <definedName name="fsdfsdfd" localSheetId="8" hidden="1">{#N/A,#N/A,FALSE,"CCTV"}</definedName>
    <definedName name="fsdfsdfd" hidden="1">{#N/A,#N/A,FALSE,"CCTV"}</definedName>
    <definedName name="fse" localSheetId="8">#REF!</definedName>
    <definedName name="fse">#REF!</definedName>
    <definedName name="ｆｓｇｊ" localSheetId="8" hidden="1">#REF!</definedName>
    <definedName name="ｆｓｇｊ" hidden="1">#REF!</definedName>
    <definedName name="fso" localSheetId="8">#REF!</definedName>
    <definedName name="fso">#REF!</definedName>
    <definedName name="fsu" localSheetId="8">#REF!</definedName>
    <definedName name="fsu">#REF!</definedName>
    <definedName name="fsy" localSheetId="8">#REF!</definedName>
    <definedName name="fsy">#REF!</definedName>
    <definedName name="Ft" localSheetId="8">#REF!</definedName>
    <definedName name="Ft">#REF!</definedName>
    <definedName name="Ft_" localSheetId="8">#REF!</definedName>
    <definedName name="Ft_">#REF!</definedName>
    <definedName name="ftgfg" localSheetId="1" hidden="1">{#N/A,#N/A,FALSE,"CCTV"}</definedName>
    <definedName name="ftgfg" localSheetId="2" hidden="1">{#N/A,#N/A,FALSE,"CCTV"}</definedName>
    <definedName name="ftgfg" localSheetId="4" hidden="1">{#N/A,#N/A,FALSE,"CCTV"}</definedName>
    <definedName name="ftgfg" localSheetId="5" hidden="1">{#N/A,#N/A,FALSE,"CCTV"}</definedName>
    <definedName name="ftgfg" localSheetId="6" hidden="1">{#N/A,#N/A,FALSE,"CCTV"}</definedName>
    <definedName name="ftgfg" localSheetId="7" hidden="1">{#N/A,#N/A,FALSE,"CCTV"}</definedName>
    <definedName name="ftgfg" localSheetId="8" hidden="1">{#N/A,#N/A,FALSE,"CCTV"}</definedName>
    <definedName name="ftgfg" hidden="1">{#N/A,#N/A,FALSE,"CCTV"}</definedName>
    <definedName name="fu" localSheetId="1" hidden="1">{"Offgrid",#N/A,FALSE,"OFFGRID";"Region",#N/A,FALSE,"REGION";"Offgrid -2",#N/A,FALSE,"OFFGRID";"WTP",#N/A,FALSE,"WTP";"WTP -2",#N/A,FALSE,"WTP";"Project",#N/A,FALSE,"PROJECT";"Summary -2",#N/A,FALSE,"SUMMARY"}</definedName>
    <definedName name="fu" localSheetId="2" hidden="1">{"Offgrid",#N/A,FALSE,"OFFGRID";"Region",#N/A,FALSE,"REGION";"Offgrid -2",#N/A,FALSE,"OFFGRID";"WTP",#N/A,FALSE,"WTP";"WTP -2",#N/A,FALSE,"WTP";"Project",#N/A,FALSE,"PROJECT";"Summary -2",#N/A,FALSE,"SUMMARY"}</definedName>
    <definedName name="fu" localSheetId="4" hidden="1">{"Offgrid",#N/A,FALSE,"OFFGRID";"Region",#N/A,FALSE,"REGION";"Offgrid -2",#N/A,FALSE,"OFFGRID";"WTP",#N/A,FALSE,"WTP";"WTP -2",#N/A,FALSE,"WTP";"Project",#N/A,FALSE,"PROJECT";"Summary -2",#N/A,FALSE,"SUMMARY"}</definedName>
    <definedName name="fu" localSheetId="5" hidden="1">{"Offgrid",#N/A,FALSE,"OFFGRID";"Region",#N/A,FALSE,"REGION";"Offgrid -2",#N/A,FALSE,"OFFGRID";"WTP",#N/A,FALSE,"WTP";"WTP -2",#N/A,FALSE,"WTP";"Project",#N/A,FALSE,"PROJECT";"Summary -2",#N/A,FALSE,"SUMMARY"}</definedName>
    <definedName name="fu" localSheetId="6" hidden="1">{"Offgrid",#N/A,FALSE,"OFFGRID";"Region",#N/A,FALSE,"REGION";"Offgrid -2",#N/A,FALSE,"OFFGRID";"WTP",#N/A,FALSE,"WTP";"WTP -2",#N/A,FALSE,"WTP";"Project",#N/A,FALSE,"PROJECT";"Summary -2",#N/A,FALSE,"SUMMARY"}</definedName>
    <definedName name="fu" localSheetId="7" hidden="1">{"Offgrid",#N/A,FALSE,"OFFGRID";"Region",#N/A,FALSE,"REGION";"Offgrid -2",#N/A,FALSE,"OFFGRID";"WTP",#N/A,FALSE,"WTP";"WTP -2",#N/A,FALSE,"WTP";"Project",#N/A,FALSE,"PROJECT";"Summary -2",#N/A,FALSE,"SUMMARY"}</definedName>
    <definedName name="fu" localSheetId="8" hidden="1">{"Offgrid",#N/A,FALSE,"OFFGRID";"Region",#N/A,FALSE,"REGION";"Offgrid -2",#N/A,FALSE,"OFFGRID";"WTP",#N/A,FALSE,"WTP";"WTP -2",#N/A,FALSE,"WTP";"Project",#N/A,FALSE,"PROJECT";"Summary -2",#N/A,FALSE,"SUMMARY"}</definedName>
    <definedName name="fu" hidden="1">{"Offgrid",#N/A,FALSE,"OFFGRID";"Region",#N/A,FALSE,"REGION";"Offgrid -2",#N/A,FALSE,"OFFGRID";"WTP",#N/A,FALSE,"WTP";"WTP -2",#N/A,FALSE,"WTP";"Project",#N/A,FALSE,"PROJECT";"Summary -2",#N/A,FALSE,"SUMMARY"}</definedName>
    <definedName name="Full" localSheetId="8">#REF!</definedName>
    <definedName name="Full">#REF!</definedName>
    <definedName name="fv" localSheetId="8">#REF!</definedName>
    <definedName name="fv">#REF!</definedName>
    <definedName name="fy" localSheetId="8">#REF!</definedName>
    <definedName name="fy">#REF!</definedName>
    <definedName name="fys" localSheetId="8">#REF!</definedName>
    <definedName name="fys">#REF!</definedName>
    <definedName name="g" localSheetId="3">#REF!</definedName>
    <definedName name="g" localSheetId="4" hidden="1">{"'Sheet1'!$L$16"}</definedName>
    <definedName name="g" localSheetId="5" hidden="1">{"'Sheet1'!$L$16"}</definedName>
    <definedName name="g" localSheetId="6" hidden="1">{"'Sheet1'!$L$16"}</definedName>
    <definedName name="g" localSheetId="7" hidden="1">{"'Sheet1'!$L$16"}</definedName>
    <definedName name="g" localSheetId="8" hidden="1">{"'Sheet1'!$L$16"}</definedName>
    <definedName name="g" hidden="1">{"'Sheet1'!$L$16"}</definedName>
    <definedName name="g_1" localSheetId="8">#REF!</definedName>
    <definedName name="g_1">#REF!</definedName>
    <definedName name="G_2" localSheetId="8">#REF!</definedName>
    <definedName name="G_2">#REF!</definedName>
    <definedName name="g_3" localSheetId="8">#REF!</definedName>
    <definedName name="g_3">#REF!</definedName>
    <definedName name="G_C">#REF!</definedName>
    <definedName name="G_ME" localSheetId="8">#REF!</definedName>
    <definedName name="G_ME">#REF!</definedName>
    <definedName name="G_section" localSheetId="8">#REF!</definedName>
    <definedName name="G_section">#REF!</definedName>
    <definedName name="G0.000" localSheetId="8">#REF!</definedName>
    <definedName name="G0.000">#REF!</definedName>
    <definedName name="G0.010" localSheetId="8">#REF!</definedName>
    <definedName name="G0.010">#REF!</definedName>
    <definedName name="G0.020" localSheetId="8">#REF!</definedName>
    <definedName name="G0.020">#REF!</definedName>
    <definedName name="G0.100" localSheetId="8">#REF!</definedName>
    <definedName name="G0.100">#REF!</definedName>
    <definedName name="G0.110" localSheetId="8">#REF!</definedName>
    <definedName name="G0.110">#REF!</definedName>
    <definedName name="G0.120" localSheetId="8">#REF!</definedName>
    <definedName name="G0.120">#REF!</definedName>
    <definedName name="G1.000" localSheetId="8">#REF!</definedName>
    <definedName name="G1.000">#REF!</definedName>
    <definedName name="G1.011" localSheetId="8">#REF!</definedName>
    <definedName name="G1.011">#REF!</definedName>
    <definedName name="G1.021" localSheetId="8">#REF!</definedName>
    <definedName name="G1.021">#REF!</definedName>
    <definedName name="G1.031" localSheetId="8">#REF!</definedName>
    <definedName name="G1.031">#REF!</definedName>
    <definedName name="G1.041" localSheetId="8">#REF!</definedName>
    <definedName name="G1.041">#REF!</definedName>
    <definedName name="G1.051" localSheetId="8">#REF!</definedName>
    <definedName name="G1.051">#REF!</definedName>
    <definedName name="G2.000" localSheetId="8">#REF!</definedName>
    <definedName name="G2.000">#REF!</definedName>
    <definedName name="G2.010" localSheetId="8">#REF!</definedName>
    <definedName name="G2.010">#REF!</definedName>
    <definedName name="G2.020" localSheetId="8">#REF!</definedName>
    <definedName name="G2.020">#REF!</definedName>
    <definedName name="G2.030" localSheetId="8">#REF!</definedName>
    <definedName name="G2.030">#REF!</definedName>
    <definedName name="G3.000" localSheetId="8">#REF!</definedName>
    <definedName name="G3.000">#REF!</definedName>
    <definedName name="G3.011" localSheetId="8">#REF!</definedName>
    <definedName name="G3.011">#REF!</definedName>
    <definedName name="G3.021" localSheetId="8">#REF!</definedName>
    <definedName name="G3.021">#REF!</definedName>
    <definedName name="G3.031" localSheetId="8">#REF!</definedName>
    <definedName name="G3.031">#REF!</definedName>
    <definedName name="G3.041" localSheetId="8">#REF!</definedName>
    <definedName name="G3.041">#REF!</definedName>
    <definedName name="G3.100" localSheetId="8">#REF!</definedName>
    <definedName name="G3.100">#REF!</definedName>
    <definedName name="G3.111" localSheetId="8">#REF!</definedName>
    <definedName name="G3.111">#REF!</definedName>
    <definedName name="G3.121" localSheetId="8">#REF!</definedName>
    <definedName name="G3.121">#REF!</definedName>
    <definedName name="G3.131" localSheetId="8">#REF!</definedName>
    <definedName name="G3.131">#REF!</definedName>
    <definedName name="G3.141" localSheetId="8">#REF!</definedName>
    <definedName name="G3.141">#REF!</definedName>
    <definedName name="G3.201" localSheetId="8">#REF!</definedName>
    <definedName name="G3.201">#REF!</definedName>
    <definedName name="G3.211" localSheetId="8">#REF!</definedName>
    <definedName name="G3.211">#REF!</definedName>
    <definedName name="G3.221" localSheetId="8">#REF!</definedName>
    <definedName name="G3.221">#REF!</definedName>
    <definedName name="G3.231" localSheetId="8">#REF!</definedName>
    <definedName name="G3.231">#REF!</definedName>
    <definedName name="G3.241" localSheetId="8">#REF!</definedName>
    <definedName name="G3.241">#REF!</definedName>
    <definedName name="G3.301" localSheetId="8">#REF!</definedName>
    <definedName name="G3.301">#REF!</definedName>
    <definedName name="G3.311" localSheetId="8">#REF!</definedName>
    <definedName name="G3.311">#REF!</definedName>
    <definedName name="G3.321" localSheetId="8">#REF!</definedName>
    <definedName name="G3.321">#REF!</definedName>
    <definedName name="G3.331" localSheetId="8">#REF!</definedName>
    <definedName name="G3.331">#REF!</definedName>
    <definedName name="G3.341" localSheetId="8">#REF!</definedName>
    <definedName name="G3.341">#REF!</definedName>
    <definedName name="G4.000" localSheetId="8">#REF!</definedName>
    <definedName name="G4.000">#REF!</definedName>
    <definedName name="G4.010" localSheetId="8">#REF!</definedName>
    <definedName name="G4.010">#REF!</definedName>
    <definedName name="G4.020" localSheetId="8">#REF!</definedName>
    <definedName name="G4.020">#REF!</definedName>
    <definedName name="G4.030" localSheetId="8">#REF!</definedName>
    <definedName name="G4.030">#REF!</definedName>
    <definedName name="G4.040" localSheetId="8">#REF!</definedName>
    <definedName name="G4.040">#REF!</definedName>
    <definedName name="G4.101" localSheetId="8">#REF!</definedName>
    <definedName name="G4.101">#REF!</definedName>
    <definedName name="G4.111" localSheetId="8">#REF!</definedName>
    <definedName name="G4.111">#REF!</definedName>
    <definedName name="G4.121" localSheetId="8">#REF!</definedName>
    <definedName name="G4.121">#REF!</definedName>
    <definedName name="G4.131" localSheetId="8">#REF!</definedName>
    <definedName name="G4.131">#REF!</definedName>
    <definedName name="G4.141" localSheetId="8">#REF!</definedName>
    <definedName name="G4.141">#REF!</definedName>
    <definedName name="G4.151" localSheetId="8">#REF!</definedName>
    <definedName name="G4.151">#REF!</definedName>
    <definedName name="G4.161" localSheetId="8">#REF!</definedName>
    <definedName name="G4.161">#REF!</definedName>
    <definedName name="G4.171" localSheetId="8">#REF!</definedName>
    <definedName name="G4.171">#REF!</definedName>
    <definedName name="G4.200" localSheetId="8">#REF!</definedName>
    <definedName name="G4.200">#REF!</definedName>
    <definedName name="G4.210" localSheetId="8">#REF!</definedName>
    <definedName name="G4.210">#REF!</definedName>
    <definedName name="G4.220" localSheetId="8">#REF!</definedName>
    <definedName name="G4.220">#REF!</definedName>
    <definedName name="g40g40" localSheetId="8">#REF!</definedName>
    <definedName name="g40g40">#REF!</definedName>
    <definedName name="gach">#REF!</definedName>
    <definedName name="gach2lo">#REF!</definedName>
    <definedName name="gach3x10">#REF!</definedName>
    <definedName name="gachblock">#REF!</definedName>
    <definedName name="gachchongtron" localSheetId="8">#REF!</definedName>
    <definedName name="gachchongtron">#REF!</definedName>
    <definedName name="gachdac">#REF!</definedName>
    <definedName name="gachlanem" localSheetId="8">#REF!</definedName>
    <definedName name="gachlanem">#REF!</definedName>
    <definedName name="gachllatnen30x30" localSheetId="8">#REF!</definedName>
    <definedName name="gachllatnen30x30">#REF!</definedName>
    <definedName name="gachllatnen40x40" localSheetId="8">#REF!</definedName>
    <definedName name="gachllatnen40x40">#REF!</definedName>
    <definedName name="gachllatnen50x50" localSheetId="8">#REF!</definedName>
    <definedName name="gachllatnen50x50">#REF!</definedName>
    <definedName name="gachop10x10">#REF!</definedName>
    <definedName name="gachop20x15">#REF!</definedName>
    <definedName name="gachvo" localSheetId="8">#REF!</definedName>
    <definedName name="gachvo">#REF!</definedName>
    <definedName name="GAHT" localSheetId="8">#REF!</definedName>
    <definedName name="GAHT">#REF!</definedName>
    <definedName name="gamatc">#REF!</definedName>
    <definedName name="gara" localSheetId="1" hidden="1">{"'Sheet1'!$L$16"}</definedName>
    <definedName name="gara" localSheetId="2" hidden="1">{"'Sheet1'!$L$16"}</definedName>
    <definedName name="gara" localSheetId="4" hidden="1">{"'Sheet1'!$L$16"}</definedName>
    <definedName name="gara" localSheetId="5" hidden="1">{"'Sheet1'!$L$16"}</definedName>
    <definedName name="gara" localSheetId="6" hidden="1">{"'Sheet1'!$L$16"}</definedName>
    <definedName name="gara" localSheetId="7" hidden="1">{"'Sheet1'!$L$16"}</definedName>
    <definedName name="gara" localSheetId="8" hidden="1">{"'Sheet1'!$L$16"}</definedName>
    <definedName name="gara" hidden="1">{"'Sheet1'!$L$16"}</definedName>
    <definedName name="gas" localSheetId="8">#REF!</definedName>
    <definedName name="gas">#REF!</definedName>
    <definedName name="gb" localSheetId="8">#REF!</definedName>
    <definedName name="gb">#REF!</definedName>
    <definedName name="gbb" localSheetId="1" hidden="1">{"'Sheet1'!$L$16"}</definedName>
    <definedName name="gbb" localSheetId="2" hidden="1">{"'Sheet1'!$L$16"}</definedName>
    <definedName name="gbb" localSheetId="3" hidden="1">{"'Sheet1'!$L$16"}</definedName>
    <definedName name="gbb" localSheetId="4" hidden="1">{"'Sheet1'!$L$16"}</definedName>
    <definedName name="gbb" localSheetId="5" hidden="1">{"'Sheet1'!$L$16"}</definedName>
    <definedName name="gbb" localSheetId="6" hidden="1">{"'Sheet1'!$L$16"}</definedName>
    <definedName name="gbb" localSheetId="7" hidden="1">{"'Sheet1'!$L$16"}</definedName>
    <definedName name="gbb" localSheetId="8" hidden="1">{"'Sheet1'!$L$16"}</definedName>
    <definedName name="gbb" hidden="1">{"'Sheet1'!$L$16"}</definedName>
    <definedName name="gc" localSheetId="8">#REF!</definedName>
    <definedName name="gc">#REF!</definedName>
    <definedName name="GC_CT" localSheetId="8">#REF!</definedName>
    <definedName name="GC_CT">#REF!</definedName>
    <definedName name="GC_CT1">#REF!</definedName>
    <definedName name="GC_DN" localSheetId="8">#REF!</definedName>
    <definedName name="GC_DN">#REF!</definedName>
    <definedName name="GC_HT" localSheetId="8">#REF!</definedName>
    <definedName name="GC_HT">#REF!</definedName>
    <definedName name="GC_TD" localSheetId="8">#REF!</definedName>
    <definedName name="GC_TD">#REF!</definedName>
    <definedName name="gcE">#REF!</definedName>
    <definedName name="gchi" localSheetId="8">#REF!</definedName>
    <definedName name="gchi">#REF!</definedName>
    <definedName name="gcHT">#REF!</definedName>
    <definedName name="gcm">#REF!</definedName>
    <definedName name="GCP" localSheetId="8">#REF!</definedName>
    <definedName name="GCP">#REF!</definedName>
    <definedName name="gd" localSheetId="8">#REF!</definedName>
    <definedName name="gd">#REF!</definedName>
    <definedName name="gd.">#REF!</definedName>
    <definedName name="GD_1" localSheetId="8">#REF!</definedName>
    <definedName name="GD_1">#REF!</definedName>
    <definedName name="GD_2" localSheetId="8">#REF!</definedName>
    <definedName name="GD_2">#REF!</definedName>
    <definedName name="gdc">#REF!</definedName>
    <definedName name="gdcf">#REF!</definedName>
    <definedName name="gdcf1">#REF!</definedName>
    <definedName name="gdcs">#REF!</definedName>
    <definedName name="gdfgdfgdf" localSheetId="1" hidden="1">{"'Sheet1'!$L$16"}</definedName>
    <definedName name="gdfgdfgdf" localSheetId="2" hidden="1">{"'Sheet1'!$L$16"}</definedName>
    <definedName name="gdfgdfgdf" localSheetId="3" hidden="1">{"'Sheet1'!$L$16"}</definedName>
    <definedName name="gdfgdfgdf" localSheetId="4" hidden="1">{"'Sheet1'!$L$16"}</definedName>
    <definedName name="gdfgdfgdf" localSheetId="5" hidden="1">{"'Sheet1'!$L$16"}</definedName>
    <definedName name="gdfgdfgdf" localSheetId="6" hidden="1">{"'Sheet1'!$L$16"}</definedName>
    <definedName name="gdfgdfgdf" localSheetId="7" hidden="1">{"'Sheet1'!$L$16"}</definedName>
    <definedName name="gdfgdfgdf" localSheetId="8" hidden="1">{"'Sheet1'!$L$16"}</definedName>
    <definedName name="gdfgdfgdf" hidden="1">{"'Sheet1'!$L$16"}</definedName>
    <definedName name="gdhfgh" localSheetId="1" hidden="1">{"'Sheet1'!$L$16"}</definedName>
    <definedName name="gdhfgh" localSheetId="2" hidden="1">{"'Sheet1'!$L$16"}</definedName>
    <definedName name="gdhfgh" localSheetId="4" hidden="1">{"'Sheet1'!$L$16"}</definedName>
    <definedName name="gdhfgh" localSheetId="5" hidden="1">{"'Sheet1'!$L$16"}</definedName>
    <definedName name="gdhfgh" localSheetId="6" hidden="1">{"'Sheet1'!$L$16"}</definedName>
    <definedName name="gdhfgh" localSheetId="7" hidden="1">{"'Sheet1'!$L$16"}</definedName>
    <definedName name="gdhfgh" localSheetId="8" hidden="1">{"'Sheet1'!$L$16"}</definedName>
    <definedName name="gdhfgh" hidden="1">{"'Sheet1'!$L$16"}</definedName>
    <definedName name="gDL">#REF!</definedName>
    <definedName name="gdw">#REF!</definedName>
    <definedName name="gdwf">#REF!</definedName>
    <definedName name="ge" localSheetId="8">#REF!</definedName>
    <definedName name="ge">#REF!</definedName>
    <definedName name="geff">#REF!</definedName>
    <definedName name="ges">#REF!</definedName>
    <definedName name="gesf">#REF!</definedName>
    <definedName name="GETVAR">#REF!</definedName>
    <definedName name="gf" localSheetId="8">#REF!</definedName>
    <definedName name="gf">#REF!</definedName>
    <definedName name="gfdhs" localSheetId="1" hidden="1">{"'Sheet1'!$L$16"}</definedName>
    <definedName name="gfdhs" localSheetId="2" hidden="1">{"'Sheet1'!$L$16"}</definedName>
    <definedName name="gfdhs" localSheetId="4" hidden="1">{"'Sheet1'!$L$16"}</definedName>
    <definedName name="gfdhs" localSheetId="5" hidden="1">{"'Sheet1'!$L$16"}</definedName>
    <definedName name="gfdhs" localSheetId="6" hidden="1">{"'Sheet1'!$L$16"}</definedName>
    <definedName name="gfdhs" localSheetId="7" hidden="1">{"'Sheet1'!$L$16"}</definedName>
    <definedName name="gfdhs" localSheetId="8" hidden="1">{"'Sheet1'!$L$16"}</definedName>
    <definedName name="gfdhs" hidden="1">{"'Sheet1'!$L$16"}</definedName>
    <definedName name="GFDSGD" localSheetId="1" hidden="1">{"'Sheet1'!$L$16"}</definedName>
    <definedName name="GFDSGD" localSheetId="2" hidden="1">{"'Sheet1'!$L$16"}</definedName>
    <definedName name="GFDSGD" localSheetId="4" hidden="1">{"'Sheet1'!$L$16"}</definedName>
    <definedName name="GFDSGD" localSheetId="5" hidden="1">{"'Sheet1'!$L$16"}</definedName>
    <definedName name="GFDSGD" localSheetId="6" hidden="1">{"'Sheet1'!$L$16"}</definedName>
    <definedName name="GFDSGD" localSheetId="7" hidden="1">{"'Sheet1'!$L$16"}</definedName>
    <definedName name="GFDSGD" localSheetId="8" hidden="1">{"'Sheet1'!$L$16"}</definedName>
    <definedName name="GFDSGD" hidden="1">{"'Sheet1'!$L$16"}</definedName>
    <definedName name="GGG" localSheetId="1" hidden="1">{"'Sheet1'!$L$16"}</definedName>
    <definedName name="GGG" localSheetId="2" hidden="1">{"'Sheet1'!$L$16"}</definedName>
    <definedName name="GGG" localSheetId="3" hidden="1">{"'Sheet1'!$L$16"}</definedName>
    <definedName name="GGG" localSheetId="4" hidden="1">{"'Sheet1'!$L$16"}</definedName>
    <definedName name="GGG" localSheetId="5" hidden="1">{"'Sheet1'!$L$16"}</definedName>
    <definedName name="GGG" localSheetId="6" hidden="1">{"'Sheet1'!$L$16"}</definedName>
    <definedName name="GGG" localSheetId="7" hidden="1">{"'Sheet1'!$L$16"}</definedName>
    <definedName name="GGG" localSheetId="8" hidden="1">{"'Sheet1'!$L$16"}</definedName>
    <definedName name="GGG" hidden="1">{"'Sheet1'!$L$16"}</definedName>
    <definedName name="gggg" localSheetId="1" hidden="1">{"'Sheet1'!$L$16"}</definedName>
    <definedName name="gggg" localSheetId="2" hidden="1">{"'Sheet1'!$L$16"}</definedName>
    <definedName name="gggg" localSheetId="3" hidden="1">{"'Sheet1'!$L$16"}</definedName>
    <definedName name="gggg" localSheetId="4" hidden="1">{"'Sheet1'!$L$16"}</definedName>
    <definedName name="gggg" localSheetId="5" hidden="1">{"'Sheet1'!$L$16"}</definedName>
    <definedName name="gggg" localSheetId="6" hidden="1">{"'Sheet1'!$L$16"}</definedName>
    <definedName name="gggg" localSheetId="7" hidden="1">{"'Sheet1'!$L$16"}</definedName>
    <definedName name="gggg" localSheetId="8" hidden="1">{"'Sheet1'!$L$16"}</definedName>
    <definedName name="gggg" hidden="1">{"'Sheet1'!$L$16"}</definedName>
    <definedName name="ggggj" localSheetId="1" hidden="1">{0}</definedName>
    <definedName name="ggggj" localSheetId="2" hidden="1">{0}</definedName>
    <definedName name="ggggj" localSheetId="4" hidden="1">{0}</definedName>
    <definedName name="ggggj" localSheetId="5" hidden="1">{0}</definedName>
    <definedName name="ggggj" localSheetId="6" hidden="1">{0}</definedName>
    <definedName name="ggggj" localSheetId="7" hidden="1">{0}</definedName>
    <definedName name="ggggj" localSheetId="8" hidden="1">{0}</definedName>
    <definedName name="ggggj" hidden="1">{0}</definedName>
    <definedName name="gghh" localSheetId="1" hidden="1">{"'Sheet1'!$L$16"}</definedName>
    <definedName name="gghh" localSheetId="2" hidden="1">{"'Sheet1'!$L$16"}</definedName>
    <definedName name="gghh" localSheetId="4" hidden="1">{"'Sheet1'!$L$16"}</definedName>
    <definedName name="gghh" localSheetId="5" hidden="1">{"'Sheet1'!$L$16"}</definedName>
    <definedName name="gghh" localSheetId="6" hidden="1">{"'Sheet1'!$L$16"}</definedName>
    <definedName name="gghh" localSheetId="7" hidden="1">{"'Sheet1'!$L$16"}</definedName>
    <definedName name="gghh" localSheetId="8" hidden="1">{"'Sheet1'!$L$16"}</definedName>
    <definedName name="gghh" hidden="1">{"'Sheet1'!$L$16"}</definedName>
    <definedName name="ggsf" localSheetId="3" hidden="1">#REF!</definedName>
    <definedName name="ggsf" localSheetId="4" hidden="1">#REF!</definedName>
    <definedName name="ggsf" localSheetId="5" hidden="1">#REF!</definedName>
    <definedName name="ggsf" localSheetId="6" hidden="1">#REF!</definedName>
    <definedName name="ggsf" localSheetId="7" hidden="1">#REF!</definedName>
    <definedName name="ggsf" localSheetId="8" hidden="1">#REF!</definedName>
    <definedName name="ggsf" hidden="1">#REF!</definedName>
    <definedName name="gh" localSheetId="8">#REF!</definedName>
    <definedName name="gh">#REF!</definedName>
    <definedName name="ghdzsf" localSheetId="1" hidden="1">{"'Sheet1'!$L$16"}</definedName>
    <definedName name="ghdzsf" localSheetId="2" hidden="1">{"'Sheet1'!$L$16"}</definedName>
    <definedName name="ghdzsf" localSheetId="4" hidden="1">{"'Sheet1'!$L$16"}</definedName>
    <definedName name="ghdzsf" localSheetId="5" hidden="1">{"'Sheet1'!$L$16"}</definedName>
    <definedName name="ghdzsf" localSheetId="6" hidden="1">{"'Sheet1'!$L$16"}</definedName>
    <definedName name="ghdzsf" localSheetId="7" hidden="1">{"'Sheet1'!$L$16"}</definedName>
    <definedName name="ghdzsf" localSheetId="8" hidden="1">{"'Sheet1'!$L$16"}</definedName>
    <definedName name="ghdzsf" hidden="1">{"'Sheet1'!$L$16"}</definedName>
    <definedName name="ghip" localSheetId="8">#REF!</definedName>
    <definedName name="ghip">#REF!</definedName>
    <definedName name="gi" localSheetId="8">#REF!</definedName>
    <definedName name="gi">#REF!</definedName>
    <definedName name="Giá_Đất">#REF!</definedName>
    <definedName name="Giá_Đất_ĐC">#REF!</definedName>
    <definedName name="Giá_GĐ">#REF!</definedName>
    <definedName name="GIA_LANGSON">#REF!</definedName>
    <definedName name="gia_tien" localSheetId="8">#REF!</definedName>
    <definedName name="gia_tien">#REF!</definedName>
    <definedName name="gia_tien_1" localSheetId="8">#REF!</definedName>
    <definedName name="gia_tien_1">#REF!</definedName>
    <definedName name="gia_tien_2" localSheetId="8">#REF!</definedName>
    <definedName name="gia_tien_2">#REF!</definedName>
    <definedName name="gia_tien_3" localSheetId="8">#REF!</definedName>
    <definedName name="gia_tien_3">#REF!</definedName>
    <definedName name="gia_tien_BTN" localSheetId="8">#REF!</definedName>
    <definedName name="gia_tien_BTN">#REF!</definedName>
    <definedName name="gia_tri_1BTN" localSheetId="8">#REF!</definedName>
    <definedName name="gia_tri_1BTN">#REF!</definedName>
    <definedName name="gia_tri_2BTN" localSheetId="8">#REF!</definedName>
    <definedName name="gia_tri_2BTN">#REF!</definedName>
    <definedName name="gia_tri_3BTN" localSheetId="8">#REF!</definedName>
    <definedName name="gia_tri_3BTN">#REF!</definedName>
    <definedName name="Gia_Vang">#REF!</definedName>
    <definedName name="GIA_XEPANGHIENG_Q">#REF!</definedName>
    <definedName name="giaca">#REF!</definedName>
    <definedName name="giacong" localSheetId="8">#REF!</definedName>
    <definedName name="giacong">#REF!</definedName>
    <definedName name="GiaHaNoiT2_2002_Q">#REF!</definedName>
    <definedName name="Giai_doan" localSheetId="8">#REF!</definedName>
    <definedName name="Giai_doan">#REF!</definedName>
    <definedName name="Giai_Đoạn">#REF!</definedName>
    <definedName name="GIATB" localSheetId="8">#REF!</definedName>
    <definedName name="GIATB">#REF!</definedName>
    <definedName name="GIAVL_TRALY" localSheetId="8">#REF!</definedName>
    <definedName name="GIAVL_TRALY">#REF!</definedName>
    <definedName name="GIAVLIEUTN" localSheetId="8">#REF!</definedName>
    <definedName name="GIAVLIEUTN">#REF!</definedName>
    <definedName name="gica_bq" localSheetId="8">#REF!</definedName>
    <definedName name="gica_bq">#REF!</definedName>
    <definedName name="gica_bv" localSheetId="8">#REF!</definedName>
    <definedName name="gica_bv">#REF!</definedName>
    <definedName name="gica_ck" localSheetId="8">#REF!</definedName>
    <definedName name="gica_ck">#REF!</definedName>
    <definedName name="gica_d1" localSheetId="8">#REF!</definedName>
    <definedName name="gica_d1">#REF!</definedName>
    <definedName name="gica_d2" localSheetId="8">#REF!</definedName>
    <definedName name="gica_d2">#REF!</definedName>
    <definedName name="gica_d3" localSheetId="8">#REF!</definedName>
    <definedName name="gica_d3">#REF!</definedName>
    <definedName name="gica_dl" localSheetId="8">#REF!</definedName>
    <definedName name="gica_dl">#REF!</definedName>
    <definedName name="gica_kcs" localSheetId="8">#REF!</definedName>
    <definedName name="gica_kcs">#REF!</definedName>
    <definedName name="gica_nb" localSheetId="8">#REF!</definedName>
    <definedName name="gica_nb">#REF!</definedName>
    <definedName name="gica_ngio" localSheetId="8">#REF!</definedName>
    <definedName name="gica_ngio">#REF!</definedName>
    <definedName name="gica_nv" localSheetId="8">#REF!</definedName>
    <definedName name="gica_nv">#REF!</definedName>
    <definedName name="gica_t3" localSheetId="8">#REF!</definedName>
    <definedName name="gica_t3">#REF!</definedName>
    <definedName name="gica_t4" localSheetId="8">#REF!</definedName>
    <definedName name="gica_t4">#REF!</definedName>
    <definedName name="gica_t5" localSheetId="8">#REF!</definedName>
    <definedName name="gica_t5">#REF!</definedName>
    <definedName name="gica_t6" localSheetId="8">#REF!</definedName>
    <definedName name="gica_t6">#REF!</definedName>
    <definedName name="gica_tc" localSheetId="8">#REF!</definedName>
    <definedName name="gica_tc">#REF!</definedName>
    <definedName name="gica_tm" localSheetId="8">#REF!</definedName>
    <definedName name="gica_tm">#REF!</definedName>
    <definedName name="gica_vs" localSheetId="8">#REF!</definedName>
    <definedName name="gica_vs">#REF!</definedName>
    <definedName name="gica_xh" localSheetId="8">#REF!</definedName>
    <definedName name="gica_xh">#REF!</definedName>
    <definedName name="gielau">#REF!</definedName>
    <definedName name="gio_bq" localSheetId="8">#REF!</definedName>
    <definedName name="gio_bq">#REF!</definedName>
    <definedName name="gio_d1" localSheetId="8">#REF!</definedName>
    <definedName name="gio_d1">#REF!</definedName>
    <definedName name="gio_d2" localSheetId="8">#REF!</definedName>
    <definedName name="gio_d2">#REF!</definedName>
    <definedName name="gio_d3" localSheetId="8">#REF!</definedName>
    <definedName name="gio_d3">#REF!</definedName>
    <definedName name="gio_dl" localSheetId="8">#REF!</definedName>
    <definedName name="gio_dl">#REF!</definedName>
    <definedName name="gio_kcs" localSheetId="8">#REF!</definedName>
    <definedName name="gio_kcs">#REF!</definedName>
    <definedName name="gio_ngio" localSheetId="8">#REF!</definedName>
    <definedName name="gio_ngio">#REF!</definedName>
    <definedName name="gio_t3" localSheetId="8">#REF!</definedName>
    <definedName name="gio_t3">#REF!</definedName>
    <definedName name="gio_t4" localSheetId="8">#REF!</definedName>
    <definedName name="gio_t4">#REF!</definedName>
    <definedName name="gio_t5" localSheetId="8">#REF!</definedName>
    <definedName name="gio_t5">#REF!</definedName>
    <definedName name="gio_t6" localSheetId="8">#REF!</definedName>
    <definedName name="gio_t6">#REF!</definedName>
    <definedName name="gio_vs" localSheetId="8">#REF!</definedName>
    <definedName name="gio_vs">#REF!</definedName>
    <definedName name="gio_xh" localSheetId="8">#REF!</definedName>
    <definedName name="gio_xh">#REF!</definedName>
    <definedName name="Giocong" localSheetId="8">#REF!</definedName>
    <definedName name="Giocong">#REF!</definedName>
    <definedName name="giotuoi" localSheetId="8">#REF!</definedName>
    <definedName name="giotuoi">#REF!</definedName>
    <definedName name="gipa5" localSheetId="8">#REF!</definedName>
    <definedName name="gipa5">#REF!</definedName>
    <definedName name="GIRDER">#REF!</definedName>
    <definedName name="gjgh" localSheetId="1" hidden="1">{0}</definedName>
    <definedName name="gjgh" localSheetId="2" hidden="1">{0}</definedName>
    <definedName name="gjgh" localSheetId="4" hidden="1">{0}</definedName>
    <definedName name="gjgh" localSheetId="5" hidden="1">{0}</definedName>
    <definedName name="gjgh" localSheetId="6" hidden="1">{0}</definedName>
    <definedName name="gjgh" localSheetId="7" hidden="1">{0}</definedName>
    <definedName name="gjgh" localSheetId="8" hidden="1">{0}</definedName>
    <definedName name="gjgh" hidden="1">{0}</definedName>
    <definedName name="gjghj" localSheetId="1" hidden="1">{0}</definedName>
    <definedName name="gjghj" localSheetId="2" hidden="1">{0}</definedName>
    <definedName name="gjghj" localSheetId="4" hidden="1">{0}</definedName>
    <definedName name="gjghj" localSheetId="5" hidden="1">{0}</definedName>
    <definedName name="gjghj" localSheetId="6" hidden="1">{0}</definedName>
    <definedName name="gjghj" localSheetId="7" hidden="1">{0}</definedName>
    <definedName name="gjghj" localSheetId="8" hidden="1">{0}</definedName>
    <definedName name="gjghj" hidden="1">{0}</definedName>
    <definedName name="gjhlk" localSheetId="1" hidden="1">{0}</definedName>
    <definedName name="gjhlk" localSheetId="2" hidden="1">{0}</definedName>
    <definedName name="gjhlk" localSheetId="4" hidden="1">{0}</definedName>
    <definedName name="gjhlk" localSheetId="5" hidden="1">{0}</definedName>
    <definedName name="gjhlk" localSheetId="6" hidden="1">{0}</definedName>
    <definedName name="gjhlk" localSheetId="7" hidden="1">{0}</definedName>
    <definedName name="gjhlk" localSheetId="8" hidden="1">{0}</definedName>
    <definedName name="gjhlk" hidden="1">{0}</definedName>
    <definedName name="gl3p" localSheetId="8">#REF!</definedName>
    <definedName name="gl3p">#REF!</definedName>
    <definedName name="Glazing" localSheetId="8">#REF!</definedName>
    <definedName name="Glazing">#REF!</definedName>
    <definedName name="gld" localSheetId="8">#REF!</definedName>
    <definedName name="gld">#REF!</definedName>
    <definedName name="gll">#REF!</definedName>
    <definedName name="gllf">#REF!</definedName>
    <definedName name="glls">#REF!</definedName>
    <definedName name="gnc">#REF!</definedName>
    <definedName name="go" localSheetId="8">#REF!</definedName>
    <definedName name="go">#REF!</definedName>
    <definedName name="GoBack" localSheetId="8">#REF!</definedName>
    <definedName name="GoBack">#REF!</definedName>
    <definedName name="goc" localSheetId="8">#REF!</definedName>
    <definedName name="goc">#REF!</definedName>
    <definedName name="Goc32x3" localSheetId="8">#REF!</definedName>
    <definedName name="Goc32x3">#REF!</definedName>
    <definedName name="Goc35x3" localSheetId="8">#REF!</definedName>
    <definedName name="Goc35x3">#REF!</definedName>
    <definedName name="Goc40x4" localSheetId="8">#REF!</definedName>
    <definedName name="Goc40x4">#REF!</definedName>
    <definedName name="Goc45x4" localSheetId="8">#REF!</definedName>
    <definedName name="Goc45x4">#REF!</definedName>
    <definedName name="Goc50x5" localSheetId="8">#REF!</definedName>
    <definedName name="Goc50x5">#REF!</definedName>
    <definedName name="Goc63x6" localSheetId="8">#REF!</definedName>
    <definedName name="Goc63x6">#REF!</definedName>
    <definedName name="Goc75x6" localSheetId="8">#REF!</definedName>
    <definedName name="Goc75x6">#REF!</definedName>
    <definedName name="gochong">#REF!</definedName>
    <definedName name="gochongda" localSheetId="8">#REF!</definedName>
    <definedName name="gochongda">#REF!</definedName>
    <definedName name="godan">#REF!</definedName>
    <definedName name="Gold_Price" localSheetId="5">#REF!</definedName>
    <definedName name="Gold_Price" localSheetId="6">#REF!</definedName>
    <definedName name="Gold_Price" localSheetId="7">#REF!</definedName>
    <definedName name="Gold_Price" localSheetId="8">#REF!</definedName>
    <definedName name="Gold_Price">#REF!</definedName>
    <definedName name="gonhom4" localSheetId="8">#REF!</definedName>
    <definedName name="gonhom4">#REF!</definedName>
    <definedName name="govankhuon" localSheetId="8">#REF!</definedName>
    <definedName name="govankhuon">#REF!</definedName>
    <definedName name="gps" localSheetId="8">#REF!</definedName>
    <definedName name="gps">#REF!</definedName>
    <definedName name="GPT_GROUNDING_PT" localSheetId="8">#REF!</definedName>
    <definedName name="GPT_GROUNDING_PT">#REF!</definedName>
    <definedName name="grC">#REF!</definedName>
    <definedName name="grD">#REF!</definedName>
    <definedName name="GRFICM" localSheetId="8">#REF!</definedName>
    <definedName name="GRFICM">#REF!</definedName>
    <definedName name="grst">#REF!</definedName>
    <definedName name="grstf">#REF!</definedName>
    <definedName name="gs" localSheetId="8">#REF!</definedName>
    <definedName name="gs">#REF!</definedName>
    <definedName name="gsdfg" localSheetId="1" hidden="1">{"'Sheet1'!$L$16"}</definedName>
    <definedName name="gsdfg" localSheetId="2" hidden="1">{"'Sheet1'!$L$16"}</definedName>
    <definedName name="gsdfg" localSheetId="4" hidden="1">{"'Sheet1'!$L$16"}</definedName>
    <definedName name="gsdfg" localSheetId="5" hidden="1">{"'Sheet1'!$L$16"}</definedName>
    <definedName name="gsdfg" localSheetId="6" hidden="1">{"'Sheet1'!$L$16"}</definedName>
    <definedName name="gsdfg" localSheetId="7" hidden="1">{"'Sheet1'!$L$16"}</definedName>
    <definedName name="gsdfg" localSheetId="8" hidden="1">{"'Sheet1'!$L$16"}</definedName>
    <definedName name="gsdfg" hidden="1">{"'Sheet1'!$L$16"}</definedName>
    <definedName name="GSDGD" localSheetId="1" hidden="1">{"'Sheet1'!$L$16"}</definedName>
    <definedName name="GSDGD" localSheetId="2" hidden="1">{"'Sheet1'!$L$16"}</definedName>
    <definedName name="GSDGD" localSheetId="4" hidden="1">{"'Sheet1'!$L$16"}</definedName>
    <definedName name="GSDGD" localSheetId="5" hidden="1">{"'Sheet1'!$L$16"}</definedName>
    <definedName name="GSDGD" localSheetId="6" hidden="1">{"'Sheet1'!$L$16"}</definedName>
    <definedName name="GSDGD" localSheetId="7" hidden="1">{"'Sheet1'!$L$16"}</definedName>
    <definedName name="GSDGD" localSheetId="8" hidden="1">{"'Sheet1'!$L$16"}</definedName>
    <definedName name="GSDGD" hidden="1">{"'Sheet1'!$L$16"}</definedName>
    <definedName name="GSTC">#REF!</definedName>
    <definedName name="GSTCT">#REF!</definedName>
    <definedName name="GT">#REF!</definedName>
    <definedName name="Gtb" localSheetId="8">#REF!</definedName>
    <definedName name="Gtb">#REF!</definedName>
    <definedName name="gtbtt" localSheetId="8">#REF!</definedName>
    <definedName name="gtbtt">#REF!</definedName>
    <definedName name="gtc" localSheetId="8">#REF!</definedName>
    <definedName name="gtc">#REF!</definedName>
    <definedName name="GTHD_AH_All">#REF!</definedName>
    <definedName name="GTHD_AH_CT">#REF!</definedName>
    <definedName name="GTHD_AH_TT">#REF!</definedName>
    <definedName name="GTHD_GV_All">#REF!</definedName>
    <definedName name="GTHD_GV_CT">#REF!</definedName>
    <definedName name="GTHD_GV_TT">#REF!</definedName>
    <definedName name="GTHD_GV_TT_KM">#REF!</definedName>
    <definedName name="GTHD_GV_TT_VBCN">#REF!</definedName>
    <definedName name="GTHD_HN_All" localSheetId="8">#REF!</definedName>
    <definedName name="GTHD_HN_All">#REF!</definedName>
    <definedName name="GTHD_HN_TT">#REF!</definedName>
    <definedName name="GTKS_">#REF!/10^9</definedName>
    <definedName name="GTOTAL" localSheetId="1" hidden="1">{"'Sheet1'!$L$16"}</definedName>
    <definedName name="GTOTAL" localSheetId="2" hidden="1">{"'Sheet1'!$L$16"}</definedName>
    <definedName name="GTOTAL" localSheetId="3" hidden="1">{"'Sheet1'!$L$16"}</definedName>
    <definedName name="GTOTAL" localSheetId="4" hidden="1">{"'Sheet1'!$L$16"}</definedName>
    <definedName name="GTOTAL" localSheetId="5" hidden="1">{"'Sheet1'!$L$16"}</definedName>
    <definedName name="GTOTAL" localSheetId="6" hidden="1">{"'Sheet1'!$L$16"}</definedName>
    <definedName name="GTOTAL" localSheetId="7" hidden="1">{"'Sheet1'!$L$16"}</definedName>
    <definedName name="GTOTAL" localSheetId="8" hidden="1">{"'Sheet1'!$L$16"}</definedName>
    <definedName name="GTOTAL" hidden="1">{"'Sheet1'!$L$16"}</definedName>
    <definedName name="GTRI" localSheetId="8">#REF!</definedName>
    <definedName name="GTRI">#REF!</definedName>
    <definedName name="GTTB_">#REF!/10^9</definedName>
    <definedName name="GTTMC" localSheetId="8">#REF!</definedName>
    <definedName name="GTTMC">#REF!</definedName>
    <definedName name="GTTMCa" localSheetId="8">#REF!</definedName>
    <definedName name="GTTMCa">#REF!</definedName>
    <definedName name="GTTV_">#REF!/10^9</definedName>
    <definedName name="GTXD_">#REF!/10^9</definedName>
    <definedName name="GTXL" localSheetId="8">#REF!</definedName>
    <definedName name="GTXL">#REF!</definedName>
    <definedName name="gv">#REF!</definedName>
    <definedName name="gvl">#REF!</definedName>
    <definedName name="GVL_LDT" localSheetId="8">#REF!</definedName>
    <definedName name="GVL_LDT">#REF!</definedName>
    <definedName name="gvt">#REF!</definedName>
    <definedName name="gwa">#REF!</definedName>
    <definedName name="gwaf">#REF!</definedName>
    <definedName name="gwas">#REF!</definedName>
    <definedName name="gwl">#REF!</definedName>
    <definedName name="gwlf">#REF!</definedName>
    <definedName name="gwls">#REF!</definedName>
    <definedName name="gws">#REF!</definedName>
    <definedName name="gwsf">#REF!</definedName>
    <definedName name="gwss">#REF!</definedName>
    <definedName name="Gxdtt" localSheetId="8">#REF!</definedName>
    <definedName name="Gxdtt">#REF!</definedName>
    <definedName name="GxdttGtb" localSheetId="8">#REF!</definedName>
    <definedName name="GxdttGtb">#REF!</definedName>
    <definedName name="Gxl" localSheetId="8">#REF!</definedName>
    <definedName name="Gxl">#REF!</definedName>
    <definedName name="gxltt" localSheetId="8">#REF!</definedName>
    <definedName name="gxltt">#REF!</definedName>
    <definedName name="gxm" localSheetId="8">#REF!</definedName>
    <definedName name="gxm">#REF!</definedName>
    <definedName name="GXMAX" localSheetId="8">#REF!</definedName>
    <definedName name="GXMAX">#REF!</definedName>
    <definedName name="GXMIN" localSheetId="8">#REF!</definedName>
    <definedName name="GXMIN">#REF!</definedName>
    <definedName name="GYMAX" localSheetId="8">#REF!</definedName>
    <definedName name="GYMAX">#REF!</definedName>
    <definedName name="GYMIN" localSheetId="8">#REF!</definedName>
    <definedName name="GYMIN">#REF!</definedName>
    <definedName name="h" localSheetId="1" hidden="1">{"'Sheet1'!$L$16"}</definedName>
    <definedName name="h" localSheetId="2" hidden="1">{"'Sheet1'!$L$16"}</definedName>
    <definedName name="h" localSheetId="3" hidden="1">{"'Sheet1'!$L$16"}</definedName>
    <definedName name="h" localSheetId="4" hidden="1">{"'Sheet1'!$L$16"}</definedName>
    <definedName name="h" localSheetId="5" hidden="1">{"'Sheet1'!$L$16"}</definedName>
    <definedName name="h" localSheetId="6" hidden="1">{"'Sheet1'!$L$16"}</definedName>
    <definedName name="h" localSheetId="7" hidden="1">{"'Sheet1'!$L$16"}</definedName>
    <definedName name="h" localSheetId="8" hidden="1">{"'Sheet1'!$L$16"}</definedName>
    <definedName name="h" hidden="1">{"'Sheet1'!$L$16"}</definedName>
    <definedName name="H." localSheetId="8">#REF!</definedName>
    <definedName name="H.">#REF!</definedName>
    <definedName name="h.2" localSheetId="8">#REF!</definedName>
    <definedName name="h.2">#REF!</definedName>
    <definedName name="H_30" localSheetId="8">#REF!</definedName>
    <definedName name="H_30">#REF!</definedName>
    <definedName name="h_d" localSheetId="8">#REF!</definedName>
    <definedName name="h_d">#REF!</definedName>
    <definedName name="H_ng_mòc_cáng_trÖnh" localSheetId="8">#REF!</definedName>
    <definedName name="H_ng_mòc_cáng_trÖnh">#REF!</definedName>
    <definedName name="h_xoa" localSheetId="1" hidden="1">{"'Sheet1'!$L$16"}</definedName>
    <definedName name="h_xoa" localSheetId="2" hidden="1">{"'Sheet1'!$L$16"}</definedName>
    <definedName name="h_xoa" localSheetId="3" hidden="1">{"'Sheet1'!$L$16"}</definedName>
    <definedName name="h_xoa" localSheetId="4" hidden="1">{"'Sheet1'!$L$16"}</definedName>
    <definedName name="h_xoa" localSheetId="5" hidden="1">{"'Sheet1'!$L$16"}</definedName>
    <definedName name="h_xoa" localSheetId="6" hidden="1">{"'Sheet1'!$L$16"}</definedName>
    <definedName name="h_xoa" localSheetId="7" hidden="1">{"'Sheet1'!$L$16"}</definedName>
    <definedName name="h_xoa" localSheetId="8" hidden="1">{"'Sheet1'!$L$16"}</definedName>
    <definedName name="h_xoa" hidden="1">{"'Sheet1'!$L$16"}</definedName>
    <definedName name="h_xoa2" localSheetId="1" hidden="1">{"'Sheet1'!$L$16"}</definedName>
    <definedName name="h_xoa2" localSheetId="2" hidden="1">{"'Sheet1'!$L$16"}</definedName>
    <definedName name="h_xoa2" localSheetId="4" hidden="1">{"'Sheet1'!$L$16"}</definedName>
    <definedName name="h_xoa2" localSheetId="5" hidden="1">{"'Sheet1'!$L$16"}</definedName>
    <definedName name="h_xoa2" localSheetId="6" hidden="1">{"'Sheet1'!$L$16"}</definedName>
    <definedName name="h_xoa2" localSheetId="7" hidden="1">{"'Sheet1'!$L$16"}</definedName>
    <definedName name="h_xoa2" localSheetId="8" hidden="1">{"'Sheet1'!$L$16"}</definedName>
    <definedName name="h_xoa2" hidden="1">{"'Sheet1'!$L$16"}</definedName>
    <definedName name="h0" localSheetId="8">#REF!</definedName>
    <definedName name="h0">#REF!</definedName>
    <definedName name="H0.001" localSheetId="8">#REF!</definedName>
    <definedName name="H0.001">#REF!</definedName>
    <definedName name="H0.011" localSheetId="8">#REF!</definedName>
    <definedName name="H0.011">#REF!</definedName>
    <definedName name="H0.021" localSheetId="8">#REF!</definedName>
    <definedName name="H0.021">#REF!</definedName>
    <definedName name="H0.031" localSheetId="8">#REF!</definedName>
    <definedName name="H0.031">#REF!</definedName>
    <definedName name="H0.4" localSheetId="8">#REF!</definedName>
    <definedName name="H0.4">#REF!</definedName>
    <definedName name="h1_" localSheetId="8">#REF!</definedName>
    <definedName name="h1_">#REF!</definedName>
    <definedName name="h18x">#REF!</definedName>
    <definedName name="h2_" localSheetId="8">#REF!</definedName>
    <definedName name="h2_">#REF!</definedName>
    <definedName name="h3_" localSheetId="8">#REF!</definedName>
    <definedName name="h3_">#REF!</definedName>
    <definedName name="h30x">#REF!</definedName>
    <definedName name="h4_" localSheetId="8">#REF!</definedName>
    <definedName name="h4_">#REF!</definedName>
    <definedName name="h5_" localSheetId="8">#REF!</definedName>
    <definedName name="h5_">#REF!</definedName>
    <definedName name="h6_" localSheetId="8">#REF!</definedName>
    <definedName name="h6_">#REF!</definedName>
    <definedName name="h7.5" localSheetId="8">#REF!</definedName>
    <definedName name="h7.5">#REF!</definedName>
    <definedName name="h7_" localSheetId="8">#REF!</definedName>
    <definedName name="h7_">#REF!</definedName>
    <definedName name="h8.5" localSheetId="8">#REF!</definedName>
    <definedName name="h8.5">#REF!</definedName>
    <definedName name="Ha" localSheetId="8">#REF!</definedName>
    <definedName name="Ha">#REF!</definedName>
    <definedName name="hai">#REF!</definedName>
    <definedName name="han">#REF!</definedName>
    <definedName name="handau10.2" localSheetId="8">#REF!</definedName>
    <definedName name="handau10.2">#REF!</definedName>
    <definedName name="handau27.5" localSheetId="8">#REF!</definedName>
    <definedName name="handau27.5">#REF!</definedName>
    <definedName name="handau4" localSheetId="8">#REF!</definedName>
    <definedName name="handau4">#REF!</definedName>
    <definedName name="Hang_muc_khac" localSheetId="8">#REF!</definedName>
    <definedName name="Hang_muc_khac">#REF!</definedName>
    <definedName name="hanh" localSheetId="1" hidden="1">{"'Sheet1'!$L$16"}</definedName>
    <definedName name="hanh" localSheetId="2" hidden="1">{"'Sheet1'!$L$16"}</definedName>
    <definedName name="hanh" localSheetId="3" hidden="1">{"'Sheet1'!$L$16"}</definedName>
    <definedName name="hanh" localSheetId="4" hidden="1">{"'Sheet1'!$L$16"}</definedName>
    <definedName name="hanh" localSheetId="5" hidden="1">{"'Sheet1'!$L$16"}</definedName>
    <definedName name="hanh" localSheetId="6" hidden="1">{"'Sheet1'!$L$16"}</definedName>
    <definedName name="hanh" localSheetId="7" hidden="1">{"'Sheet1'!$L$16"}</definedName>
    <definedName name="hanh" localSheetId="8" hidden="1">{"'Sheet1'!$L$16"}</definedName>
    <definedName name="hanh" hidden="1">{"'Sheet1'!$L$16"}</definedName>
    <definedName name="hanmotchieu40" localSheetId="8">#REF!</definedName>
    <definedName name="hanmotchieu40">#REF!</definedName>
    <definedName name="hanmotchieu50" localSheetId="8">#REF!</definedName>
    <definedName name="hanmotchieu50">#REF!</definedName>
    <definedName name="hanxang20" localSheetId="8">#REF!</definedName>
    <definedName name="hanxang20">#REF!</definedName>
    <definedName name="hanxang9" localSheetId="8">#REF!</definedName>
    <definedName name="hanxang9">#REF!</definedName>
    <definedName name="hanxoaychieu23" localSheetId="8">#REF!</definedName>
    <definedName name="hanxoaychieu23">#REF!</definedName>
    <definedName name="hanxoaychieu29.2" localSheetId="8">#REF!</definedName>
    <definedName name="hanxoaychieu29.2">#REF!</definedName>
    <definedName name="hanxoaychieu33.5" localSheetId="8">#REF!</definedName>
    <definedName name="hanxoaychieu33.5">#REF!</definedName>
    <definedName name="hap" localSheetId="8">#REF!</definedName>
    <definedName name="hap">#REF!</definedName>
    <definedName name="has">#REF!</definedName>
    <definedName name="Hb">#REF!</definedName>
    <definedName name="hbb">#REF!</definedName>
    <definedName name="hbbbbbb" localSheetId="1" hidden="1">{"'Sheet1'!$L$16"}</definedName>
    <definedName name="hbbbbbb" localSheetId="2" hidden="1">{"'Sheet1'!$L$16"}</definedName>
    <definedName name="hbbbbbb" localSheetId="4" hidden="1">{"'Sheet1'!$L$16"}</definedName>
    <definedName name="hbbbbbb" localSheetId="5" hidden="1">{"'Sheet1'!$L$16"}</definedName>
    <definedName name="hbbbbbb" localSheetId="6" hidden="1">{"'Sheet1'!$L$16"}</definedName>
    <definedName name="hbbbbbb" localSheetId="7" hidden="1">{"'Sheet1'!$L$16"}</definedName>
    <definedName name="hbbbbbb" localSheetId="8" hidden="1">{"'Sheet1'!$L$16"}</definedName>
    <definedName name="hbbbbbb" hidden="1">{"'Sheet1'!$L$16"}</definedName>
    <definedName name="HBC" localSheetId="8">#REF!</definedName>
    <definedName name="HBC">#REF!</definedName>
    <definedName name="HBL" localSheetId="8">#REF!</definedName>
    <definedName name="HBL">#REF!</definedName>
    <definedName name="hc" localSheetId="8">#REF!</definedName>
    <definedName name="hc">#REF!</definedName>
    <definedName name="hcb">#REF!</definedName>
    <definedName name="hcg" localSheetId="8">#REF!</definedName>
    <definedName name="hcg">#REF!</definedName>
    <definedName name="Hch">#REF!</definedName>
    <definedName name="HCM" localSheetId="8">#REF!</definedName>
    <definedName name="HCM">#REF!</definedName>
    <definedName name="HCNA" localSheetId="1" hidden="1">{"'Sheet1'!$L$16"}</definedName>
    <definedName name="HCNA" localSheetId="2" hidden="1">{"'Sheet1'!$L$16"}</definedName>
    <definedName name="HCNA" localSheetId="4" hidden="1">{"'Sheet1'!$L$16"}</definedName>
    <definedName name="HCNA" localSheetId="5" hidden="1">{"'Sheet1'!$L$16"}</definedName>
    <definedName name="HCNA" localSheetId="6" hidden="1">{"'Sheet1'!$L$16"}</definedName>
    <definedName name="HCNA" localSheetId="7" hidden="1">{"'Sheet1'!$L$16"}</definedName>
    <definedName name="HCNA" localSheetId="8" hidden="1">{"'Sheet1'!$L$16"}</definedName>
    <definedName name="HCNA" hidden="1">{"'Sheet1'!$L$16"}</definedName>
    <definedName name="HCPH" localSheetId="8">#REF!</definedName>
    <definedName name="HCPH">#REF!</definedName>
    <definedName name="HCS" localSheetId="8">#REF!</definedName>
    <definedName name="HCS">#REF!</definedName>
    <definedName name="HCU" localSheetId="8">#REF!</definedName>
    <definedName name="HCU">#REF!</definedName>
    <definedName name="hd">#REF!</definedName>
    <definedName name="HDC" localSheetId="8">#REF!</definedName>
    <definedName name="HDC">#REF!</definedName>
    <definedName name="HDCCT" localSheetId="8">#REF!</definedName>
    <definedName name="HDCCT">#REF!</definedName>
    <definedName name="HDCD" localSheetId="8">#REF!</definedName>
    <definedName name="HDCD">#REF!</definedName>
    <definedName name="hdd" localSheetId="8">#REF!</definedName>
    <definedName name="hdd">#REF!</definedName>
    <definedName name="hdn" localSheetId="8">#REF!</definedName>
    <definedName name="hdn">#REF!</definedName>
    <definedName name="HDU" localSheetId="8">#REF!</definedName>
    <definedName name="HDU">#REF!</definedName>
    <definedName name="He_so" localSheetId="8">#REF!</definedName>
    <definedName name="He_so">#REF!</definedName>
    <definedName name="Heä_soá_laép_xaø_H">1.7</definedName>
    <definedName name="heä_soá_sình_laày" localSheetId="8">#REF!</definedName>
    <definedName name="heä_soá_sình_laày">#REF!</definedName>
    <definedName name="Heso1" localSheetId="8">#REF!</definedName>
    <definedName name="Heso1">#REF!</definedName>
    <definedName name="hethongthoatnuocngoainha" localSheetId="3" hidden="1">#REF!</definedName>
    <definedName name="hethongthoatnuocngoainha" localSheetId="4" hidden="1">#REF!</definedName>
    <definedName name="hethongthoatnuocngoainha" localSheetId="5" hidden="1">#REF!</definedName>
    <definedName name="hethongthoatnuocngoainha" localSheetId="6" hidden="1">#REF!</definedName>
    <definedName name="hethongthoatnuocngoainha" localSheetId="7" hidden="1">#REF!</definedName>
    <definedName name="hethongthoatnuocngoainha" localSheetId="8" hidden="1">#REF!</definedName>
    <definedName name="hethongthoatnuocngoainha" hidden="1">#REF!</definedName>
    <definedName name="hfgd" localSheetId="1" hidden="1">{"'Sheet1'!$L$16"}</definedName>
    <definedName name="hfgd" localSheetId="2" hidden="1">{"'Sheet1'!$L$16"}</definedName>
    <definedName name="hfgd" localSheetId="4" hidden="1">{"'Sheet1'!$L$16"}</definedName>
    <definedName name="hfgd" localSheetId="5" hidden="1">{"'Sheet1'!$L$16"}</definedName>
    <definedName name="hfgd" localSheetId="6" hidden="1">{"'Sheet1'!$L$16"}</definedName>
    <definedName name="hfgd" localSheetId="7" hidden="1">{"'Sheet1'!$L$16"}</definedName>
    <definedName name="hfgd" localSheetId="8" hidden="1">{"'Sheet1'!$L$16"}</definedName>
    <definedName name="hfgd" hidden="1">{"'Sheet1'!$L$16"}</definedName>
    <definedName name="hfghfg" localSheetId="1" hidden="1">{"'Sheet1'!$L$16"}</definedName>
    <definedName name="hfghfg" localSheetId="2" hidden="1">{"'Sheet1'!$L$16"}</definedName>
    <definedName name="hfghfg" localSheetId="4" hidden="1">{"'Sheet1'!$L$16"}</definedName>
    <definedName name="hfghfg" localSheetId="5" hidden="1">{"'Sheet1'!$L$16"}</definedName>
    <definedName name="hfghfg" localSheetId="6" hidden="1">{"'Sheet1'!$L$16"}</definedName>
    <definedName name="hfghfg" localSheetId="7" hidden="1">{"'Sheet1'!$L$16"}</definedName>
    <definedName name="hfghfg" localSheetId="8" hidden="1">{"'Sheet1'!$L$16"}</definedName>
    <definedName name="hfghfg" hidden="1">{"'Sheet1'!$L$16"}</definedName>
    <definedName name="hg">#REF!</definedName>
    <definedName name="hgf">#REF!</definedName>
    <definedName name="hgfhg" localSheetId="1" hidden="1">{"'Sheet1'!$L$16"}</definedName>
    <definedName name="hgfhg" localSheetId="2" hidden="1">{"'Sheet1'!$L$16"}</definedName>
    <definedName name="hgfhg" localSheetId="4" hidden="1">{"'Sheet1'!$L$16"}</definedName>
    <definedName name="hgfhg" localSheetId="5" hidden="1">{"'Sheet1'!$L$16"}</definedName>
    <definedName name="hgfhg" localSheetId="6" hidden="1">{"'Sheet1'!$L$16"}</definedName>
    <definedName name="hgfhg" localSheetId="7" hidden="1">{"'Sheet1'!$L$16"}</definedName>
    <definedName name="hgfhg" localSheetId="8" hidden="1">{"'Sheet1'!$L$16"}</definedName>
    <definedName name="hgfhg" hidden="1">{"'Sheet1'!$L$16"}</definedName>
    <definedName name="hh" localSheetId="8">#REF!</definedName>
    <definedName name="hh">#REF!</definedName>
    <definedName name="HH15HT" localSheetId="8">#REF!</definedName>
    <definedName name="HH15HT">#REF!</definedName>
    <definedName name="HH16HT" localSheetId="8">#REF!</definedName>
    <definedName name="HH16HT">#REF!</definedName>
    <definedName name="HH19HT" localSheetId="8">#REF!</definedName>
    <definedName name="HH19HT">#REF!</definedName>
    <definedName name="HH20HT" localSheetId="8">#REF!</definedName>
    <definedName name="HH20HT">#REF!</definedName>
    <definedName name="HHcat" localSheetId="8">#REF!</definedName>
    <definedName name="HHcat">#REF!</definedName>
    <definedName name="hhcv" localSheetId="8">#REF!</definedName>
    <definedName name="hhcv">#REF!</definedName>
    <definedName name="HHda" localSheetId="8">#REF!</definedName>
    <definedName name="HHda">#REF!</definedName>
    <definedName name="hhda4x6" localSheetId="8">#REF!</definedName>
    <definedName name="hhda4x6">#REF!</definedName>
    <definedName name="HHH" localSheetId="1" hidden="1">{"'Sheet1'!$L$16"}</definedName>
    <definedName name="HHH" localSheetId="2" hidden="1">{"'Sheet1'!$L$16"}</definedName>
    <definedName name="HHH" localSheetId="4" hidden="1">{"'Sheet1'!$L$16"}</definedName>
    <definedName name="HHH" localSheetId="5" hidden="1">{"'Sheet1'!$L$16"}</definedName>
    <definedName name="HHH" localSheetId="6" hidden="1">{"'Sheet1'!$L$16"}</definedName>
    <definedName name="HHH" localSheetId="7" hidden="1">{"'Sheet1'!$L$16"}</definedName>
    <definedName name="HHH" localSheetId="8" hidden="1">{"'Sheet1'!$L$16"}</definedName>
    <definedName name="HHH" hidden="1">{"'Sheet1'!$L$16"}</definedName>
    <definedName name="hhhh" localSheetId="1" hidden="1">{"'Sheet1'!$L$16"}</definedName>
    <definedName name="hhhh" localSheetId="2" hidden="1">{"'Sheet1'!$L$16"}</definedName>
    <definedName name="hhhh" localSheetId="4" hidden="1">{"'Sheet1'!$L$16"}</definedName>
    <definedName name="hhhh" localSheetId="5" hidden="1">{"'Sheet1'!$L$16"}</definedName>
    <definedName name="hhhh" localSheetId="6" hidden="1">{"'Sheet1'!$L$16"}</definedName>
    <definedName name="hhhh" localSheetId="7" hidden="1">{"'Sheet1'!$L$16"}</definedName>
    <definedName name="hhhh" localSheetId="8" hidden="1">{"'Sheet1'!$L$16"}</definedName>
    <definedName name="hhhh" hidden="1">{"'Sheet1'!$L$16"}</definedName>
    <definedName name="hhhhh" localSheetId="1" hidden="1">{"'Sheet1'!$L$16"}</definedName>
    <definedName name="hhhhh" localSheetId="2" hidden="1">{"'Sheet1'!$L$16"}</definedName>
    <definedName name="hhhhh" localSheetId="4" hidden="1">{"'Sheet1'!$L$16"}</definedName>
    <definedName name="hhhhh" localSheetId="5" hidden="1">{"'Sheet1'!$L$16"}</definedName>
    <definedName name="hhhhh" localSheetId="6" hidden="1">{"'Sheet1'!$L$16"}</definedName>
    <definedName name="hhhhh" localSheetId="7" hidden="1">{"'Sheet1'!$L$16"}</definedName>
    <definedName name="hhhhh" localSheetId="8" hidden="1">{"'Sheet1'!$L$16"}</definedName>
    <definedName name="hhhhh" hidden="1">{"'Sheet1'!$L$16"}</definedName>
    <definedName name="hhhhhh" localSheetId="1" hidden="1">{"'Sheet1'!$L$16"}</definedName>
    <definedName name="hhhhhh" localSheetId="2" hidden="1">{"'Sheet1'!$L$16"}</definedName>
    <definedName name="hhhhhh" localSheetId="4" hidden="1">{"'Sheet1'!$L$16"}</definedName>
    <definedName name="hhhhhh" localSheetId="5" hidden="1">{"'Sheet1'!$L$16"}</definedName>
    <definedName name="hhhhhh" localSheetId="6" hidden="1">{"'Sheet1'!$L$16"}</definedName>
    <definedName name="hhhhhh" localSheetId="7" hidden="1">{"'Sheet1'!$L$16"}</definedName>
    <definedName name="hhhhhh" localSheetId="8" hidden="1">{"'Sheet1'!$L$16"}</definedName>
    <definedName name="hhhhhh" hidden="1">{"'Sheet1'!$L$16"}</definedName>
    <definedName name="hhhhhu" localSheetId="1" hidden="1">{"'Sheet1'!$L$16"}</definedName>
    <definedName name="hhhhhu" localSheetId="2" hidden="1">{"'Sheet1'!$L$16"}</definedName>
    <definedName name="hhhhhu" localSheetId="4" hidden="1">{"'Sheet1'!$L$16"}</definedName>
    <definedName name="hhhhhu" localSheetId="5" hidden="1">{"'Sheet1'!$L$16"}</definedName>
    <definedName name="hhhhhu" localSheetId="6" hidden="1">{"'Sheet1'!$L$16"}</definedName>
    <definedName name="hhhhhu" localSheetId="7" hidden="1">{"'Sheet1'!$L$16"}</definedName>
    <definedName name="hhhhhu" localSheetId="8" hidden="1">{"'Sheet1'!$L$16"}</definedName>
    <definedName name="hhhhhu" hidden="1">{"'Sheet1'!$L$16"}</definedName>
    <definedName name="HHIC" localSheetId="8">#REF!</definedName>
    <definedName name="HHIC">#REF!</definedName>
    <definedName name="hhsc" localSheetId="8">#REF!</definedName>
    <definedName name="hhsc">#REF!</definedName>
    <definedName name="HHT" localSheetId="8">#REF!</definedName>
    <definedName name="HHT">#REF!</definedName>
    <definedName name="hhtd" localSheetId="8">#REF!</definedName>
    <definedName name="hhtd">#REF!</definedName>
    <definedName name="HHxm" localSheetId="8">#REF!</definedName>
    <definedName name="HHxm">#REF!</definedName>
    <definedName name="HiddenRows" localSheetId="3" hidden="1">#REF!</definedName>
    <definedName name="HiddenRows" localSheetId="4" hidden="1">#REF!</definedName>
    <definedName name="HiddenRows" localSheetId="5" hidden="1">#REF!</definedName>
    <definedName name="HiddenRows" localSheetId="6" hidden="1">#REF!</definedName>
    <definedName name="HiddenRows" localSheetId="7" hidden="1">#REF!</definedName>
    <definedName name="HiddenRows" localSheetId="8" hidden="1">#REF!</definedName>
    <definedName name="HiddenRows" hidden="1">#REF!</definedName>
    <definedName name="hien" localSheetId="8">#REF!</definedName>
    <definedName name="hien">#REF!</definedName>
    <definedName name="Hinh_dang" localSheetId="8">#REF!</definedName>
    <definedName name="Hinh_dang">#REF!</definedName>
    <definedName name="hj" localSheetId="1" hidden="1">{#N/A,#N/A,FALSE,"Chi tiÆt"}</definedName>
    <definedName name="hj" localSheetId="2" hidden="1">{#N/A,#N/A,FALSE,"Chi tiÆt"}</definedName>
    <definedName name="hj" localSheetId="4" hidden="1">{#N/A,#N/A,FALSE,"Chi tiÆt"}</definedName>
    <definedName name="hj" localSheetId="5" hidden="1">{#N/A,#N/A,FALSE,"Chi tiÆt"}</definedName>
    <definedName name="hj" localSheetId="6" hidden="1">{#N/A,#N/A,FALSE,"Chi tiÆt"}</definedName>
    <definedName name="hj" localSheetId="7" hidden="1">{#N/A,#N/A,FALSE,"Chi tiÆt"}</definedName>
    <definedName name="hj" localSheetId="8" hidden="1">{#N/A,#N/A,FALSE,"Chi tiÆt"}</definedName>
    <definedName name="hj" hidden="1">{#N/A,#N/A,FALSE,"Chi tiÆt"}</definedName>
    <definedName name="hjjkl" localSheetId="1" hidden="1">{"'Sheet1'!$L$16"}</definedName>
    <definedName name="hjjkl" localSheetId="2" hidden="1">{"'Sheet1'!$L$16"}</definedName>
    <definedName name="hjjkl" localSheetId="4" hidden="1">{"'Sheet1'!$L$16"}</definedName>
    <definedName name="hjjkl" localSheetId="5" hidden="1">{"'Sheet1'!$L$16"}</definedName>
    <definedName name="hjjkl" localSheetId="6" hidden="1">{"'Sheet1'!$L$16"}</definedName>
    <definedName name="hjjkl" localSheetId="7" hidden="1">{"'Sheet1'!$L$16"}</definedName>
    <definedName name="hjjkl" localSheetId="8" hidden="1">{"'Sheet1'!$L$16"}</definedName>
    <definedName name="hjjkl" hidden="1">{"'Sheet1'!$L$16"}</definedName>
    <definedName name="hjkk" localSheetId="1" hidden="1">{"'Sheet1'!$L$16"}</definedName>
    <definedName name="hjkk" localSheetId="2" hidden="1">{"'Sheet1'!$L$16"}</definedName>
    <definedName name="hjkk" localSheetId="4" hidden="1">{"'Sheet1'!$L$16"}</definedName>
    <definedName name="hjkk" localSheetId="5" hidden="1">{"'Sheet1'!$L$16"}</definedName>
    <definedName name="hjkk" localSheetId="6" hidden="1">{"'Sheet1'!$L$16"}</definedName>
    <definedName name="hjkk" localSheetId="7" hidden="1">{"'Sheet1'!$L$16"}</definedName>
    <definedName name="hjkk" localSheetId="8" hidden="1">{"'Sheet1'!$L$16"}</definedName>
    <definedName name="hjkk" hidden="1">{"'Sheet1'!$L$16"}</definedName>
    <definedName name="HKE" localSheetId="8">#REF!</definedName>
    <definedName name="HKE">#REF!</definedName>
    <definedName name="HKL" localSheetId="8">#REF!</definedName>
    <definedName name="HKL">#REF!</definedName>
    <definedName name="HKLHI" localSheetId="8">#REF!</definedName>
    <definedName name="HKLHI">#REF!</definedName>
    <definedName name="HKLL" localSheetId="8">#REF!</definedName>
    <definedName name="HKLL">#REF!</definedName>
    <definedName name="HKLLLO" localSheetId="8">#REF!</definedName>
    <definedName name="HKLLLO">#REF!</definedName>
    <definedName name="hl">#REF!</definedName>
    <definedName name="HLC" localSheetId="8">#REF!</definedName>
    <definedName name="HLC">#REF!</definedName>
    <definedName name="HLIC" localSheetId="8">#REF!</definedName>
    <definedName name="HLIC">#REF!</definedName>
    <definedName name="HLL" localSheetId="8">#REF!</definedName>
    <definedName name="HLL">#REF!</definedName>
    <definedName name="HLU" localSheetId="8">#REF!</definedName>
    <definedName name="HLU">#REF!</definedName>
    <definedName name="HM_1">#REF!</definedName>
    <definedName name="HM_2">#REF!</definedName>
    <definedName name="Hmong" localSheetId="8">#REF!</definedName>
    <definedName name="Hmong">#REF!</definedName>
    <definedName name="hn" localSheetId="8">#REF!</definedName>
    <definedName name="hn">#REF!</definedName>
    <definedName name="hnc" localSheetId="8">#REF!</definedName>
    <definedName name="hnc">#REF!</definedName>
    <definedName name="ho" localSheetId="8">#REF!</definedName>
    <definedName name="ho">#REF!</definedName>
    <definedName name="hoa" localSheetId="1" hidden="1">{"'Sheet1'!$L$16"}</definedName>
    <definedName name="hoa" localSheetId="2" hidden="1">{"'Sheet1'!$L$16"}</definedName>
    <definedName name="hoa" localSheetId="4" hidden="1">{"'Sheet1'!$L$16"}</definedName>
    <definedName name="hoa" localSheetId="5" hidden="1">{"'Sheet1'!$L$16"}</definedName>
    <definedName name="hoa" localSheetId="6" hidden="1">{"'Sheet1'!$L$16"}</definedName>
    <definedName name="hoa" localSheetId="7" hidden="1">{"'Sheet1'!$L$16"}</definedName>
    <definedName name="hoa" localSheetId="8" hidden="1">{"'Sheet1'!$L$16"}</definedName>
    <definedName name="hoa" hidden="1">{"'Sheet1'!$L$16"}</definedName>
    <definedName name="hoan" localSheetId="1" hidden="1">{"'Sheet1'!$L$16"}</definedName>
    <definedName name="hoan" localSheetId="2" hidden="1">{"'Sheet1'!$L$16"}</definedName>
    <definedName name="hoan" localSheetId="4" hidden="1">{"'Sheet1'!$L$16"}</definedName>
    <definedName name="hoan" localSheetId="5" hidden="1">{"'Sheet1'!$L$16"}</definedName>
    <definedName name="hoan" localSheetId="6" hidden="1">{"'Sheet1'!$L$16"}</definedName>
    <definedName name="hoan" localSheetId="7" hidden="1">{"'Sheet1'!$L$16"}</definedName>
    <definedName name="hoan" localSheetId="8" hidden="1">{"'Sheet1'!$L$16"}</definedName>
    <definedName name="hoan" hidden="1">{"'Sheet1'!$L$16"}</definedName>
    <definedName name="hoc" localSheetId="1" hidden="1">{"'Sheet1'!$L$16"}</definedName>
    <definedName name="hoc" localSheetId="2" hidden="1">{"'Sheet1'!$L$16"}</definedName>
    <definedName name="hoc" localSheetId="3">55000</definedName>
    <definedName name="hoc" localSheetId="4" hidden="1">{"'Sheet1'!$L$16"}</definedName>
    <definedName name="hoc" localSheetId="5" hidden="1">{"'Sheet1'!$L$16"}</definedName>
    <definedName name="hoc" localSheetId="6" hidden="1">{"'Sheet1'!$L$16"}</definedName>
    <definedName name="hoc" localSheetId="7" hidden="1">{"'Sheet1'!$L$16"}</definedName>
    <definedName name="hoc" localSheetId="8" hidden="1">{"'Sheet1'!$L$16"}</definedName>
    <definedName name="hoc" hidden="1">{"'Sheet1'!$L$16"}</definedName>
    <definedName name="HOME_MANP" localSheetId="8">#REF!</definedName>
    <definedName name="HOME_MANP">#REF!</definedName>
    <definedName name="HOMEOFFICE_COST" localSheetId="8">#REF!</definedName>
    <definedName name="HOMEOFFICE_COST">#REF!</definedName>
    <definedName name="hong" localSheetId="1" hidden="1">{"'Sheet1'!$L$16"}</definedName>
    <definedName name="hong" localSheetId="2" hidden="1">{"'Sheet1'!$L$16"}</definedName>
    <definedName name="hong" localSheetId="4" hidden="1">{"'Sheet1'!$L$16"}</definedName>
    <definedName name="hong" localSheetId="5" hidden="1">{"'Sheet1'!$L$16"}</definedName>
    <definedName name="hong" localSheetId="6" hidden="1">{"'Sheet1'!$L$16"}</definedName>
    <definedName name="hong" localSheetId="7" hidden="1">{"'Sheet1'!$L$16"}</definedName>
    <definedName name="hong" localSheetId="8" hidden="1">{"'Sheet1'!$L$16"}</definedName>
    <definedName name="hong" hidden="1">{"'Sheet1'!$L$16"}</definedName>
    <definedName name="Hoten" localSheetId="8">#REF!</definedName>
    <definedName name="Hoten">#REF!</definedName>
    <definedName name="House" localSheetId="8">#REF!</definedName>
    <definedName name="House">#REF!</definedName>
    <definedName name="Hp" localSheetId="8">#REF!</definedName>
    <definedName name="Hp">#REF!</definedName>
    <definedName name="hpa" localSheetId="8">#REF!</definedName>
    <definedName name="hpa">#REF!</definedName>
    <definedName name="Hpc" localSheetId="8">#REF!</definedName>
    <definedName name="Hpc">#REF!</definedName>
    <definedName name="hpier">#REF!</definedName>
    <definedName name="Hpl">#REF!</definedName>
    <definedName name="hpv">#REF!</definedName>
    <definedName name="HR" localSheetId="8">#REF!</definedName>
    <definedName name="HR">#REF!</definedName>
    <definedName name="hr_" localSheetId="8">#REF!</definedName>
    <definedName name="hr_">#REF!</definedName>
    <definedName name="HRC" localSheetId="8">#REF!</definedName>
    <definedName name="HRC">#REF!</definedName>
    <definedName name="hs" localSheetId="8">#REF!</definedName>
    <definedName name="hs">#REF!</definedName>
    <definedName name="hsb" localSheetId="8">#REF!</definedName>
    <definedName name="hsb">#REF!</definedName>
    <definedName name="hsbn" localSheetId="8">#REF!</definedName>
    <definedName name="hsbn">#REF!</definedName>
    <definedName name="Hsc" localSheetId="8">#REF!</definedName>
    <definedName name="Hsc">#REF!</definedName>
    <definedName name="HSCT3">0.1</definedName>
    <definedName name="hsd" localSheetId="8">#REF!</definedName>
    <definedName name="hsd">#REF!</definedName>
    <definedName name="hsdc" localSheetId="8">#REF!</definedName>
    <definedName name="hsdc">#REF!</definedName>
    <definedName name="hsdc1" localSheetId="8">#REF!</definedName>
    <definedName name="hsdc1">#REF!</definedName>
    <definedName name="hsdc4" localSheetId="8">#REF!</definedName>
    <definedName name="hsdc4">#REF!</definedName>
    <definedName name="HSDD" localSheetId="8">#REF!</definedName>
    <definedName name="HSDD">#REF!</definedName>
    <definedName name="HSDN">2.5</definedName>
    <definedName name="hsdt" localSheetId="8">#REF!</definedName>
    <definedName name="hsdt">#REF!</definedName>
    <definedName name="hSF" localSheetId="8">#REF!</definedName>
    <definedName name="hSF">#REF!</definedName>
    <definedName name="HSGG" localSheetId="8">#REF!</definedName>
    <definedName name="HSGG">#REF!</definedName>
    <definedName name="HSHH" localSheetId="8">#REF!</definedName>
    <definedName name="HSHH">#REF!</definedName>
    <definedName name="HSHHUT" localSheetId="8">#REF!</definedName>
    <definedName name="HSHHUT">#REF!</definedName>
    <definedName name="hsk" localSheetId="8">#REF!</definedName>
    <definedName name="hsk">#REF!</definedName>
    <definedName name="hskhac" localSheetId="8">#REF!</definedName>
    <definedName name="hskhac">#REF!</definedName>
    <definedName name="HSKK">#REF!</definedName>
    <definedName name="hskk1">#REF!</definedName>
    <definedName name="HSlanxe">#REF!</definedName>
    <definedName name="hsm" localSheetId="8">#REF!</definedName>
    <definedName name="hsm">#REF!</definedName>
    <definedName name="hsms">#REF!</definedName>
    <definedName name="hsmt">#REF!</definedName>
    <definedName name="HSMTC" localSheetId="8">#REF!</definedName>
    <definedName name="HSMTC">#REF!</definedName>
    <definedName name="hsmtt">#REF!</definedName>
    <definedName name="hsn" localSheetId="8">#REF!</definedName>
    <definedName name="hsn">#REF!</definedName>
    <definedName name="HSNC">#REF!</definedName>
    <definedName name="hsnc_cau">1.626</definedName>
    <definedName name="hsnc_cau2">1.626</definedName>
    <definedName name="hsnc_d">1.6356</definedName>
    <definedName name="hsnc_d2">1.6356</definedName>
    <definedName name="hso" localSheetId="8">#REF!</definedName>
    <definedName name="hso">#REF!</definedName>
    <definedName name="hsoDH" localSheetId="8">#REF!</definedName>
    <definedName name="hsoDH">#REF!</definedName>
    <definedName name="Hsp" localSheetId="8">#REF!</definedName>
    <definedName name="Hsp">#REF!</definedName>
    <definedName name="HSSL" localSheetId="8">#REF!</definedName>
    <definedName name="HSSL">#REF!</definedName>
    <definedName name="hßm4" localSheetId="8">#REF!</definedName>
    <definedName name="hßm4">#REF!</definedName>
    <definedName name="hstb" localSheetId="8">#REF!</definedName>
    <definedName name="hstb">#REF!</definedName>
    <definedName name="hstdtk" localSheetId="8">#REF!</definedName>
    <definedName name="hstdtk">#REF!</definedName>
    <definedName name="hsthep" localSheetId="8">#REF!</definedName>
    <definedName name="hsthep">#REF!</definedName>
    <definedName name="hsUd" localSheetId="8">#REF!</definedName>
    <definedName name="hsUd">#REF!</definedName>
    <definedName name="HSVC1" localSheetId="8">#REF!</definedName>
    <definedName name="HSVC1">#REF!</definedName>
    <definedName name="HSVC2" localSheetId="8">#REF!</definedName>
    <definedName name="HSVC2">#REF!</definedName>
    <definedName name="HSVC3" localSheetId="8">#REF!</definedName>
    <definedName name="HSVC3">#REF!</definedName>
    <definedName name="HsVCVLTH" localSheetId="8">#REF!</definedName>
    <definedName name="HsVCVLTH">#REF!</definedName>
    <definedName name="hsvl" localSheetId="8">#REF!</definedName>
    <definedName name="hsvl">#REF!</definedName>
    <definedName name="hsvl2">1</definedName>
    <definedName name="ht25nc" localSheetId="8">#REF!</definedName>
    <definedName name="ht25nc">#REF!</definedName>
    <definedName name="ht25vl" localSheetId="8">#REF!</definedName>
    <definedName name="ht25vl">#REF!</definedName>
    <definedName name="ht325nc" localSheetId="8">#REF!</definedName>
    <definedName name="ht325nc">#REF!</definedName>
    <definedName name="ht325vl" localSheetId="8">#REF!</definedName>
    <definedName name="ht325vl">#REF!</definedName>
    <definedName name="ht37k" localSheetId="8">#REF!</definedName>
    <definedName name="ht37k">#REF!</definedName>
    <definedName name="ht37nc" localSheetId="8">#REF!</definedName>
    <definedName name="ht37nc">#REF!</definedName>
    <definedName name="ht50nc" localSheetId="8">#REF!</definedName>
    <definedName name="ht50nc">#REF!</definedName>
    <definedName name="ht50vl" localSheetId="8">#REF!</definedName>
    <definedName name="ht50vl">#REF!</definedName>
    <definedName name="hþ" localSheetId="1" hidden="1">{"'Sheet1'!$L$16"}</definedName>
    <definedName name="hþ" localSheetId="2" hidden="1">{"'Sheet1'!$L$16"}</definedName>
    <definedName name="hþ" localSheetId="4" hidden="1">{"'Sheet1'!$L$16"}</definedName>
    <definedName name="hþ" localSheetId="5" hidden="1">{"'Sheet1'!$L$16"}</definedName>
    <definedName name="hþ" localSheetId="6" hidden="1">{"'Sheet1'!$L$16"}</definedName>
    <definedName name="hþ" localSheetId="7" hidden="1">{"'Sheet1'!$L$16"}</definedName>
    <definedName name="hþ" localSheetId="8" hidden="1">{"'Sheet1'!$L$16"}</definedName>
    <definedName name="hþ" hidden="1">{"'Sheet1'!$L$16"}</definedName>
    <definedName name="hthe">#REF!</definedName>
    <definedName name="hþwr" localSheetId="1" hidden="1">{"'Sheet1'!$L$16"}</definedName>
    <definedName name="hþwr" localSheetId="2" hidden="1">{"'Sheet1'!$L$16"}</definedName>
    <definedName name="hþwr" localSheetId="4" hidden="1">{"'Sheet1'!$L$16"}</definedName>
    <definedName name="hþwr" localSheetId="5" hidden="1">{"'Sheet1'!$L$16"}</definedName>
    <definedName name="hþwr" localSheetId="6" hidden="1">{"'Sheet1'!$L$16"}</definedName>
    <definedName name="hþwr" localSheetId="7" hidden="1">{"'Sheet1'!$L$16"}</definedName>
    <definedName name="hþwr" localSheetId="8" hidden="1">{"'Sheet1'!$L$16"}</definedName>
    <definedName name="hþwr" hidden="1">{"'Sheet1'!$L$16"}</definedName>
    <definedName name="htlm" localSheetId="1" hidden="1">{"'Sheet1'!$L$16"}</definedName>
    <definedName name="htlm" localSheetId="2" hidden="1">{"'Sheet1'!$L$16"}</definedName>
    <definedName name="htlm" localSheetId="3" hidden="1">{"'Sheet1'!$L$16"}</definedName>
    <definedName name="htlm" localSheetId="4" hidden="1">{"'Sheet1'!$L$16"}</definedName>
    <definedName name="htlm" localSheetId="5" hidden="1">{"'Sheet1'!$L$16"}</definedName>
    <definedName name="htlm" localSheetId="6" hidden="1">{"'Sheet1'!$L$16"}</definedName>
    <definedName name="htlm" localSheetId="7" hidden="1">{"'Sheet1'!$L$16"}</definedName>
    <definedName name="htlm" localSheetId="8" hidden="1">{"'Sheet1'!$L$16"}</definedName>
    <definedName name="htlm" hidden="1">{"'Sheet1'!$L$16"}</definedName>
    <definedName name="HTML_CodePage" hidden="1">950</definedName>
    <definedName name="HTML_Control" localSheetId="1" hidden="1">{"'Sheet1'!$L$16"}</definedName>
    <definedName name="HTML_Control" localSheetId="2" hidden="1">{"'Sheet1'!$L$16"}</definedName>
    <definedName name="HTML_Control" localSheetId="3" hidden="1">{"'Sheet1'!$L$16"}</definedName>
    <definedName name="HTML_Control" localSheetId="4" hidden="1">{"'Sheet1'!$L$16"}</definedName>
    <definedName name="HTML_Control" localSheetId="5" hidden="1">{"'Sheet1'!$L$16"}</definedName>
    <definedName name="HTML_Control" localSheetId="6" hidden="1">{"'Sheet1'!$L$16"}</definedName>
    <definedName name="HTML_Control" localSheetId="7" hidden="1">{"'Sheet1'!$L$16"}</definedName>
    <definedName name="HTML_Control" localSheetId="8" hidden="1">{"'Sheet1'!$L$16"}</definedName>
    <definedName name="HTML_Control" hidden="1">{"'Sheet1'!$L$16"}</definedName>
    <definedName name="html_control_xoa2" localSheetId="1" hidden="1">{"'Sheet1'!$L$16"}</definedName>
    <definedName name="html_control_xoa2" localSheetId="2" hidden="1">{"'Sheet1'!$L$16"}</definedName>
    <definedName name="html_control_xoa2" localSheetId="4" hidden="1">{"'Sheet1'!$L$16"}</definedName>
    <definedName name="html_control_xoa2" localSheetId="5" hidden="1">{"'Sheet1'!$L$16"}</definedName>
    <definedName name="html_control_xoa2" localSheetId="6" hidden="1">{"'Sheet1'!$L$16"}</definedName>
    <definedName name="html_control_xoa2" localSheetId="7" hidden="1">{"'Sheet1'!$L$16"}</definedName>
    <definedName name="html_control_xoa2" localSheetId="8" hidden="1">{"'Sheet1'!$L$16"}</definedName>
    <definedName name="html_control_xoa2" hidden="1">{"'Sheet1'!$L$16"}</definedName>
    <definedName name="HTML_Controlmoi" localSheetId="1" hidden="1">{"'Sheet1'!$L$16"}</definedName>
    <definedName name="HTML_Controlmoi" localSheetId="2" hidden="1">{"'Sheet1'!$L$16"}</definedName>
    <definedName name="HTML_Controlmoi" localSheetId="3" hidden="1">{"'Sheet1'!$L$16"}</definedName>
    <definedName name="HTML_Controlmoi" localSheetId="4" hidden="1">{"'Sheet1'!$L$16"}</definedName>
    <definedName name="HTML_Controlmoi" localSheetId="5" hidden="1">{"'Sheet1'!$L$16"}</definedName>
    <definedName name="HTML_Controlmoi" localSheetId="6" hidden="1">{"'Sheet1'!$L$16"}</definedName>
    <definedName name="HTML_Controlmoi" localSheetId="7" hidden="1">{"'Sheet1'!$L$16"}</definedName>
    <definedName name="HTML_Controlmoi" localSheetId="8" hidden="1">{"'Sheet1'!$L$16"}</definedName>
    <definedName name="HTML_Controlmoi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PathFilemoi" hidden="1">"C:\2689\Q\國內\00q3961台化龍德PTA3建造\MyHTML.htm"</definedName>
    <definedName name="HTML_Title" hidden="1">"00Q3961-SUM"</definedName>
    <definedName name="htmll" localSheetId="1" hidden="1">{"'Sheet1'!$L$16"}</definedName>
    <definedName name="htmll" localSheetId="2" hidden="1">{"'Sheet1'!$L$16"}</definedName>
    <definedName name="htmll" localSheetId="4" hidden="1">{"'Sheet1'!$L$16"}</definedName>
    <definedName name="htmll" localSheetId="5" hidden="1">{"'Sheet1'!$L$16"}</definedName>
    <definedName name="htmll" localSheetId="6" hidden="1">{"'Sheet1'!$L$16"}</definedName>
    <definedName name="htmll" localSheetId="7" hidden="1">{"'Sheet1'!$L$16"}</definedName>
    <definedName name="htmll" localSheetId="8" hidden="1">{"'Sheet1'!$L$16"}</definedName>
    <definedName name="htmll" hidden="1">{"'Sheet1'!$L$16"}</definedName>
    <definedName name="HTNC" localSheetId="8">#REF!</definedName>
    <definedName name="HTNC">#REF!</definedName>
    <definedName name="HTS" localSheetId="8">#REF!</definedName>
    <definedName name="HTS">#REF!</definedName>
    <definedName name="HTT" localSheetId="8">#REF!</definedName>
    <definedName name="HTT">#REF!</definedName>
    <definedName name="HTU" localSheetId="8">#REF!</definedName>
    <definedName name="HTU">#REF!</definedName>
    <definedName name="HTVL" localSheetId="8">#REF!</definedName>
    <definedName name="HTVL">#REF!</definedName>
    <definedName name="hu" localSheetId="1" hidden="1">{"'Sheet1'!$L$16"}</definedName>
    <definedName name="hu" localSheetId="2" hidden="1">{"'Sheet1'!$L$16"}</definedName>
    <definedName name="hu" localSheetId="3" hidden="1">{"'Sheet1'!$L$16"}</definedName>
    <definedName name="hu" localSheetId="4" hidden="1">{"'Sheet1'!$L$16"}</definedName>
    <definedName name="hu" localSheetId="5" hidden="1">{"'Sheet1'!$L$16"}</definedName>
    <definedName name="hu" localSheetId="6" hidden="1">{"'Sheet1'!$L$16"}</definedName>
    <definedName name="hu" localSheetId="7" hidden="1">{"'Sheet1'!$L$16"}</definedName>
    <definedName name="hu" localSheetId="8" hidden="1">{"'Sheet1'!$L$16"}</definedName>
    <definedName name="hu" hidden="1">{"'Sheet1'!$L$16"}</definedName>
    <definedName name="hui" localSheetId="1" hidden="1">{"'Sheet1'!$L$16"}</definedName>
    <definedName name="hui" localSheetId="2" hidden="1">{"'Sheet1'!$L$16"}</definedName>
    <definedName name="hui" localSheetId="3" hidden="1">{"'Sheet1'!$L$16"}</definedName>
    <definedName name="hui" localSheetId="4" hidden="1">{"'Sheet1'!$L$16"}</definedName>
    <definedName name="hui" localSheetId="5" hidden="1">{"'Sheet1'!$L$16"}</definedName>
    <definedName name="hui" localSheetId="6" hidden="1">{"'Sheet1'!$L$16"}</definedName>
    <definedName name="hui" localSheetId="7" hidden="1">{"'Sheet1'!$L$16"}</definedName>
    <definedName name="hui" localSheetId="8" hidden="1">{"'Sheet1'!$L$16"}</definedName>
    <definedName name="hui" hidden="1">{"'Sheet1'!$L$16"}</definedName>
    <definedName name="huong">#REF!</definedName>
    <definedName name="huy" localSheetId="1" hidden="1">{"'Sheet1'!$L$16"}</definedName>
    <definedName name="huy" localSheetId="2" hidden="1">{"'Sheet1'!$L$16"}</definedName>
    <definedName name="huy" localSheetId="3" hidden="1">{"'Sheet1'!$L$16"}</definedName>
    <definedName name="huy" localSheetId="4" hidden="1">{"'Sheet1'!$L$16"}</definedName>
    <definedName name="huy" localSheetId="5" hidden="1">{"'Sheet1'!$L$16"}</definedName>
    <definedName name="huy" localSheetId="6" hidden="1">{"'Sheet1'!$L$16"}</definedName>
    <definedName name="huy" localSheetId="7" hidden="1">{"'Sheet1'!$L$16"}</definedName>
    <definedName name="huy" localSheetId="8" hidden="1">{"'Sheet1'!$L$16"}</definedName>
    <definedName name="huy" hidden="1">{"'Sheet1'!$L$16"}</definedName>
    <definedName name="huy_xoa" localSheetId="1" hidden="1">{"'Sheet1'!$L$16"}</definedName>
    <definedName name="huy_xoa" localSheetId="2" hidden="1">{"'Sheet1'!$L$16"}</definedName>
    <definedName name="huy_xoa" localSheetId="3" hidden="1">{"'Sheet1'!$L$16"}</definedName>
    <definedName name="huy_xoa" localSheetId="4" hidden="1">{"'Sheet1'!$L$16"}</definedName>
    <definedName name="huy_xoa" localSheetId="5" hidden="1">{"'Sheet1'!$L$16"}</definedName>
    <definedName name="huy_xoa" localSheetId="6" hidden="1">{"'Sheet1'!$L$16"}</definedName>
    <definedName name="huy_xoa" localSheetId="7" hidden="1">{"'Sheet1'!$L$16"}</definedName>
    <definedName name="huy_xoa" localSheetId="8" hidden="1">{"'Sheet1'!$L$16"}</definedName>
    <definedName name="huy_xoa" hidden="1">{"'Sheet1'!$L$16"}</definedName>
    <definedName name="huy_xoa2" localSheetId="1" hidden="1">{"'Sheet1'!$L$16"}</definedName>
    <definedName name="huy_xoa2" localSheetId="2" hidden="1">{"'Sheet1'!$L$16"}</definedName>
    <definedName name="huy_xoa2" localSheetId="4" hidden="1">{"'Sheet1'!$L$16"}</definedName>
    <definedName name="huy_xoa2" localSheetId="5" hidden="1">{"'Sheet1'!$L$16"}</definedName>
    <definedName name="huy_xoa2" localSheetId="6" hidden="1">{"'Sheet1'!$L$16"}</definedName>
    <definedName name="huy_xoa2" localSheetId="7" hidden="1">{"'Sheet1'!$L$16"}</definedName>
    <definedName name="huy_xoa2" localSheetId="8" hidden="1">{"'Sheet1'!$L$16"}</definedName>
    <definedName name="huy_xoa2" hidden="1">{"'Sheet1'!$L$16"}</definedName>
    <definedName name="huymoi" localSheetId="1" hidden="1">{"'Sheet1'!$L$16"}</definedName>
    <definedName name="huymoi" localSheetId="2" hidden="1">{"'Sheet1'!$L$16"}</definedName>
    <definedName name="huymoi" localSheetId="3" hidden="1">{"'Sheet1'!$L$16"}</definedName>
    <definedName name="huymoi" localSheetId="4" hidden="1">{"'Sheet1'!$L$16"}</definedName>
    <definedName name="huymoi" localSheetId="5" hidden="1">{"'Sheet1'!$L$16"}</definedName>
    <definedName name="huymoi" localSheetId="6" hidden="1">{"'Sheet1'!$L$16"}</definedName>
    <definedName name="huymoi" localSheetId="7" hidden="1">{"'Sheet1'!$L$16"}</definedName>
    <definedName name="huymoi" localSheetId="8" hidden="1">{"'Sheet1'!$L$16"}</definedName>
    <definedName name="huymoi" hidden="1">{"'Sheet1'!$L$16"}</definedName>
    <definedName name="huyy" localSheetId="1" hidden="1">{"'Sheet1'!$L$16"}</definedName>
    <definedName name="huyy" localSheetId="2" hidden="1">{"'Sheet1'!$L$16"}</definedName>
    <definedName name="huyy" localSheetId="4" hidden="1">{"'Sheet1'!$L$16"}</definedName>
    <definedName name="huyy" localSheetId="5" hidden="1">{"'Sheet1'!$L$16"}</definedName>
    <definedName name="huyy" localSheetId="6" hidden="1">{"'Sheet1'!$L$16"}</definedName>
    <definedName name="huyy" localSheetId="7" hidden="1">{"'Sheet1'!$L$16"}</definedName>
    <definedName name="huyy" localSheetId="8" hidden="1">{"'Sheet1'!$L$16"}</definedName>
    <definedName name="huyy" hidden="1">{"'Sheet1'!$L$16"}</definedName>
    <definedName name="huyyy" localSheetId="1" hidden="1">{"'Sheet1'!$L$16"}</definedName>
    <definedName name="huyyy" localSheetId="2" hidden="1">{"'Sheet1'!$L$16"}</definedName>
    <definedName name="huyyy" localSheetId="4" hidden="1">{"'Sheet1'!$L$16"}</definedName>
    <definedName name="huyyy" localSheetId="5" hidden="1">{"'Sheet1'!$L$16"}</definedName>
    <definedName name="huyyy" localSheetId="6" hidden="1">{"'Sheet1'!$L$16"}</definedName>
    <definedName name="huyyy" localSheetId="7" hidden="1">{"'Sheet1'!$L$16"}</definedName>
    <definedName name="huyyy" localSheetId="8" hidden="1">{"'Sheet1'!$L$16"}</definedName>
    <definedName name="huyyy" hidden="1">{"'Sheet1'!$L$16"}</definedName>
    <definedName name="HV" localSheetId="8">#REF!</definedName>
    <definedName name="HV">#REF!</definedName>
    <definedName name="HVBC" localSheetId="8">#REF!</definedName>
    <definedName name="HVBC">#REF!</definedName>
    <definedName name="HVC" localSheetId="8">#REF!</definedName>
    <definedName name="HVC">#REF!</definedName>
    <definedName name="HVL" localSheetId="8">#REF!</definedName>
    <definedName name="HVL">#REF!</definedName>
    <definedName name="HVP" localSheetId="8">#REF!</definedName>
    <definedName name="HVP">#REF!</definedName>
    <definedName name="hw" localSheetId="8">#REF!</definedName>
    <definedName name="hw">#REF!</definedName>
    <definedName name="Hy" localSheetId="8">#REF!</definedName>
    <definedName name="Hy">#REF!</definedName>
    <definedName name="I" localSheetId="8">#REF!</definedName>
    <definedName name="I">#REF!</definedName>
    <definedName name="i_" localSheetId="8">#REF!</definedName>
    <definedName name="i_">#REF!</definedName>
    <definedName name="I_p" localSheetId="8">#REF!</definedName>
    <definedName name="I_p">#REF!</definedName>
    <definedName name="I2É6" localSheetId="8">#REF!</definedName>
    <definedName name="I2É6">#REF!</definedName>
    <definedName name="Ic" localSheetId="8">#REF!</definedName>
    <definedName name="Ic">#REF!</definedName>
    <definedName name="IDLAB_COST" localSheetId="8">#REF!</definedName>
    <definedName name="IDLAB_COST">#REF!</definedName>
    <definedName name="Iferror" localSheetId="5">#REF!</definedName>
    <definedName name="Iferror" localSheetId="6">#REF!</definedName>
    <definedName name="Iferror" localSheetId="7">#REF!</definedName>
    <definedName name="Iferror" localSheetId="8">#REF!</definedName>
    <definedName name="Iferror">#REF!</definedName>
    <definedName name="Ig" localSheetId="8">#REF!</definedName>
    <definedName name="Ig">#REF!</definedName>
    <definedName name="im" localSheetId="8">#REF!</definedName>
    <definedName name="im">#REF!</definedName>
    <definedName name="IMPORT" localSheetId="8">#REF!</definedName>
    <definedName name="IMPORT">#REF!</definedName>
    <definedName name="IND_LAB" localSheetId="8">#REF!</definedName>
    <definedName name="IND_LAB">#REF!</definedName>
    <definedName name="index" localSheetId="8">#REF!</definedName>
    <definedName name="index">#REF!</definedName>
    <definedName name="INDIRECT_COST" localSheetId="4" hidden="1">#REF!</definedName>
    <definedName name="INDIRECT_COST" localSheetId="5" hidden="1">#REF!</definedName>
    <definedName name="INDIRECT_COST" localSheetId="6" hidden="1">#REF!</definedName>
    <definedName name="INDIRECT_COST" localSheetId="7" hidden="1">#REF!</definedName>
    <definedName name="INDIRECT_COST" localSheetId="8" hidden="1">#REF!</definedName>
    <definedName name="INDIRECT_COST" hidden="1">#REF!</definedName>
    <definedName name="INDMANP" localSheetId="8">#REF!</definedName>
    <definedName name="INDMANP">#REF!</definedName>
    <definedName name="INF" localSheetId="8">#REF!</definedName>
    <definedName name="INF">#REF!</definedName>
    <definedName name="inhro" localSheetId="8">#REF!</definedName>
    <definedName name="inhro">#REF!</definedName>
    <definedName name="INPUT" localSheetId="8">#REF!</definedName>
    <definedName name="INPUT">#REF!</definedName>
    <definedName name="INPUT1" localSheetId="8">#REF!</definedName>
    <definedName name="INPUT1">#REF!</definedName>
    <definedName name="inputCosti" localSheetId="8">#REF!</definedName>
    <definedName name="inputCosti">#REF!</definedName>
    <definedName name="inputLf" localSheetId="8">#REF!</definedName>
    <definedName name="inputLf">#REF!</definedName>
    <definedName name="inputWTP" localSheetId="8">#REF!</definedName>
    <definedName name="inputWTP">#REF!</definedName>
    <definedName name="INT" localSheetId="8">#REF!</definedName>
    <definedName name="INT">#REF!</definedName>
    <definedName name="InteriorWork" localSheetId="8">#REF!</definedName>
    <definedName name="InteriorWork">#REF!</definedName>
    <definedName name="IO" localSheetId="8">#REF!</definedName>
    <definedName name="IO">#REF!</definedName>
    <definedName name="Ip" localSheetId="8">#REF!</definedName>
    <definedName name="Ip">#REF!</definedName>
    <definedName name="IPX" localSheetId="8">#REF!</definedName>
    <definedName name="IPX">#REF!</definedName>
    <definedName name="IPY" localSheetId="8">#REF!</definedName>
    <definedName name="IPY">#REF!</definedName>
    <definedName name="is" localSheetId="8">#REF!</definedName>
    <definedName name="is">#REF!</definedName>
    <definedName name="iuliupoui" localSheetId="1" hidden="1">{"'Sheet1'!$L$16"}</definedName>
    <definedName name="iuliupoui" localSheetId="2" hidden="1">{"'Sheet1'!$L$16"}</definedName>
    <definedName name="iuliupoui" localSheetId="4" hidden="1">{"'Sheet1'!$L$16"}</definedName>
    <definedName name="iuliupoui" localSheetId="5" hidden="1">{"'Sheet1'!$L$16"}</definedName>
    <definedName name="iuliupoui" localSheetId="6" hidden="1">{"'Sheet1'!$L$16"}</definedName>
    <definedName name="iuliupoui" localSheetId="7" hidden="1">{"'Sheet1'!$L$16"}</definedName>
    <definedName name="iuliupoui" localSheetId="8" hidden="1">{"'Sheet1'!$L$16"}</definedName>
    <definedName name="iuliupoui" hidden="1">{"'Sheet1'!$L$16"}</definedName>
    <definedName name="iv" localSheetId="8">#REF!</definedName>
    <definedName name="iv">#REF!</definedName>
    <definedName name="iwer" localSheetId="1" hidden="1">{"'Sheet1'!$L$16"}</definedName>
    <definedName name="iwer" localSheetId="2" hidden="1">{"'Sheet1'!$L$16"}</definedName>
    <definedName name="iwer" localSheetId="4" hidden="1">{"'Sheet1'!$L$16"}</definedName>
    <definedName name="iwer" localSheetId="5" hidden="1">{"'Sheet1'!$L$16"}</definedName>
    <definedName name="iwer" localSheetId="6" hidden="1">{"'Sheet1'!$L$16"}</definedName>
    <definedName name="iwer" localSheetId="7" hidden="1">{"'Sheet1'!$L$16"}</definedName>
    <definedName name="iwer" localSheetId="8" hidden="1">{"'Sheet1'!$L$16"}</definedName>
    <definedName name="iwer" hidden="1">{"'Sheet1'!$L$16"}</definedName>
    <definedName name="IWTP" localSheetId="8">#REF!</definedName>
    <definedName name="IWTP">#REF!</definedName>
    <definedName name="ix">#REF!</definedName>
    <definedName name="Ixx">#REF!</definedName>
    <definedName name="ixy">#REF!</definedName>
    <definedName name="iy">#REF!</definedName>
    <definedName name="iylryi" localSheetId="1" hidden="1">{"'Sheet1'!$L$16"}</definedName>
    <definedName name="iylryi" localSheetId="2" hidden="1">{"'Sheet1'!$L$16"}</definedName>
    <definedName name="iylryi" localSheetId="4" hidden="1">{"'Sheet1'!$L$16"}</definedName>
    <definedName name="iylryi" localSheetId="5" hidden="1">{"'Sheet1'!$L$16"}</definedName>
    <definedName name="iylryi" localSheetId="6" hidden="1">{"'Sheet1'!$L$16"}</definedName>
    <definedName name="iylryi" localSheetId="7" hidden="1">{"'Sheet1'!$L$16"}</definedName>
    <definedName name="iylryi" localSheetId="8" hidden="1">{"'Sheet1'!$L$16"}</definedName>
    <definedName name="iylryi" hidden="1">{"'Sheet1'!$L$16"}</definedName>
    <definedName name="j" localSheetId="8">#REF!</definedName>
    <definedName name="j">#REF!</definedName>
    <definedName name="j356C8" localSheetId="8">#REF!</definedName>
    <definedName name="j356C8">#REF!</definedName>
    <definedName name="jghjh" localSheetId="8">#REF!</definedName>
    <definedName name="jghjh">#REF!</definedName>
    <definedName name="jhakjhskjd" localSheetId="1" hidden="1">{0,0,0,0;0,0,TRUE,0;0,#N/A,FALSE,0;0,#N/A,FALSE,0;0,#N/A,FALSE,0;0,#N/A,FALSE,0;0,#N/A,FALSE,0}</definedName>
    <definedName name="jhakjhskjd" localSheetId="2" hidden="1">{0,0,0,0;0,0,TRUE,0;0,#N/A,FALSE,0;0,#N/A,FALSE,0;0,#N/A,FALSE,0;0,#N/A,FALSE,0;0,#N/A,FALSE,0}</definedName>
    <definedName name="jhakjhskjd" localSheetId="4" hidden="1">{0,0,0,0;0,0,TRUE,0;0,#N/A,FALSE,0;0,#N/A,FALSE,0;0,#N/A,FALSE,0;0,#N/A,FALSE,0;0,#N/A,FALSE,0}</definedName>
    <definedName name="jhakjhskjd" localSheetId="5" hidden="1">{0,0,0,0;0,0,TRUE,0;0,#N/A,FALSE,0;0,#N/A,FALSE,0;0,#N/A,FALSE,0;0,#N/A,FALSE,0;0,#N/A,FALSE,0}</definedName>
    <definedName name="jhakjhskjd" localSheetId="6" hidden="1">{0,0,0,0;0,0,TRUE,0;0,#N/A,FALSE,0;0,#N/A,FALSE,0;0,#N/A,FALSE,0;0,#N/A,FALSE,0;0,#N/A,FALSE,0}</definedName>
    <definedName name="jhakjhskjd" localSheetId="7" hidden="1">{0,0,0,0;0,0,TRUE,0;0,#N/A,FALSE,0;0,#N/A,FALSE,0;0,#N/A,FALSE,0;0,#N/A,FALSE,0;0,#N/A,FALSE,0}</definedName>
    <definedName name="jhakjhskjd" localSheetId="8" hidden="1">{0,0,0,0;0,0,TRUE,0;0,#N/A,FALSE,0;0,#N/A,FALSE,0;0,#N/A,FALSE,0;0,#N/A,FALSE,0;0,#N/A,FALSE,0}</definedName>
    <definedName name="jhakjhskjd" hidden="1">{0,0,0,0;0,0,TRUE,0;0,#N/A,FALSE,0;0,#N/A,FALSE,0;0,#N/A,FALSE,0;0,#N/A,FALSE,0;0,#N/A,FALSE,0}</definedName>
    <definedName name="jhfgj" localSheetId="1" hidden="1">{"'Sheet1'!$L$16"}</definedName>
    <definedName name="jhfgj" localSheetId="2" hidden="1">{"'Sheet1'!$L$16"}</definedName>
    <definedName name="jhfgj" localSheetId="4" hidden="1">{"'Sheet1'!$L$16"}</definedName>
    <definedName name="jhfgj" localSheetId="5" hidden="1">{"'Sheet1'!$L$16"}</definedName>
    <definedName name="jhfgj" localSheetId="6" hidden="1">{"'Sheet1'!$L$16"}</definedName>
    <definedName name="jhfgj" localSheetId="7" hidden="1">{"'Sheet1'!$L$16"}</definedName>
    <definedName name="jhfgj" localSheetId="8" hidden="1">{"'Sheet1'!$L$16"}</definedName>
    <definedName name="jhfgj" hidden="1">{"'Sheet1'!$L$16"}</definedName>
    <definedName name="jhg">#REF!</definedName>
    <definedName name="jhnjnn" localSheetId="8">#REF!</definedName>
    <definedName name="jhnjnn">#REF!</definedName>
    <definedName name="jjjjjjj" localSheetId="1" hidden="1">{"'Sheet1'!$L$16"}</definedName>
    <definedName name="jjjjjjj" localSheetId="2" hidden="1">{"'Sheet1'!$L$16"}</definedName>
    <definedName name="jjjjjjj" localSheetId="4" hidden="1">{"'Sheet1'!$L$16"}</definedName>
    <definedName name="jjjjjjj" localSheetId="5" hidden="1">{"'Sheet1'!$L$16"}</definedName>
    <definedName name="jjjjjjj" localSheetId="6" hidden="1">{"'Sheet1'!$L$16"}</definedName>
    <definedName name="jjjjjjj" localSheetId="7" hidden="1">{"'Sheet1'!$L$16"}</definedName>
    <definedName name="jjjjjjj" localSheetId="8" hidden="1">{"'Sheet1'!$L$16"}</definedName>
    <definedName name="jjjjjjj" hidden="1">{"'Sheet1'!$L$16"}</definedName>
    <definedName name="jkhj" localSheetId="4" hidden="1">#REF!</definedName>
    <definedName name="jkhj" localSheetId="5" hidden="1">#REF!</definedName>
    <definedName name="jkhj" localSheetId="6" hidden="1">#REF!</definedName>
    <definedName name="jkhj" localSheetId="7" hidden="1">#REF!</definedName>
    <definedName name="jkhj" localSheetId="8" hidden="1">#REF!</definedName>
    <definedName name="jkhj" hidden="1">#REF!</definedName>
    <definedName name="jkjk" localSheetId="1" hidden="1">{"'Sheet1'!$L$16"}</definedName>
    <definedName name="jkjk" localSheetId="2" hidden="1">{"'Sheet1'!$L$16"}</definedName>
    <definedName name="jkjk" localSheetId="3" hidden="1">{"'Sheet1'!$L$16"}</definedName>
    <definedName name="jkjk" localSheetId="4" hidden="1">{"'Sheet1'!$L$16"}</definedName>
    <definedName name="jkjk" localSheetId="5" hidden="1">{"'Sheet1'!$L$16"}</definedName>
    <definedName name="jkjk" localSheetId="6" hidden="1">{"'Sheet1'!$L$16"}</definedName>
    <definedName name="jkjk" localSheetId="7" hidden="1">{"'Sheet1'!$L$16"}</definedName>
    <definedName name="jkjk" localSheetId="8" hidden="1">{"'Sheet1'!$L$16"}</definedName>
    <definedName name="jkjk" hidden="1">{"'Sheet1'!$L$16"}</definedName>
    <definedName name="JPYVND1" localSheetId="8">#REF!</definedName>
    <definedName name="JPYVND1">#REF!</definedName>
    <definedName name="JPYVND2">#REF!</definedName>
    <definedName name="js">#REF!</definedName>
    <definedName name="jsryj" localSheetId="1" hidden="1">{"'Sheet1'!$L$16"}</definedName>
    <definedName name="jsryj" localSheetId="2" hidden="1">{"'Sheet1'!$L$16"}</definedName>
    <definedName name="jsryj" localSheetId="4" hidden="1">{"'Sheet1'!$L$16"}</definedName>
    <definedName name="jsryj" localSheetId="5" hidden="1">{"'Sheet1'!$L$16"}</definedName>
    <definedName name="jsryj" localSheetId="6" hidden="1">{"'Sheet1'!$L$16"}</definedName>
    <definedName name="jsryj" localSheetId="7" hidden="1">{"'Sheet1'!$L$16"}</definedName>
    <definedName name="jsryj" localSheetId="8" hidden="1">{"'Sheet1'!$L$16"}</definedName>
    <definedName name="jsryj" hidden="1">{"'Sheet1'!$L$16"}</definedName>
    <definedName name="jt" localSheetId="1" hidden="1">{"'Sheet1'!$L$16"}</definedName>
    <definedName name="jt" localSheetId="2" hidden="1">{"'Sheet1'!$L$16"}</definedName>
    <definedName name="jt" localSheetId="4" hidden="1">{"'Sheet1'!$L$16"}</definedName>
    <definedName name="jt" localSheetId="5" hidden="1">{"'Sheet1'!$L$16"}</definedName>
    <definedName name="jt" localSheetId="6" hidden="1">{"'Sheet1'!$L$16"}</definedName>
    <definedName name="jt" localSheetId="7" hidden="1">{"'Sheet1'!$L$16"}</definedName>
    <definedName name="jt" localSheetId="8" hidden="1">{"'Sheet1'!$L$16"}</definedName>
    <definedName name="jt" hidden="1">{"'Sheet1'!$L$16"}</definedName>
    <definedName name="jtru" localSheetId="1" hidden="1">{"'Sheet1'!$L$16"}</definedName>
    <definedName name="jtru" localSheetId="2" hidden="1">{"'Sheet1'!$L$16"}</definedName>
    <definedName name="jtru" localSheetId="4" hidden="1">{"'Sheet1'!$L$16"}</definedName>
    <definedName name="jtru" localSheetId="5" hidden="1">{"'Sheet1'!$L$16"}</definedName>
    <definedName name="jtru" localSheetId="6" hidden="1">{"'Sheet1'!$L$16"}</definedName>
    <definedName name="jtru" localSheetId="7" hidden="1">{"'Sheet1'!$L$16"}</definedName>
    <definedName name="jtru" localSheetId="8" hidden="1">{"'Sheet1'!$L$16"}</definedName>
    <definedName name="jtru" hidden="1">{"'Sheet1'!$L$16"}</definedName>
    <definedName name="jtyk" localSheetId="1" hidden="1">{"'Sheet1'!$L$16"}</definedName>
    <definedName name="jtyk" localSheetId="2" hidden="1">{"'Sheet1'!$L$16"}</definedName>
    <definedName name="jtyk" localSheetId="4" hidden="1">{"'Sheet1'!$L$16"}</definedName>
    <definedName name="jtyk" localSheetId="5" hidden="1">{"'Sheet1'!$L$16"}</definedName>
    <definedName name="jtyk" localSheetId="6" hidden="1">{"'Sheet1'!$L$16"}</definedName>
    <definedName name="jtyk" localSheetId="7" hidden="1">{"'Sheet1'!$L$16"}</definedName>
    <definedName name="jtyk" localSheetId="8" hidden="1">{"'Sheet1'!$L$16"}</definedName>
    <definedName name="jtyk" hidden="1">{"'Sheet1'!$L$16"}</definedName>
    <definedName name="jyuk" localSheetId="1" hidden="1">{"'Sheet1'!$L$16"}</definedName>
    <definedName name="jyuk" localSheetId="2" hidden="1">{"'Sheet1'!$L$16"}</definedName>
    <definedName name="jyuk" localSheetId="4" hidden="1">{"'Sheet1'!$L$16"}</definedName>
    <definedName name="jyuk" localSheetId="5" hidden="1">{"'Sheet1'!$L$16"}</definedName>
    <definedName name="jyuk" localSheetId="6" hidden="1">{"'Sheet1'!$L$16"}</definedName>
    <definedName name="jyuk" localSheetId="7" hidden="1">{"'Sheet1'!$L$16"}</definedName>
    <definedName name="jyuk" localSheetId="8" hidden="1">{"'Sheet1'!$L$16"}</definedName>
    <definedName name="jyuk" hidden="1">{"'Sheet1'!$L$16"}</definedName>
    <definedName name="k" localSheetId="8">#REF!</definedName>
    <definedName name="k">#REF!</definedName>
    <definedName name="k_" localSheetId="8">#REF!</definedName>
    <definedName name="k_">#REF!</definedName>
    <definedName name="K_1" localSheetId="8">#REF!</definedName>
    <definedName name="K_1">#REF!</definedName>
    <definedName name="K_2" localSheetId="8">#REF!</definedName>
    <definedName name="K_2">#REF!</definedName>
    <definedName name="K_L" localSheetId="8">#REF!</definedName>
    <definedName name="K_L">#REF!</definedName>
    <definedName name="k_xoa" localSheetId="1" hidden="1">{"Offgrid",#N/A,FALSE,"OFFGRID";"Region",#N/A,FALSE,"REGION";"Offgrid -2",#N/A,FALSE,"OFFGRID";"WTP",#N/A,FALSE,"WTP";"WTP -2",#N/A,FALSE,"WTP";"Project",#N/A,FALSE,"PROJECT";"Summary -2",#N/A,FALSE,"SUMMARY"}</definedName>
    <definedName name="k_xoa" localSheetId="2" hidden="1">{"Offgrid",#N/A,FALSE,"OFFGRID";"Region",#N/A,FALSE,"REGION";"Offgrid -2",#N/A,FALSE,"OFFGRID";"WTP",#N/A,FALSE,"WTP";"WTP -2",#N/A,FALSE,"WTP";"Project",#N/A,FALSE,"PROJECT";"Summary -2",#N/A,FALSE,"SUMMARY"}</definedName>
    <definedName name="k_xoa" localSheetId="3" hidden="1">{"Offgrid",#N/A,FALSE,"OFFGRID";"Region",#N/A,FALSE,"REGION";"Offgrid -2",#N/A,FALSE,"OFFGRID";"WTP",#N/A,FALSE,"WTP";"WTP -2",#N/A,FALSE,"WTP";"Project",#N/A,FALSE,"PROJECT";"Summary -2",#N/A,FALSE,"SUMMARY"}</definedName>
    <definedName name="k_xoa" localSheetId="4" hidden="1">{"Offgrid",#N/A,FALSE,"OFFGRID";"Region",#N/A,FALSE,"REGION";"Offgrid -2",#N/A,FALSE,"OFFGRID";"WTP",#N/A,FALSE,"WTP";"WTP -2",#N/A,FALSE,"WTP";"Project",#N/A,FALSE,"PROJECT";"Summary -2",#N/A,FALSE,"SUMMARY"}</definedName>
    <definedName name="k_xoa" localSheetId="5" hidden="1">{"Offgrid",#N/A,FALSE,"OFFGRID";"Region",#N/A,FALSE,"REGION";"Offgrid -2",#N/A,FALSE,"OFFGRID";"WTP",#N/A,FALSE,"WTP";"WTP -2",#N/A,FALSE,"WTP";"Project",#N/A,FALSE,"PROJECT";"Summary -2",#N/A,FALSE,"SUMMARY"}</definedName>
    <definedName name="k_xoa" localSheetId="6" hidden="1">{"Offgrid",#N/A,FALSE,"OFFGRID";"Region",#N/A,FALSE,"REGION";"Offgrid -2",#N/A,FALSE,"OFFGRID";"WTP",#N/A,FALSE,"WTP";"WTP -2",#N/A,FALSE,"WTP";"Project",#N/A,FALSE,"PROJECT";"Summary -2",#N/A,FALSE,"SUMMARY"}</definedName>
    <definedName name="k_xoa" localSheetId="7" hidden="1">{"Offgrid",#N/A,FALSE,"OFFGRID";"Region",#N/A,FALSE,"REGION";"Offgrid -2",#N/A,FALSE,"OFFGRID";"WTP",#N/A,FALSE,"WTP";"WTP -2",#N/A,FALSE,"WTP";"Project",#N/A,FALSE,"PROJECT";"Summary -2",#N/A,FALSE,"SUMMARY"}</definedName>
    <definedName name="k_xoa" localSheetId="8" hidden="1">{"Offgrid",#N/A,FALSE,"OFFGRID";"Region",#N/A,FALSE,"REGION";"Offgrid -2",#N/A,FALSE,"OFFGRID";"WTP",#N/A,FALSE,"WTP";"WTP -2",#N/A,FALSE,"WTP";"Project",#N/A,FALSE,"PROJECT";"Summary -2",#N/A,FALSE,"SUMMARY"}</definedName>
    <definedName name="k_xoa" hidden="1">{"Offgrid",#N/A,FALSE,"OFFGRID";"Region",#N/A,FALSE,"REGION";"Offgrid -2",#N/A,FALSE,"OFFGRID";"WTP",#N/A,FALSE,"WTP";"WTP -2",#N/A,FALSE,"WTP";"Project",#N/A,FALSE,"PROJECT";"Summary -2",#N/A,FALSE,"SUMMARY"}</definedName>
    <definedName name="K0.001" localSheetId="8">#REF!</definedName>
    <definedName name="K0.001">#REF!</definedName>
    <definedName name="K0.011" localSheetId="8">#REF!</definedName>
    <definedName name="K0.011">#REF!</definedName>
    <definedName name="K0.101" localSheetId="8">#REF!</definedName>
    <definedName name="K0.101">#REF!</definedName>
    <definedName name="K0.111" localSheetId="8">#REF!</definedName>
    <definedName name="K0.111">#REF!</definedName>
    <definedName name="K0.201" localSheetId="8">#REF!</definedName>
    <definedName name="K0.201">#REF!</definedName>
    <definedName name="K0.211" localSheetId="8">#REF!</definedName>
    <definedName name="K0.211">#REF!</definedName>
    <definedName name="K0.301" localSheetId="8">#REF!</definedName>
    <definedName name="K0.301">#REF!</definedName>
    <definedName name="K0.311" localSheetId="8">#REF!</definedName>
    <definedName name="K0.311">#REF!</definedName>
    <definedName name="K0.400" localSheetId="8">#REF!</definedName>
    <definedName name="K0.400">#REF!</definedName>
    <definedName name="K0.410" localSheetId="8">#REF!</definedName>
    <definedName name="K0.410">#REF!</definedName>
    <definedName name="K0.501" localSheetId="8">#REF!</definedName>
    <definedName name="K0.501">#REF!</definedName>
    <definedName name="K0.511" localSheetId="8">#REF!</definedName>
    <definedName name="K0.511">#REF!</definedName>
    <definedName name="K0.61" localSheetId="8">#REF!</definedName>
    <definedName name="K0.61">#REF!</definedName>
    <definedName name="K0.71" localSheetId="8">#REF!</definedName>
    <definedName name="K0.71">#REF!</definedName>
    <definedName name="K1.001" localSheetId="8">#REF!</definedName>
    <definedName name="K1.001">#REF!</definedName>
    <definedName name="K1.021" localSheetId="8">#REF!</definedName>
    <definedName name="K1.021">#REF!</definedName>
    <definedName name="K1.041" localSheetId="8">#REF!</definedName>
    <definedName name="K1.041">#REF!</definedName>
    <definedName name="K1.121" localSheetId="8">#REF!</definedName>
    <definedName name="K1.121">#REF!</definedName>
    <definedName name="K1.201" localSheetId="8">#REF!</definedName>
    <definedName name="K1.201">#REF!</definedName>
    <definedName name="K1.211" localSheetId="8">#REF!</definedName>
    <definedName name="K1.211">#REF!</definedName>
    <definedName name="K1.221" localSheetId="8">#REF!</definedName>
    <definedName name="K1.221">#REF!</definedName>
    <definedName name="K1.301" localSheetId="8">#REF!</definedName>
    <definedName name="K1.301">#REF!</definedName>
    <definedName name="K1.321" localSheetId="8">#REF!</definedName>
    <definedName name="K1.321">#REF!</definedName>
    <definedName name="K1.331" localSheetId="8">#REF!</definedName>
    <definedName name="K1.331">#REF!</definedName>
    <definedName name="K1.341" localSheetId="8">#REF!</definedName>
    <definedName name="K1.341">#REF!</definedName>
    <definedName name="K1.401" localSheetId="8">#REF!</definedName>
    <definedName name="K1.401">#REF!</definedName>
    <definedName name="K1.411" localSheetId="8">#REF!</definedName>
    <definedName name="K1.411">#REF!</definedName>
    <definedName name="K1.421" localSheetId="8">#REF!</definedName>
    <definedName name="K1.421">#REF!</definedName>
    <definedName name="K1.431" localSheetId="8">#REF!</definedName>
    <definedName name="K1.431">#REF!</definedName>
    <definedName name="K1.441" localSheetId="8">#REF!</definedName>
    <definedName name="K1.441">#REF!</definedName>
    <definedName name="k14s" localSheetId="8">#REF!</definedName>
    <definedName name="k14s">#REF!</definedName>
    <definedName name="K2.001" localSheetId="8">#REF!</definedName>
    <definedName name="K2.001">#REF!</definedName>
    <definedName name="K2.011" localSheetId="8">#REF!</definedName>
    <definedName name="K2.011">#REF!</definedName>
    <definedName name="K2.021" localSheetId="8">#REF!</definedName>
    <definedName name="K2.021">#REF!</definedName>
    <definedName name="K2.031" localSheetId="8">#REF!</definedName>
    <definedName name="K2.031">#REF!</definedName>
    <definedName name="K2.041" localSheetId="8">#REF!</definedName>
    <definedName name="K2.041">#REF!</definedName>
    <definedName name="K2.101" localSheetId="8">#REF!</definedName>
    <definedName name="K2.101">#REF!</definedName>
    <definedName name="K2.111" localSheetId="8">#REF!</definedName>
    <definedName name="K2.111">#REF!</definedName>
    <definedName name="K2.121" localSheetId="8">#REF!</definedName>
    <definedName name="K2.121">#REF!</definedName>
    <definedName name="K2.131" localSheetId="8">#REF!</definedName>
    <definedName name="K2.131">#REF!</definedName>
    <definedName name="K2.141" localSheetId="8">#REF!</definedName>
    <definedName name="K2.141">#REF!</definedName>
    <definedName name="K2.201" localSheetId="8">#REF!</definedName>
    <definedName name="K2.201">#REF!</definedName>
    <definedName name="K2.211" localSheetId="8">#REF!</definedName>
    <definedName name="K2.211">#REF!</definedName>
    <definedName name="K2.221" localSheetId="8">#REF!</definedName>
    <definedName name="K2.221">#REF!</definedName>
    <definedName name="K2.231" localSheetId="8">#REF!</definedName>
    <definedName name="K2.231">#REF!</definedName>
    <definedName name="K2.241" localSheetId="8">#REF!</definedName>
    <definedName name="K2.241">#REF!</definedName>
    <definedName name="K2.301" localSheetId="8">#REF!</definedName>
    <definedName name="K2.301">#REF!</definedName>
    <definedName name="K2.321" localSheetId="8">#REF!</definedName>
    <definedName name="K2.321">#REF!</definedName>
    <definedName name="K2.341" localSheetId="8">#REF!</definedName>
    <definedName name="K2.341">#REF!</definedName>
    <definedName name="K2.400" localSheetId="8">#REF!</definedName>
    <definedName name="K2.400">#REF!</definedName>
    <definedName name="K2.420" localSheetId="8">#REF!</definedName>
    <definedName name="K2.420">#REF!</definedName>
    <definedName name="K2.440" localSheetId="8">#REF!</definedName>
    <definedName name="K2.440">#REF!</definedName>
    <definedName name="K2.500" localSheetId="8">#REF!</definedName>
    <definedName name="K2.500">#REF!</definedName>
    <definedName name="K2.520" localSheetId="8">#REF!</definedName>
    <definedName name="K2.520">#REF!</definedName>
    <definedName name="K2.540" localSheetId="8">#REF!</definedName>
    <definedName name="K2.540">#REF!</definedName>
    <definedName name="k2b" localSheetId="8">#REF!</definedName>
    <definedName name="k2b">#REF!</definedName>
    <definedName name="K3.210" localSheetId="8">#REF!</definedName>
    <definedName name="K3.210">#REF!</definedName>
    <definedName name="K3.220" localSheetId="8">#REF!</definedName>
    <definedName name="K3.220">#REF!</definedName>
    <definedName name="K3.230" localSheetId="8">#REF!</definedName>
    <definedName name="K3.230">#REF!</definedName>
    <definedName name="K3.310" localSheetId="8">#REF!</definedName>
    <definedName name="K3.310">#REF!</definedName>
    <definedName name="K3.320" localSheetId="8">#REF!</definedName>
    <definedName name="K3.320">#REF!</definedName>
    <definedName name="K3.330" localSheetId="8">#REF!</definedName>
    <definedName name="K3.330">#REF!</definedName>
    <definedName name="K3.410" localSheetId="8">#REF!</definedName>
    <definedName name="K3.410">#REF!</definedName>
    <definedName name="K3.430" localSheetId="8">#REF!</definedName>
    <definedName name="K3.430">#REF!</definedName>
    <definedName name="K3.450" localSheetId="8">#REF!</definedName>
    <definedName name="K3.450">#REF!</definedName>
    <definedName name="K4.010" localSheetId="8">#REF!</definedName>
    <definedName name="K4.010">#REF!</definedName>
    <definedName name="K4.020" localSheetId="8">#REF!</definedName>
    <definedName name="K4.020">#REF!</definedName>
    <definedName name="K4.110" localSheetId="8">#REF!</definedName>
    <definedName name="K4.110">#REF!</definedName>
    <definedName name="K4.120" localSheetId="8">#REF!</definedName>
    <definedName name="K4.120">#REF!</definedName>
    <definedName name="K4.210" localSheetId="8">#REF!</definedName>
    <definedName name="K4.210">#REF!</definedName>
    <definedName name="K4.220" localSheetId="8">#REF!</definedName>
    <definedName name="K4.220">#REF!</definedName>
    <definedName name="K4.230" localSheetId="8">#REF!</definedName>
    <definedName name="K4.230">#REF!</definedName>
    <definedName name="K4.240" localSheetId="8">#REF!</definedName>
    <definedName name="K4.240">#REF!</definedName>
    <definedName name="KA" localSheetId="8">#REF!</definedName>
    <definedName name="KA">#REF!</definedName>
    <definedName name="ka.">#REF!</definedName>
    <definedName name="KAE" localSheetId="8">#REF!</definedName>
    <definedName name="KAE">#REF!</definedName>
    <definedName name="KAS" localSheetId="8">#REF!</definedName>
    <definedName name="KAS">#REF!</definedName>
    <definedName name="Kc">#REF!</definedName>
    <definedName name="kcd">#REF!</definedName>
    <definedName name="kcong" localSheetId="8">#REF!</definedName>
    <definedName name="kcong">#REF!</definedName>
    <definedName name="kcqu">#REF!</definedName>
    <definedName name="Kd">#REF!</definedName>
    <definedName name="KDCNThonmoi20_00" localSheetId="1" hidden="1">{"'Sheet1'!$L$16"}</definedName>
    <definedName name="KDCNThonmoi20_00" localSheetId="2" hidden="1">{"'Sheet1'!$L$16"}</definedName>
    <definedName name="KDCNThonmoi20_00" localSheetId="4" hidden="1">{"'Sheet1'!$L$16"}</definedName>
    <definedName name="KDCNThonmoi20_00" localSheetId="5" hidden="1">{"'Sheet1'!$L$16"}</definedName>
    <definedName name="KDCNThonmoi20_00" localSheetId="6" hidden="1">{"'Sheet1'!$L$16"}</definedName>
    <definedName name="KDCNThonmoi20_00" localSheetId="7" hidden="1">{"'Sheet1'!$L$16"}</definedName>
    <definedName name="KDCNThonmoi20_00" localSheetId="8" hidden="1">{"'Sheet1'!$L$16"}</definedName>
    <definedName name="KDCNThonmoi20_00" hidden="1">{"'Sheet1'!$L$16"}</definedName>
    <definedName name="kdien" localSheetId="8">#REF!</definedName>
    <definedName name="kdien">#REF!</definedName>
    <definedName name="ke">#REF!</definedName>
    <definedName name="KeBve" localSheetId="8">#REF!</definedName>
    <definedName name="KeBve">#REF!</definedName>
    <definedName name="kecot" localSheetId="8">#REF!</definedName>
    <definedName name="kecot">#REF!</definedName>
    <definedName name="KenhPP">#REF!</definedName>
    <definedName name="ketcau" localSheetId="8">#REF!</definedName>
    <definedName name="ketcau">#REF!</definedName>
    <definedName name="Kf">#REF!</definedName>
    <definedName name="Kh" localSheetId="8">#REF!</definedName>
    <definedName name="Kh">#REF!</definedName>
    <definedName name="khac">2</definedName>
    <definedName name="Khâi" localSheetId="8">#REF!</definedName>
    <definedName name="Khâi">#REF!</definedName>
    <definedName name="khanang" localSheetId="8">#REF!</definedName>
    <definedName name="khanang">#REF!</definedName>
    <definedName name="KHldatcat" localSheetId="8">#REF!</definedName>
    <definedName name="KHldatcat">#REF!</definedName>
    <definedName name="khoan">#REF!</definedName>
    <definedName name="Khocau" localSheetId="8">#REF!</definedName>
    <definedName name="Khocau">#REF!</definedName>
    <definedName name="KHOILUONG" localSheetId="8">#REF!</definedName>
    <definedName name="KHOILUONG">#REF!</definedName>
    <definedName name="KHOILUONGTL">#REF!</definedName>
    <definedName name="khong" localSheetId="8">#REF!</definedName>
    <definedName name="khong">#REF!</definedName>
    <definedName name="khongtruotgia" localSheetId="1" hidden="1">{"'Sheet1'!$L$16"}</definedName>
    <definedName name="khongtruotgia" localSheetId="2" hidden="1">{"'Sheet1'!$L$16"}</definedName>
    <definedName name="khongtruotgia" localSheetId="3" hidden="1">{"'Sheet1'!$L$16"}</definedName>
    <definedName name="khongtruotgia" localSheetId="4" hidden="1">{"'Sheet1'!$L$16"}</definedName>
    <definedName name="khongtruotgia" localSheetId="5" hidden="1">{"'Sheet1'!$L$16"}</definedName>
    <definedName name="khongtruotgia" localSheetId="6" hidden="1">{"'Sheet1'!$L$16"}</definedName>
    <definedName name="khongtruotgia" localSheetId="7" hidden="1">{"'Sheet1'!$L$16"}</definedName>
    <definedName name="khongtruotgia" localSheetId="8" hidden="1">{"'Sheet1'!$L$16"}</definedName>
    <definedName name="khongtruotgia" hidden="1">{"'Sheet1'!$L$16"}</definedName>
    <definedName name="Kiem_tra_trung_ten" localSheetId="8">#REF!</definedName>
    <definedName name="Kiem_tra_trung_ten">#REF!</definedName>
    <definedName name="kj" localSheetId="8">#REF!</definedName>
    <definedName name="kj">#REF!</definedName>
    <definedName name="kk">#REF!</definedName>
    <definedName name="kkk" localSheetId="8">#REF!</definedName>
    <definedName name="kkk">#REF!</definedName>
    <definedName name="kkkk" localSheetId="1" hidden="1">{"'Sheet1'!$L$16"}</definedName>
    <definedName name="kkkk" localSheetId="2" hidden="1">{"'Sheet1'!$L$16"}</definedName>
    <definedName name="kkkk" localSheetId="4" hidden="1">{"'Sheet1'!$L$16"}</definedName>
    <definedName name="kkkk" localSheetId="5" hidden="1">{"'Sheet1'!$L$16"}</definedName>
    <definedName name="kkkk" localSheetId="6" hidden="1">{"'Sheet1'!$L$16"}</definedName>
    <definedName name="kkkk" localSheetId="7" hidden="1">{"'Sheet1'!$L$16"}</definedName>
    <definedName name="kkkk" localSheetId="8" hidden="1">{"'Sheet1'!$L$16"}</definedName>
    <definedName name="kkkk" hidden="1">{"'Sheet1'!$L$16"}</definedName>
    <definedName name="kl">#REF!</definedName>
    <definedName name="KL_1">#REF!</definedName>
    <definedName name="KL_2">#REF!</definedName>
    <definedName name="KL_C">#REF!</definedName>
    <definedName name="KL_cau">#REF!</definedName>
    <definedName name="kl_ME" localSheetId="8">#REF!</definedName>
    <definedName name="kl_ME">#REF!</definedName>
    <definedName name="KLC" localSheetId="8">#REF!</definedName>
    <definedName name="KLC">#REF!</definedName>
    <definedName name="klcau">#REF!</definedName>
    <definedName name="klctbb" localSheetId="8">#REF!</definedName>
    <definedName name="klctbb">#REF!</definedName>
    <definedName name="kld">#REF!</definedName>
    <definedName name="kldd1p" localSheetId="8">#REF!</definedName>
    <definedName name="kldd1p">#REF!</definedName>
    <definedName name="kldd3p" localSheetId="8">#REF!</definedName>
    <definedName name="kldd3p">#REF!</definedName>
    <definedName name="klg" localSheetId="8">#REF!</definedName>
    <definedName name="klg">#REF!</definedName>
    <definedName name="KLGT1" localSheetId="8">#REF!</definedName>
    <definedName name="KLGT1">#REF!</definedName>
    <definedName name="KLGT2" localSheetId="8">#REF!</definedName>
    <definedName name="KLGT2">#REF!</definedName>
    <definedName name="KLGT3" localSheetId="8">#REF!</definedName>
    <definedName name="KLGT3">#REF!</definedName>
    <definedName name="KLVANKHUON" localSheetId="8">#REF!</definedName>
    <definedName name="KLVANKHUON">#REF!</definedName>
    <definedName name="KLVLD">#REF!</definedName>
    <definedName name="KLVLD1">#REF!</definedName>
    <definedName name="Km">#REF!</definedName>
    <definedName name="kmong" localSheetId="8">#REF!</definedName>
    <definedName name="kmong">#REF!</definedName>
    <definedName name="Knc">#REF!</definedName>
    <definedName name="kno">#REF!</definedName>
    <definedName name="ko" localSheetId="8">#REF!</definedName>
    <definedName name="ko">#REF!</definedName>
    <definedName name="KP" localSheetId="8">#REF!</definedName>
    <definedName name="KP">#REF!</definedName>
    <definedName name="KP_DBGT_Dang" localSheetId="1" hidden="1">{"'Sheet1'!$L$16"}</definedName>
    <definedName name="KP_DBGT_Dang" localSheetId="2" hidden="1">{"'Sheet1'!$L$16"}</definedName>
    <definedName name="KP_DBGT_Dang" localSheetId="4" hidden="1">{"'Sheet1'!$L$16"}</definedName>
    <definedName name="KP_DBGT_Dang" localSheetId="5" hidden="1">{"'Sheet1'!$L$16"}</definedName>
    <definedName name="KP_DBGT_Dang" localSheetId="6" hidden="1">{"'Sheet1'!$L$16"}</definedName>
    <definedName name="KP_DBGT_Dang" localSheetId="7" hidden="1">{"'Sheet1'!$L$16"}</definedName>
    <definedName name="KP_DBGT_Dang" localSheetId="8" hidden="1">{"'Sheet1'!$L$16"}</definedName>
    <definedName name="KP_DBGT_Dang" hidden="1">{"'Sheet1'!$L$16"}</definedName>
    <definedName name="kp1ph" localSheetId="8">#REF!</definedName>
    <definedName name="kp1ph">#REF!</definedName>
    <definedName name="kq" localSheetId="8">#REF!</definedName>
    <definedName name="kq">#REF!</definedName>
    <definedName name="kqkdbq" localSheetId="1" hidden="1">{"'Sheet1'!$L$16"}</definedName>
    <definedName name="kqkdbq" localSheetId="2" hidden="1">{"'Sheet1'!$L$16"}</definedName>
    <definedName name="kqkdbq" localSheetId="4" hidden="1">{"'Sheet1'!$L$16"}</definedName>
    <definedName name="kqkdbq" localSheetId="5" hidden="1">{"'Sheet1'!$L$16"}</definedName>
    <definedName name="kqkdbq" localSheetId="6" hidden="1">{"'Sheet1'!$L$16"}</definedName>
    <definedName name="kqkdbq" localSheetId="7" hidden="1">{"'Sheet1'!$L$16"}</definedName>
    <definedName name="kqkdbq" localSheetId="8" hidden="1">{"'Sheet1'!$L$16"}</definedName>
    <definedName name="kqkdbq" hidden="1">{"'Sheet1'!$L$16"}</definedName>
    <definedName name="KS" localSheetId="8">#REF!</definedName>
    <definedName name="KS">#REF!</definedName>
    <definedName name="KS_1" localSheetId="8">#REF!</definedName>
    <definedName name="KS_1">#REF!</definedName>
    <definedName name="KS_2" localSheetId="8">#REF!</definedName>
    <definedName name="KS_2">#REF!</definedName>
    <definedName name="ksbn" localSheetId="1" hidden="1">{"'Sheet1'!$L$16"}</definedName>
    <definedName name="ksbn" localSheetId="2" hidden="1">{"'Sheet1'!$L$16"}</definedName>
    <definedName name="ksbn" localSheetId="3" hidden="1">{"'Sheet1'!$L$16"}</definedName>
    <definedName name="ksbn" localSheetId="4" hidden="1">{"'Sheet1'!$L$16"}</definedName>
    <definedName name="ksbn" localSheetId="5" hidden="1">{"'Sheet1'!$L$16"}</definedName>
    <definedName name="ksbn" localSheetId="6" hidden="1">{"'Sheet1'!$L$16"}</definedName>
    <definedName name="ksbn" localSheetId="7" hidden="1">{"'Sheet1'!$L$16"}</definedName>
    <definedName name="ksbn" localSheetId="8" hidden="1">{"'Sheet1'!$L$16"}</definedName>
    <definedName name="ksbn" hidden="1">{"'Sheet1'!$L$16"}</definedName>
    <definedName name="KSDA" localSheetId="1" hidden="1">{"'Sheet1'!$L$16"}</definedName>
    <definedName name="KSDA" localSheetId="2" hidden="1">{"'Sheet1'!$L$16"}</definedName>
    <definedName name="KSDA" localSheetId="4" hidden="1">{"'Sheet1'!$L$16"}</definedName>
    <definedName name="KSDA" localSheetId="5" hidden="1">{"'Sheet1'!$L$16"}</definedName>
    <definedName name="KSDA" localSheetId="6" hidden="1">{"'Sheet1'!$L$16"}</definedName>
    <definedName name="KSDA" localSheetId="7" hidden="1">{"'Sheet1'!$L$16"}</definedName>
    <definedName name="KSDA" localSheetId="8" hidden="1">{"'Sheet1'!$L$16"}</definedName>
    <definedName name="KSDA" hidden="1">{"'Sheet1'!$L$16"}</definedName>
    <definedName name="kshn" localSheetId="1" hidden="1">{"'Sheet1'!$L$16"}</definedName>
    <definedName name="kshn" localSheetId="2" hidden="1">{"'Sheet1'!$L$16"}</definedName>
    <definedName name="kshn" localSheetId="3" hidden="1">{"'Sheet1'!$L$16"}</definedName>
    <definedName name="kshn" localSheetId="4" hidden="1">{"'Sheet1'!$L$16"}</definedName>
    <definedName name="kshn" localSheetId="5" hidden="1">{"'Sheet1'!$L$16"}</definedName>
    <definedName name="kshn" localSheetId="6" hidden="1">{"'Sheet1'!$L$16"}</definedName>
    <definedName name="kshn" localSheetId="7" hidden="1">{"'Sheet1'!$L$16"}</definedName>
    <definedName name="kshn" localSheetId="8" hidden="1">{"'Sheet1'!$L$16"}</definedName>
    <definedName name="kshn" hidden="1">{"'Sheet1'!$L$16"}</definedName>
    <definedName name="ksls" localSheetId="1" hidden="1">{"'Sheet1'!$L$16"}</definedName>
    <definedName name="ksls" localSheetId="2" hidden="1">{"'Sheet1'!$L$16"}</definedName>
    <definedName name="ksls" localSheetId="3" hidden="1">{"'Sheet1'!$L$16"}</definedName>
    <definedName name="ksls" localSheetId="4" hidden="1">{"'Sheet1'!$L$16"}</definedName>
    <definedName name="ksls" localSheetId="5" hidden="1">{"'Sheet1'!$L$16"}</definedName>
    <definedName name="ksls" localSheetId="6" hidden="1">{"'Sheet1'!$L$16"}</definedName>
    <definedName name="ksls" localSheetId="7" hidden="1">{"'Sheet1'!$L$16"}</definedName>
    <definedName name="ksls" localSheetId="8" hidden="1">{"'Sheet1'!$L$16"}</definedName>
    <definedName name="ksls" hidden="1">{"'Sheet1'!$L$16"}</definedName>
    <definedName name="Ksp">#REF!</definedName>
    <definedName name="kstk2" localSheetId="1" hidden="1">{"'Sheet1'!$L$16"}</definedName>
    <definedName name="kstk2" localSheetId="2" hidden="1">{"'Sheet1'!$L$16"}</definedName>
    <definedName name="kstk2" localSheetId="4" hidden="1">{"'Sheet1'!$L$16"}</definedName>
    <definedName name="kstk2" localSheetId="5" hidden="1">{"'Sheet1'!$L$16"}</definedName>
    <definedName name="kstk2" localSheetId="6" hidden="1">{"'Sheet1'!$L$16"}</definedName>
    <definedName name="kstk2" localSheetId="7" hidden="1">{"'Sheet1'!$L$16"}</definedName>
    <definedName name="kstk2" localSheetId="8" hidden="1">{"'Sheet1'!$L$16"}</definedName>
    <definedName name="kstk2" hidden="1">{"'Sheet1'!$L$16"}</definedName>
    <definedName name="ktc" localSheetId="8">#REF!</definedName>
    <definedName name="ktc">#REF!</definedName>
    <definedName name="Kte" localSheetId="8">#REF!</definedName>
    <definedName name="Kte">#REF!</definedName>
    <definedName name="KtraXau">#REF!</definedName>
    <definedName name="kukek" localSheetId="1" hidden="1">{"'Sheet1'!$L$16"}</definedName>
    <definedName name="kukek" localSheetId="2" hidden="1">{"'Sheet1'!$L$16"}</definedName>
    <definedName name="kukek" localSheetId="4" hidden="1">{"'Sheet1'!$L$16"}</definedName>
    <definedName name="kukek" localSheetId="5" hidden="1">{"'Sheet1'!$L$16"}</definedName>
    <definedName name="kukek" localSheetId="6" hidden="1">{"'Sheet1'!$L$16"}</definedName>
    <definedName name="kukek" localSheetId="7" hidden="1">{"'Sheet1'!$L$16"}</definedName>
    <definedName name="kukek" localSheetId="8" hidden="1">{"'Sheet1'!$L$16"}</definedName>
    <definedName name="kukek" hidden="1">{"'Sheet1'!$L$16"}</definedName>
    <definedName name="kuklk" localSheetId="1" hidden="1">{"'Sheet1'!$L$16"}</definedName>
    <definedName name="kuklk" localSheetId="2" hidden="1">{"'Sheet1'!$L$16"}</definedName>
    <definedName name="kuklk" localSheetId="4" hidden="1">{"'Sheet1'!$L$16"}</definedName>
    <definedName name="kuklk" localSheetId="5" hidden="1">{"'Sheet1'!$L$16"}</definedName>
    <definedName name="kuklk" localSheetId="6" hidden="1">{"'Sheet1'!$L$16"}</definedName>
    <definedName name="kuklk" localSheetId="7" hidden="1">{"'Sheet1'!$L$16"}</definedName>
    <definedName name="kuklk" localSheetId="8" hidden="1">{"'Sheet1'!$L$16"}</definedName>
    <definedName name="kuklk" hidden="1">{"'Sheet1'!$L$16"}</definedName>
    <definedName name="kutkuk" localSheetId="1" hidden="1">{"'Sheet1'!$L$16"}</definedName>
    <definedName name="kutkuk" localSheetId="2" hidden="1">{"'Sheet1'!$L$16"}</definedName>
    <definedName name="kutkuk" localSheetId="4" hidden="1">{"'Sheet1'!$L$16"}</definedName>
    <definedName name="kutkuk" localSheetId="5" hidden="1">{"'Sheet1'!$L$16"}</definedName>
    <definedName name="kutkuk" localSheetId="6" hidden="1">{"'Sheet1'!$L$16"}</definedName>
    <definedName name="kutkuk" localSheetId="7" hidden="1">{"'Sheet1'!$L$16"}</definedName>
    <definedName name="kutkuk" localSheetId="8" hidden="1">{"'Sheet1'!$L$16"}</definedName>
    <definedName name="kutkuk" hidden="1">{"'Sheet1'!$L$16"}</definedName>
    <definedName name="KVC" localSheetId="8">#REF!</definedName>
    <definedName name="KVC">#REF!</definedName>
    <definedName name="Kvl">#REF!</definedName>
    <definedName name="Ký_nép" localSheetId="8">#REF!</definedName>
    <definedName name="Ký_nép">#REF!</definedName>
    <definedName name="L_1" localSheetId="8">#REF!</definedName>
    <definedName name="L_1">#REF!</definedName>
    <definedName name="L_2" localSheetId="8">#REF!</definedName>
    <definedName name="L_2">#REF!</definedName>
    <definedName name="l1d" localSheetId="8">#REF!</definedName>
    <definedName name="l1d">#REF!</definedName>
    <definedName name="la">#REF!</definedName>
    <definedName name="LABEL" localSheetId="8">#REF!</definedName>
    <definedName name="LABEL">#REF!</definedName>
    <definedName name="lam" localSheetId="1" hidden="1">{"'Sheet1'!$L$16"}</definedName>
    <definedName name="lam" localSheetId="2" hidden="1">{"'Sheet1'!$L$16"}</definedName>
    <definedName name="lam" localSheetId="3" hidden="1">{"'Sheet1'!$L$16"}</definedName>
    <definedName name="lam" localSheetId="4" hidden="1">{"'Sheet1'!$L$16"}</definedName>
    <definedName name="lam" localSheetId="5" hidden="1">{"'Sheet1'!$L$16"}</definedName>
    <definedName name="lam" localSheetId="6" hidden="1">{"'Sheet1'!$L$16"}</definedName>
    <definedName name="lam" localSheetId="7" hidden="1">{"'Sheet1'!$L$16"}</definedName>
    <definedName name="lam" localSheetId="8" hidden="1">{"'Sheet1'!$L$16"}</definedName>
    <definedName name="lam" hidden="1">{"'Sheet1'!$L$16"}</definedName>
    <definedName name="LAMTUBE" localSheetId="8">#REF!</definedName>
    <definedName name="LAMTUBE">#REF!</definedName>
    <definedName name="lan" localSheetId="8">#REF!</definedName>
    <definedName name="lan">#REF!</definedName>
    <definedName name="Land" localSheetId="8">#REF!</definedName>
    <definedName name="Land">#REF!</definedName>
    <definedName name="LANDIMP" localSheetId="8">#REF!</definedName>
    <definedName name="LANDIMP">#REF!</definedName>
    <definedName name="LANDREV" localSheetId="8">#REF!</definedName>
    <definedName name="LANDREV">#REF!</definedName>
    <definedName name="Lane">#REF!</definedName>
    <definedName name="langson" localSheetId="1" hidden="1">{"'Sheet1'!$L$16"}</definedName>
    <definedName name="langson" localSheetId="2" hidden="1">{"'Sheet1'!$L$16"}</definedName>
    <definedName name="langson" localSheetId="3" hidden="1">{"'Sheet1'!$L$16"}</definedName>
    <definedName name="langson" localSheetId="4" hidden="1">{"'Sheet1'!$L$16"}</definedName>
    <definedName name="langson" localSheetId="5" hidden="1">{"'Sheet1'!$L$16"}</definedName>
    <definedName name="langson" localSheetId="6" hidden="1">{"'Sheet1'!$L$16"}</definedName>
    <definedName name="langson" localSheetId="7" hidden="1">{"'Sheet1'!$L$16"}</definedName>
    <definedName name="langson" localSheetId="8" hidden="1">{"'Sheet1'!$L$16"}</definedName>
    <definedName name="langson" hidden="1">{"'Sheet1'!$L$16"}</definedName>
    <definedName name="lanh_bq" localSheetId="8">#REF!</definedName>
    <definedName name="lanh_bq">#REF!</definedName>
    <definedName name="lanh_bv" localSheetId="8">#REF!</definedName>
    <definedName name="lanh_bv">#REF!</definedName>
    <definedName name="lanh_ck" localSheetId="8">#REF!</definedName>
    <definedName name="lanh_ck">#REF!</definedName>
    <definedName name="lanh_d1" localSheetId="8">#REF!</definedName>
    <definedName name="lanh_d1">#REF!</definedName>
    <definedName name="lanh_d2" localSheetId="8">#REF!</definedName>
    <definedName name="lanh_d2">#REF!</definedName>
    <definedName name="lanh_d3" localSheetId="8">#REF!</definedName>
    <definedName name="lanh_d3">#REF!</definedName>
    <definedName name="lanh_dl" localSheetId="8">#REF!</definedName>
    <definedName name="lanh_dl">#REF!</definedName>
    <definedName name="lanh_kcs" localSheetId="8">#REF!</definedName>
    <definedName name="lanh_kcs">#REF!</definedName>
    <definedName name="lanh_nb" localSheetId="8">#REF!</definedName>
    <definedName name="lanh_nb">#REF!</definedName>
    <definedName name="lanh_ngio" localSheetId="8">#REF!</definedName>
    <definedName name="lanh_ngio">#REF!</definedName>
    <definedName name="lanh_nv" localSheetId="8">#REF!</definedName>
    <definedName name="lanh_nv">#REF!</definedName>
    <definedName name="lanh_t3" localSheetId="8">#REF!</definedName>
    <definedName name="lanh_t3">#REF!</definedName>
    <definedName name="lanh_t4" localSheetId="8">#REF!</definedName>
    <definedName name="lanh_t4">#REF!</definedName>
    <definedName name="lanh_t5" localSheetId="8">#REF!</definedName>
    <definedName name="lanh_t5">#REF!</definedName>
    <definedName name="lanh_t6" localSheetId="8">#REF!</definedName>
    <definedName name="lanh_t6">#REF!</definedName>
    <definedName name="lanh_tc" localSheetId="8">#REF!</definedName>
    <definedName name="lanh_tc">#REF!</definedName>
    <definedName name="lanh_tm" localSheetId="8">#REF!</definedName>
    <definedName name="lanh_tm">#REF!</definedName>
    <definedName name="lanh_vs" localSheetId="8">#REF!</definedName>
    <definedName name="lanh_vs">#REF!</definedName>
    <definedName name="lanh_xh" localSheetId="8">#REF!</definedName>
    <definedName name="lanh_xh">#REF!</definedName>
    <definedName name="lanhto" localSheetId="8">#REF!</definedName>
    <definedName name="lanhto">#REF!</definedName>
    <definedName name="lantrai" localSheetId="8">#REF!</definedName>
    <definedName name="lantrai">#REF!</definedName>
    <definedName name="lao_keo_dam_cau" localSheetId="8">#REF!</definedName>
    <definedName name="lao_keo_dam_cau">#REF!</definedName>
    <definedName name="lapa">#REF!</definedName>
    <definedName name="lapb">#REF!</definedName>
    <definedName name="lapc">#REF!</definedName>
    <definedName name="LapDungDam" localSheetId="8">#REF!</definedName>
    <definedName name="LapDungDam">#REF!</definedName>
    <definedName name="Lapmay" localSheetId="8">#REF!</definedName>
    <definedName name="Lapmay">#REF!</definedName>
    <definedName name="Layer_1" localSheetId="8">#REF!</definedName>
    <definedName name="Layer_1">#REF!</definedName>
    <definedName name="Layer_2" localSheetId="8">#REF!</definedName>
    <definedName name="Layer_2">#REF!</definedName>
    <definedName name="Layer_3" localSheetId="8">#REF!</definedName>
    <definedName name="Layer_3">#REF!</definedName>
    <definedName name="Layer_4" localSheetId="8">#REF!</definedName>
    <definedName name="Layer_4">#REF!</definedName>
    <definedName name="Layer_5" localSheetId="8">#REF!</definedName>
    <definedName name="Layer_5">#REF!</definedName>
    <definedName name="Layer_6" localSheetId="8">#REF!</definedName>
    <definedName name="Layer_6">#REF!</definedName>
    <definedName name="Layer_7" localSheetId="8">#REF!</definedName>
    <definedName name="Layer_7">#REF!</definedName>
    <definedName name="lb">#REF!</definedName>
    <definedName name="LBC_">#REF!</definedName>
    <definedName name="lc">#REF!</definedName>
    <definedName name="lcb_bq" localSheetId="8">#REF!</definedName>
    <definedName name="lcb_bq">#REF!</definedName>
    <definedName name="lcb_bv" localSheetId="8">#REF!</definedName>
    <definedName name="lcb_bv">#REF!</definedName>
    <definedName name="lcb_ck" localSheetId="8">#REF!</definedName>
    <definedName name="lcb_ck">#REF!</definedName>
    <definedName name="lcb_d1" localSheetId="8">#REF!</definedName>
    <definedName name="lcb_d1">#REF!</definedName>
    <definedName name="lcb_d2" localSheetId="8">#REF!</definedName>
    <definedName name="lcb_d2">#REF!</definedName>
    <definedName name="lcb_d3" localSheetId="8">#REF!</definedName>
    <definedName name="lcb_d3">#REF!</definedName>
    <definedName name="lcb_dl" localSheetId="8">#REF!</definedName>
    <definedName name="lcb_dl">#REF!</definedName>
    <definedName name="lcb_kcs" localSheetId="8">#REF!</definedName>
    <definedName name="lcb_kcs">#REF!</definedName>
    <definedName name="lcb_nb" localSheetId="8">#REF!</definedName>
    <definedName name="lcb_nb">#REF!</definedName>
    <definedName name="lcb_ngio" localSheetId="8">#REF!</definedName>
    <definedName name="lcb_ngio">#REF!</definedName>
    <definedName name="lcb_nv" localSheetId="8">#REF!</definedName>
    <definedName name="lcb_nv">#REF!</definedName>
    <definedName name="lcb_t3" localSheetId="8">#REF!</definedName>
    <definedName name="lcb_t3">#REF!</definedName>
    <definedName name="lcb_t4" localSheetId="8">#REF!</definedName>
    <definedName name="lcb_t4">#REF!</definedName>
    <definedName name="lcb_t5" localSheetId="8">#REF!</definedName>
    <definedName name="lcb_t5">#REF!</definedName>
    <definedName name="lcb_t6" localSheetId="8">#REF!</definedName>
    <definedName name="lcb_t6">#REF!</definedName>
    <definedName name="lcb_tc" localSheetId="8">#REF!</definedName>
    <definedName name="lcb_tc">#REF!</definedName>
    <definedName name="lcb_tm" localSheetId="8">#REF!</definedName>
    <definedName name="lcb_tm">#REF!</definedName>
    <definedName name="lcb_vs" localSheetId="8">#REF!</definedName>
    <definedName name="lcb_vs">#REF!</definedName>
    <definedName name="lcb_xh" localSheetId="8">#REF!</definedName>
    <definedName name="lcb_xh">#REF!</definedName>
    <definedName name="lcc" localSheetId="8">#REF!</definedName>
    <definedName name="lcc">#REF!</definedName>
    <definedName name="LCN">#REF!</definedName>
    <definedName name="lcoc" localSheetId="8">#REF!</definedName>
    <definedName name="lcoc">#REF!</definedName>
    <definedName name="LCT">#REF!</definedName>
    <definedName name="LCTT" localSheetId="1" hidden="1">{"'Sheet1'!$L$16"}</definedName>
    <definedName name="LCTT" localSheetId="2" hidden="1">{"'Sheet1'!$L$16"}</definedName>
    <definedName name="LCTT" localSheetId="4" hidden="1">{"'Sheet1'!$L$16"}</definedName>
    <definedName name="LCTT" localSheetId="5" hidden="1">{"'Sheet1'!$L$16"}</definedName>
    <definedName name="LCTT" localSheetId="6" hidden="1">{"'Sheet1'!$L$16"}</definedName>
    <definedName name="LCTT" localSheetId="7" hidden="1">{"'Sheet1'!$L$16"}</definedName>
    <definedName name="LCTT" localSheetId="8" hidden="1">{"'Sheet1'!$L$16"}</definedName>
    <definedName name="LCTT" hidden="1">{"'Sheet1'!$L$16"}</definedName>
    <definedName name="ld">#REF!</definedName>
    <definedName name="Ldatcat" localSheetId="8">#REF!</definedName>
    <definedName name="Ldatcat">#REF!</definedName>
    <definedName name="ldn" localSheetId="8">#REF!</definedName>
    <definedName name="ldn">#REF!</definedName>
    <definedName name="le_bq" localSheetId="8">#REF!</definedName>
    <definedName name="le_bq">#REF!</definedName>
    <definedName name="le_bv" localSheetId="8">#REF!</definedName>
    <definedName name="le_bv">#REF!</definedName>
    <definedName name="le_ck" localSheetId="8">#REF!</definedName>
    <definedName name="le_ck">#REF!</definedName>
    <definedName name="le_d1" localSheetId="8">#REF!</definedName>
    <definedName name="le_d1">#REF!</definedName>
    <definedName name="le_d2" localSheetId="8">#REF!</definedName>
    <definedName name="le_d2">#REF!</definedName>
    <definedName name="le_d3" localSheetId="8">#REF!</definedName>
    <definedName name="le_d3">#REF!</definedName>
    <definedName name="le_dl" localSheetId="8">#REF!</definedName>
    <definedName name="le_dl">#REF!</definedName>
    <definedName name="le_kcs" localSheetId="8">#REF!</definedName>
    <definedName name="le_kcs">#REF!</definedName>
    <definedName name="le_nb" localSheetId="8">#REF!</definedName>
    <definedName name="le_nb">#REF!</definedName>
    <definedName name="le_ngio" localSheetId="8">#REF!</definedName>
    <definedName name="le_ngio">#REF!</definedName>
    <definedName name="le_nv" localSheetId="8">#REF!</definedName>
    <definedName name="le_nv">#REF!</definedName>
    <definedName name="le_t3" localSheetId="8">#REF!</definedName>
    <definedName name="le_t3">#REF!</definedName>
    <definedName name="le_t4" localSheetId="8">#REF!</definedName>
    <definedName name="le_t4">#REF!</definedName>
    <definedName name="le_t5" localSheetId="8">#REF!</definedName>
    <definedName name="le_t5">#REF!</definedName>
    <definedName name="le_t6" localSheetId="8">#REF!</definedName>
    <definedName name="le_t6">#REF!</definedName>
    <definedName name="le_tc" localSheetId="8">#REF!</definedName>
    <definedName name="le_tc">#REF!</definedName>
    <definedName name="le_tm" localSheetId="8">#REF!</definedName>
    <definedName name="le_tm">#REF!</definedName>
    <definedName name="le_vs" localSheetId="8">#REF!</definedName>
    <definedName name="le_vs">#REF!</definedName>
    <definedName name="le_xh" localSheetId="8">#REF!</definedName>
    <definedName name="le_xh">#REF!</definedName>
    <definedName name="Lf" localSheetId="8">#REF!</definedName>
    <definedName name="Lf">#REF!</definedName>
    <definedName name="LFX" localSheetId="8">#REF!</definedName>
    <definedName name="LFX">#REF!</definedName>
    <definedName name="LFY" localSheetId="8">#REF!</definedName>
    <definedName name="LFY">#REF!</definedName>
    <definedName name="lg">#REF!</definedName>
    <definedName name="lh" localSheetId="8">#REF!</definedName>
    <definedName name="lh">#REF!</definedName>
    <definedName name="LI" localSheetId="8">#REF!</definedName>
    <definedName name="LI">#REF!</definedName>
    <definedName name="linh" localSheetId="1" hidden="1">{"'Sheet1'!$L$16"}</definedName>
    <definedName name="linh" localSheetId="2" hidden="1">{"'Sheet1'!$L$16"}</definedName>
    <definedName name="linh" localSheetId="4" hidden="1">{"'Sheet1'!$L$16"}</definedName>
    <definedName name="linh" localSheetId="5" hidden="1">{"'Sheet1'!$L$16"}</definedName>
    <definedName name="linh" localSheetId="6" hidden="1">{"'Sheet1'!$L$16"}</definedName>
    <definedName name="linh" localSheetId="7" hidden="1">{"'Sheet1'!$L$16"}</definedName>
    <definedName name="linh" localSheetId="8" hidden="1">{"'Sheet1'!$L$16"}</definedName>
    <definedName name="linh" hidden="1">{"'Sheet1'!$L$16"}</definedName>
    <definedName name="list" localSheetId="8">#REF!</definedName>
    <definedName name="list">#REF!</definedName>
    <definedName name="LiveLoad">#REF!</definedName>
    <definedName name="LL" localSheetId="8">#REF!</definedName>
    <definedName name="LL">#REF!</definedName>
    <definedName name="LLs">#REF!</definedName>
    <definedName name="LME">#REF!</definedName>
    <definedName name="Lmk" localSheetId="8">#REF!</definedName>
    <definedName name="Lmk">#REF!</definedName>
    <definedName name="LN" localSheetId="8">#REF!</definedName>
    <definedName name="LN">#REF!</definedName>
    <definedName name="lnhuan" localSheetId="8">#REF!</definedName>
    <definedName name="lnhuan">#REF!</definedName>
    <definedName name="Lnsc" localSheetId="8">#REF!</definedName>
    <definedName name="Lnsc">#REF!</definedName>
    <definedName name="lo" localSheetId="8">#REF!</definedName>
    <definedName name="lo">#REF!</definedName>
    <definedName name="Lô_Đất">#REF!</definedName>
    <definedName name="LOAD" localSheetId="8">#REF!</definedName>
    <definedName name="LOAD">#REF!</definedName>
    <definedName name="Loai" localSheetId="8">#REF!</definedName>
    <definedName name="Loai">#REF!</definedName>
    <definedName name="LOAI_DUONG" localSheetId="8">#REF!</definedName>
    <definedName name="LOAI_DUONG">#REF!</definedName>
    <definedName name="LoaixeH" localSheetId="8">#REF!</definedName>
    <definedName name="LoaixeH">#REF!</definedName>
    <definedName name="LoaixeXB" localSheetId="8">#REF!</definedName>
    <definedName name="LoaixeXB">#REF!</definedName>
    <definedName name="loinhuan" localSheetId="8">#REF!</definedName>
    <definedName name="loinhuan">#REF!</definedName>
    <definedName name="lomo" localSheetId="8">#REF!</definedName>
    <definedName name="lomo">#REF!</definedName>
    <definedName name="lón2">#REF!</definedName>
    <definedName name="lón3">#REF!</definedName>
    <definedName name="lón5">#REF!</definedName>
    <definedName name="Long" localSheetId="1" hidden="1">{"'Sheet1'!$L$16"}</definedName>
    <definedName name="Long" localSheetId="2" hidden="1">{"'Sheet1'!$L$16"}</definedName>
    <definedName name="Long" localSheetId="3" hidden="1">{"'Sheet1'!$L$16"}</definedName>
    <definedName name="Long" localSheetId="4" hidden="1">{"'Sheet1'!$L$16"}</definedName>
    <definedName name="Long" localSheetId="5" hidden="1">{"'Sheet1'!$L$16"}</definedName>
    <definedName name="Long" localSheetId="6" hidden="1">{"'Sheet1'!$L$16"}</definedName>
    <definedName name="Long" localSheetId="7" hidden="1">{"'Sheet1'!$L$16"}</definedName>
    <definedName name="Long" localSheetId="8" hidden="1">{"'Sheet1'!$L$16"}</definedName>
    <definedName name="Long" hidden="1">{"'Sheet1'!$L$16"}</definedName>
    <definedName name="LOOP" localSheetId="8">#REF!</definedName>
    <definedName name="LOOP">#REF!</definedName>
    <definedName name="loss">#REF!</definedName>
    <definedName name="Lp">#REF!</definedName>
    <definedName name="lq" localSheetId="8">IF(#REF!=0,VLOOKUP(#REF!,#REF!,9,FALSE),IF(N(ISERROR(VLOOKUP(#REF!,#REF!,8,FALSE)))&lt;&gt;1,VLOOKUP(#REF!,#REF!,8,FALSE),"-"))</definedName>
    <definedName name="lq">IF(#REF!=0,VLOOKUP(#REF!,#REF!,9,FALSE),IF(N(ISERROR(VLOOKUP(#REF!,#REF!,8,FALSE)))&lt;&gt;1,VLOOKUP(#REF!,#REF!,8,FALSE),"-"))</definedName>
    <definedName name="LRMC" localSheetId="8">#REF!</definedName>
    <definedName name="LRMC">#REF!</definedName>
    <definedName name="ls">#REF!</definedName>
    <definedName name="LS_HTLS">#REF!</definedName>
    <definedName name="lsb" localSheetId="8">#REF!</definedName>
    <definedName name="lsb">#REF!</definedName>
    <definedName name="lsbn" localSheetId="8">#REF!</definedName>
    <definedName name="lsbn">#REF!</definedName>
    <definedName name="lset" localSheetId="8">#REF!</definedName>
    <definedName name="lset">#REF!</definedName>
    <definedName name="LSHT_NH" localSheetId="5">#REF!</definedName>
    <definedName name="LSHT_NH" localSheetId="6">#REF!</definedName>
    <definedName name="LSHT_NH" localSheetId="7">#REF!</definedName>
    <definedName name="LSHT_NH" localSheetId="8">#REF!</definedName>
    <definedName name="LSHT_NH">#REF!</definedName>
    <definedName name="lsl" localSheetId="8">#REF!</definedName>
    <definedName name="lsl">#REF!</definedName>
    <definedName name="lsp" localSheetId="8">#REF!</definedName>
    <definedName name="lsp">#REF!</definedName>
    <definedName name="lsr" localSheetId="8">#REF!</definedName>
    <definedName name="lsr">#REF!</definedName>
    <definedName name="lss" localSheetId="8">#REF!</definedName>
    <definedName name="lss">#REF!</definedName>
    <definedName name="lt">#REF!</definedName>
    <definedName name="Ltc">#REF!</definedName>
    <definedName name="ltre" localSheetId="8">#REF!</definedName>
    <definedName name="ltre">#REF!</definedName>
    <definedName name="Ltt" localSheetId="8">#REF!</definedName>
    <definedName name="Ltt">#REF!</definedName>
    <definedName name="lu12.2" localSheetId="8">#REF!</definedName>
    <definedName name="lu12.2">#REF!</definedName>
    <definedName name="lu14.5" localSheetId="8">#REF!</definedName>
    <definedName name="lu14.5">#REF!</definedName>
    <definedName name="lu15.5" localSheetId="8">#REF!</definedName>
    <definedName name="lu15.5">#REF!</definedName>
    <definedName name="luoithep">#REF!</definedName>
    <definedName name="Luong_Vang" localSheetId="5">#REF!</definedName>
    <definedName name="Luong_Vang" localSheetId="6">#REF!</definedName>
    <definedName name="Luong_Vang" localSheetId="7">#REF!</definedName>
    <definedName name="Luong_Vang" localSheetId="8">#REF!</definedName>
    <definedName name="Luong_Vang">#REF!</definedName>
    <definedName name="Luyen">#REF!</definedName>
    <definedName name="lv">#REF!</definedName>
    <definedName name="lv.">#REF!</definedName>
    <definedName name="lv.." localSheetId="8">#REF!</definedName>
    <definedName name="lv..">#REF!</definedName>
    <definedName name="lVC" localSheetId="8">#REF!</definedName>
    <definedName name="lVC">#REF!</definedName>
    <definedName name="lvr">#REF!</definedName>
    <definedName name="lvr.">#REF!</definedName>
    <definedName name="lvr.." localSheetId="8">#REF!</definedName>
    <definedName name="lvr..">#REF!</definedName>
    <definedName name="LX100N" localSheetId="8">#REF!</definedName>
    <definedName name="LX100N">#REF!</definedName>
    <definedName name="Ly" localSheetId="8">#REF!</definedName>
    <definedName name="Ly">#REF!</definedName>
    <definedName name="m" localSheetId="8">#REF!</definedName>
    <definedName name="m">#REF!</definedName>
    <definedName name="M_1" localSheetId="8">#REF!</definedName>
    <definedName name="M_1">#REF!</definedName>
    <definedName name="M_2" localSheetId="8">#REF!</definedName>
    <definedName name="M_2">#REF!</definedName>
    <definedName name="m_3" localSheetId="8">#REF!</definedName>
    <definedName name="m_3">#REF!</definedName>
    <definedName name="m_4" localSheetId="8">#REF!</definedName>
    <definedName name="m_4">#REF!</definedName>
    <definedName name="M0.4" localSheetId="8">#REF!</definedName>
    <definedName name="M0.4">#REF!</definedName>
    <definedName name="m1_" localSheetId="8">#REF!</definedName>
    <definedName name="m1_">#REF!</definedName>
    <definedName name="m102bnnc" localSheetId="8">#REF!</definedName>
    <definedName name="m102bnnc">#REF!</definedName>
    <definedName name="m102bnvl" localSheetId="8">#REF!</definedName>
    <definedName name="m102bnvl">#REF!</definedName>
    <definedName name="m10aamtc" localSheetId="8">#REF!</definedName>
    <definedName name="m10aamtc">#REF!</definedName>
    <definedName name="m10aanc" localSheetId="8">#REF!</definedName>
    <definedName name="m10aanc">#REF!</definedName>
    <definedName name="M10aavc" localSheetId="8">#REF!</definedName>
    <definedName name="M10aavc">#REF!</definedName>
    <definedName name="m10aavl" localSheetId="8">#REF!</definedName>
    <definedName name="m10aavl">#REF!</definedName>
    <definedName name="m10anc" localSheetId="8">#REF!</definedName>
    <definedName name="m10anc">#REF!</definedName>
    <definedName name="m10avl" localSheetId="8">#REF!</definedName>
    <definedName name="m10avl">#REF!</definedName>
    <definedName name="m10banc" localSheetId="8">#REF!</definedName>
    <definedName name="m10banc">#REF!</definedName>
    <definedName name="m10bavl" localSheetId="8">#REF!</definedName>
    <definedName name="m10bavl">#REF!</definedName>
    <definedName name="m122bnnc" localSheetId="8">#REF!</definedName>
    <definedName name="m122bnnc">#REF!</definedName>
    <definedName name="m122bnvl" localSheetId="8">#REF!</definedName>
    <definedName name="m122bnvl">#REF!</definedName>
    <definedName name="m12aanc" localSheetId="8">#REF!</definedName>
    <definedName name="m12aanc">#REF!</definedName>
    <definedName name="m12aavl" localSheetId="8">#REF!</definedName>
    <definedName name="m12aavl">#REF!</definedName>
    <definedName name="m12anc" localSheetId="8">#REF!</definedName>
    <definedName name="m12anc">#REF!</definedName>
    <definedName name="m12avl" localSheetId="8">#REF!</definedName>
    <definedName name="m12avl">#REF!</definedName>
    <definedName name="M12ba3p" localSheetId="8">#REF!</definedName>
    <definedName name="M12ba3p">#REF!</definedName>
    <definedName name="m12banc" localSheetId="8">#REF!</definedName>
    <definedName name="m12banc">#REF!</definedName>
    <definedName name="m12bavl" localSheetId="8">#REF!</definedName>
    <definedName name="m12bavl">#REF!</definedName>
    <definedName name="M12bb1p" localSheetId="8">#REF!</definedName>
    <definedName name="M12bb1p">#REF!</definedName>
    <definedName name="m12bbnc" localSheetId="8">#REF!</definedName>
    <definedName name="m12bbnc">#REF!</definedName>
    <definedName name="m12bbvl" localSheetId="8">#REF!</definedName>
    <definedName name="m12bbvl">#REF!</definedName>
    <definedName name="M12bnnc" localSheetId="8">#REF!</definedName>
    <definedName name="M12bnnc">#REF!</definedName>
    <definedName name="M12bnvl" localSheetId="8">#REF!</definedName>
    <definedName name="M12bnvl">#REF!</definedName>
    <definedName name="M12cbnc" localSheetId="8">#REF!</definedName>
    <definedName name="M12cbnc">#REF!</definedName>
    <definedName name="M12cbvl" localSheetId="8">#REF!</definedName>
    <definedName name="M12cbvl">#REF!</definedName>
    <definedName name="M14.1" localSheetId="8">#REF!</definedName>
    <definedName name="M14.1">#REF!</definedName>
    <definedName name="M14.1a" localSheetId="8">#REF!</definedName>
    <definedName name="M14.1a">#REF!</definedName>
    <definedName name="M14.2" localSheetId="8">#REF!</definedName>
    <definedName name="M14.2">#REF!</definedName>
    <definedName name="M14.2a" localSheetId="8">#REF!</definedName>
    <definedName name="M14.2a">#REF!</definedName>
    <definedName name="m142bnnc" localSheetId="8">#REF!</definedName>
    <definedName name="m142bnnc">#REF!</definedName>
    <definedName name="m142bnvl" localSheetId="8">#REF!</definedName>
    <definedName name="m142bnvl">#REF!</definedName>
    <definedName name="M14bb1p" localSheetId="8">#REF!</definedName>
    <definedName name="M14bb1p">#REF!</definedName>
    <definedName name="m14bbnc" localSheetId="8">#REF!</definedName>
    <definedName name="m14bbnc">#REF!</definedName>
    <definedName name="M14bbvc" localSheetId="8">#REF!</definedName>
    <definedName name="M14bbvc">#REF!</definedName>
    <definedName name="m14bbvl" localSheetId="8">#REF!</definedName>
    <definedName name="m14bbvl">#REF!</definedName>
    <definedName name="M2H" localSheetId="8">#REF!</definedName>
    <definedName name="M2H">#REF!</definedName>
    <definedName name="M8a" localSheetId="8">#REF!</definedName>
    <definedName name="M8a">#REF!</definedName>
    <definedName name="M8aa" localSheetId="8">#REF!</definedName>
    <definedName name="M8aa">#REF!</definedName>
    <definedName name="m8aanc" localSheetId="8">#REF!</definedName>
    <definedName name="m8aanc">#REF!</definedName>
    <definedName name="m8aavl" localSheetId="8">#REF!</definedName>
    <definedName name="m8aavl">#REF!</definedName>
    <definedName name="m8amtc" localSheetId="8">#REF!</definedName>
    <definedName name="m8amtc">#REF!</definedName>
    <definedName name="m8anc" localSheetId="8">#REF!</definedName>
    <definedName name="m8anc">#REF!</definedName>
    <definedName name="m8avl" localSheetId="8">#REF!</definedName>
    <definedName name="m8avl">#REF!</definedName>
    <definedName name="Ma3pnc" localSheetId="8">#REF!</definedName>
    <definedName name="Ma3pnc">#REF!</definedName>
    <definedName name="Ma3pvl" localSheetId="8">#REF!</definedName>
    <definedName name="Ma3pvl">#REF!</definedName>
    <definedName name="Maa3pnc" localSheetId="8">#REF!</definedName>
    <definedName name="Maa3pnc">#REF!</definedName>
    <definedName name="Maa3pvl" localSheetId="8">#REF!</definedName>
    <definedName name="Maa3pvl">#REF!</definedName>
    <definedName name="macongtrinh">#REF!</definedName>
    <definedName name="macongtrinhlaivay">#REF!</definedName>
    <definedName name="MACRO" localSheetId="8">#REF!</definedName>
    <definedName name="MACRO">#REF!</definedName>
    <definedName name="MacVua" localSheetId="8">#REF!</definedName>
    <definedName name="MacVua">#REF!</definedName>
    <definedName name="madoanhthu">#REF!</definedName>
    <definedName name="MADONGIA">#REF!</definedName>
    <definedName name="MADONVI" localSheetId="8">OFFSET(#REF!,COUNTA(#REF!)-1,0,1)</definedName>
    <definedName name="MADONVI">OFFSET(#REF!,COUNTA(#REF!)-1,0,1)</definedName>
    <definedName name="MaDT" localSheetId="8">IF(#REF!=0,VLOOKUP(#REF!,#REF!,6,FALSE),IF(N(ISERROR(VLOOKUP(#REF!,#REF!,5,FALSE)))&lt;&gt;1,VLOOKUP(#REF!,#REF!,5,FALSE),"-"))</definedName>
    <definedName name="MaDT">IF(#REF!=0,VLOOKUP(#REF!,#REF!,6,FALSE),IF(N(ISERROR(VLOOKUP(#REF!,#REF!,5,FALSE)))&lt;&gt;1,VLOOKUP(#REF!,#REF!,5,FALSE),"-"))</definedName>
    <definedName name="mahopdong" localSheetId="8">#REF!</definedName>
    <definedName name="mahopdong">#REF!</definedName>
    <definedName name="MAJ_CON_EQP" localSheetId="8">#REF!</definedName>
    <definedName name="MAJ_CON_EQP">#REF!</definedName>
    <definedName name="MaMay_Q" localSheetId="8">#REF!</definedName>
    <definedName name="MaMay_Q">#REF!</definedName>
    <definedName name="Masonry" localSheetId="8">#REF!</definedName>
    <definedName name="Masonry">#REF!</definedName>
    <definedName name="MAT" localSheetId="8">#REF!</definedName>
    <definedName name="MAT">#REF!</definedName>
    <definedName name="Mat_cau" localSheetId="8">#REF!</definedName>
    <definedName name="Mat_cau">#REF!</definedName>
    <definedName name="matbang" localSheetId="1" hidden="1">{"'Sheet1'!$L$16"}</definedName>
    <definedName name="matbang" localSheetId="2" hidden="1">{"'Sheet1'!$L$16"}</definedName>
    <definedName name="matbang" localSheetId="4" hidden="1">{"'Sheet1'!$L$16"}</definedName>
    <definedName name="matbang" localSheetId="5" hidden="1">{"'Sheet1'!$L$16"}</definedName>
    <definedName name="matbang" localSheetId="6" hidden="1">{"'Sheet1'!$L$16"}</definedName>
    <definedName name="matbang" localSheetId="7" hidden="1">{"'Sheet1'!$L$16"}</definedName>
    <definedName name="matbang" localSheetId="8" hidden="1">{"'Sheet1'!$L$16"}</definedName>
    <definedName name="matbang" hidden="1">{"'Sheet1'!$L$16"}</definedName>
    <definedName name="matit">#REF!</definedName>
    <definedName name="MAVANKHUON" localSheetId="8">#REF!</definedName>
    <definedName name="MAVANKHUON">#REF!</definedName>
    <definedName name="MAVL">#REF!</definedName>
    <definedName name="MAVLD">#REF!</definedName>
    <definedName name="MAVLD1">#REF!</definedName>
    <definedName name="MaVua" localSheetId="8">#REF!</definedName>
    <definedName name="MaVua">#REF!</definedName>
    <definedName name="MAY" localSheetId="8">#REF!</definedName>
    <definedName name="MAY">#REF!</definedName>
    <definedName name="mayrhhbtn100" localSheetId="8">#REF!</definedName>
    <definedName name="mayrhhbtn100">#REF!</definedName>
    <definedName name="mayrhhbtn65" localSheetId="8">#REF!</definedName>
    <definedName name="mayrhhbtn65">#REF!</definedName>
    <definedName name="mazut">#REF!</definedName>
    <definedName name="Mba1p" localSheetId="8">#REF!</definedName>
    <definedName name="Mba1p">#REF!</definedName>
    <definedName name="Mba3p" localSheetId="8">#REF!</definedName>
    <definedName name="Mba3p">#REF!</definedName>
    <definedName name="Mbb3p" localSheetId="8">#REF!</definedName>
    <definedName name="Mbb3p">#REF!</definedName>
    <definedName name="Mbn1p" localSheetId="8">#REF!</definedName>
    <definedName name="Mbn1p">#REF!</definedName>
    <definedName name="mbnc" localSheetId="8">#REF!</definedName>
    <definedName name="mbnc">#REF!</definedName>
    <definedName name="mbt">#REF!</definedName>
    <definedName name="mbvl" localSheetId="8">#REF!</definedName>
    <definedName name="mbvl">#REF!</definedName>
    <definedName name="mc" localSheetId="8">#REF!</definedName>
    <definedName name="mc">#REF!</definedName>
    <definedName name="Mcasea" localSheetId="8">#REF!</definedName>
    <definedName name="Mcasea">#REF!</definedName>
    <definedName name="MCCO" localSheetId="1" hidden="1">{#N/A,#N/A,FALSE,"CCTV"}</definedName>
    <definedName name="MCCO" localSheetId="2" hidden="1">{#N/A,#N/A,FALSE,"CCTV"}</definedName>
    <definedName name="MCCO" localSheetId="4" hidden="1">{#N/A,#N/A,FALSE,"CCTV"}</definedName>
    <definedName name="MCCO" localSheetId="5" hidden="1">{#N/A,#N/A,FALSE,"CCTV"}</definedName>
    <definedName name="MCCO" localSheetId="6" hidden="1">{#N/A,#N/A,FALSE,"CCTV"}</definedName>
    <definedName name="MCCO" localSheetId="7" hidden="1">{#N/A,#N/A,FALSE,"CCTV"}</definedName>
    <definedName name="MCCO" localSheetId="8" hidden="1">{#N/A,#N/A,FALSE,"CCTV"}</definedName>
    <definedName name="MCCO" hidden="1">{#N/A,#N/A,FALSE,"CCTV"}</definedName>
    <definedName name="MCCO10" localSheetId="1" hidden="1">{#N/A,#N/A,FALSE,"CCTV"}</definedName>
    <definedName name="MCCO10" localSheetId="2" hidden="1">{#N/A,#N/A,FALSE,"CCTV"}</definedName>
    <definedName name="MCCO10" localSheetId="4" hidden="1">{#N/A,#N/A,FALSE,"CCTV"}</definedName>
    <definedName name="MCCO10" localSheetId="5" hidden="1">{#N/A,#N/A,FALSE,"CCTV"}</definedName>
    <definedName name="MCCO10" localSheetId="6" hidden="1">{#N/A,#N/A,FALSE,"CCTV"}</definedName>
    <definedName name="MCCO10" localSheetId="7" hidden="1">{#N/A,#N/A,FALSE,"CCTV"}</definedName>
    <definedName name="MCCO10" localSheetId="8" hidden="1">{#N/A,#N/A,FALSE,"CCTV"}</definedName>
    <definedName name="MCCO10" hidden="1">{#N/A,#N/A,FALSE,"CCTV"}</definedName>
    <definedName name="MCCO11" localSheetId="1" hidden="1">{#N/A,#N/A,FALSE,"CCTV"}</definedName>
    <definedName name="MCCO11" localSheetId="2" hidden="1">{#N/A,#N/A,FALSE,"CCTV"}</definedName>
    <definedName name="MCCO11" localSheetId="4" hidden="1">{#N/A,#N/A,FALSE,"CCTV"}</definedName>
    <definedName name="MCCO11" localSheetId="5" hidden="1">{#N/A,#N/A,FALSE,"CCTV"}</definedName>
    <definedName name="MCCO11" localSheetId="6" hidden="1">{#N/A,#N/A,FALSE,"CCTV"}</definedName>
    <definedName name="MCCO11" localSheetId="7" hidden="1">{#N/A,#N/A,FALSE,"CCTV"}</definedName>
    <definedName name="MCCO11" localSheetId="8" hidden="1">{#N/A,#N/A,FALSE,"CCTV"}</definedName>
    <definedName name="MCCO11" hidden="1">{#N/A,#N/A,FALSE,"CCTV"}</definedName>
    <definedName name="MCCO12" localSheetId="1" hidden="1">{#N/A,#N/A,FALSE,"CCTV"}</definedName>
    <definedName name="MCCO12" localSheetId="2" hidden="1">{#N/A,#N/A,FALSE,"CCTV"}</definedName>
    <definedName name="MCCO12" localSheetId="4" hidden="1">{#N/A,#N/A,FALSE,"CCTV"}</definedName>
    <definedName name="MCCO12" localSheetId="5" hidden="1">{#N/A,#N/A,FALSE,"CCTV"}</definedName>
    <definedName name="MCCO12" localSheetId="6" hidden="1">{#N/A,#N/A,FALSE,"CCTV"}</definedName>
    <definedName name="MCCO12" localSheetId="7" hidden="1">{#N/A,#N/A,FALSE,"CCTV"}</definedName>
    <definedName name="MCCO12" localSheetId="8" hidden="1">{#N/A,#N/A,FALSE,"CCTV"}</definedName>
    <definedName name="MCCO12" hidden="1">{#N/A,#N/A,FALSE,"CCTV"}</definedName>
    <definedName name="MCCO13" localSheetId="1" hidden="1">{#N/A,#N/A,FALSE,"CCTV"}</definedName>
    <definedName name="MCCO13" localSheetId="2" hidden="1">{#N/A,#N/A,FALSE,"CCTV"}</definedName>
    <definedName name="MCCO13" localSheetId="4" hidden="1">{#N/A,#N/A,FALSE,"CCTV"}</definedName>
    <definedName name="MCCO13" localSheetId="5" hidden="1">{#N/A,#N/A,FALSE,"CCTV"}</definedName>
    <definedName name="MCCO13" localSheetId="6" hidden="1">{#N/A,#N/A,FALSE,"CCTV"}</definedName>
    <definedName name="MCCO13" localSheetId="7" hidden="1">{#N/A,#N/A,FALSE,"CCTV"}</definedName>
    <definedName name="MCCO13" localSheetId="8" hidden="1">{#N/A,#N/A,FALSE,"CCTV"}</definedName>
    <definedName name="MCCO13" hidden="1">{#N/A,#N/A,FALSE,"CCTV"}</definedName>
    <definedName name="MCCO3" localSheetId="1" hidden="1">{#N/A,#N/A,FALSE,"CCTV"}</definedName>
    <definedName name="MCCO3" localSheetId="2" hidden="1">{#N/A,#N/A,FALSE,"CCTV"}</definedName>
    <definedName name="MCCO3" localSheetId="4" hidden="1">{#N/A,#N/A,FALSE,"CCTV"}</definedName>
    <definedName name="MCCO3" localSheetId="5" hidden="1">{#N/A,#N/A,FALSE,"CCTV"}</definedName>
    <definedName name="MCCO3" localSheetId="6" hidden="1">{#N/A,#N/A,FALSE,"CCTV"}</definedName>
    <definedName name="MCCO3" localSheetId="7" hidden="1">{#N/A,#N/A,FALSE,"CCTV"}</definedName>
    <definedName name="MCCO3" localSheetId="8" hidden="1">{#N/A,#N/A,FALSE,"CCTV"}</definedName>
    <definedName name="MCCO3" hidden="1">{#N/A,#N/A,FALSE,"CCTV"}</definedName>
    <definedName name="MCCO4" localSheetId="1" hidden="1">{#N/A,#N/A,FALSE,"CCTV"}</definedName>
    <definedName name="MCCO4" localSheetId="2" hidden="1">{#N/A,#N/A,FALSE,"CCTV"}</definedName>
    <definedName name="MCCO4" localSheetId="4" hidden="1">{#N/A,#N/A,FALSE,"CCTV"}</definedName>
    <definedName name="MCCO4" localSheetId="5" hidden="1">{#N/A,#N/A,FALSE,"CCTV"}</definedName>
    <definedName name="MCCO4" localSheetId="6" hidden="1">{#N/A,#N/A,FALSE,"CCTV"}</definedName>
    <definedName name="MCCO4" localSheetId="7" hidden="1">{#N/A,#N/A,FALSE,"CCTV"}</definedName>
    <definedName name="MCCO4" localSheetId="8" hidden="1">{#N/A,#N/A,FALSE,"CCTV"}</definedName>
    <definedName name="MCCO4" hidden="1">{#N/A,#N/A,FALSE,"CCTV"}</definedName>
    <definedName name="MCCO5" localSheetId="1" hidden="1">{#N/A,#N/A,FALSE,"CCTV"}</definedName>
    <definedName name="MCCO5" localSheetId="2" hidden="1">{#N/A,#N/A,FALSE,"CCTV"}</definedName>
    <definedName name="MCCO5" localSheetId="4" hidden="1">{#N/A,#N/A,FALSE,"CCTV"}</definedName>
    <definedName name="MCCO5" localSheetId="5" hidden="1">{#N/A,#N/A,FALSE,"CCTV"}</definedName>
    <definedName name="MCCO5" localSheetId="6" hidden="1">{#N/A,#N/A,FALSE,"CCTV"}</definedName>
    <definedName name="MCCO5" localSheetId="7" hidden="1">{#N/A,#N/A,FALSE,"CCTV"}</definedName>
    <definedName name="MCCO5" localSheetId="8" hidden="1">{#N/A,#N/A,FALSE,"CCTV"}</definedName>
    <definedName name="MCCO5" hidden="1">{#N/A,#N/A,FALSE,"CCTV"}</definedName>
    <definedName name="MCCO6" localSheetId="1" hidden="1">{#N/A,#N/A,FALSE,"CCTV"}</definedName>
    <definedName name="MCCO6" localSheetId="2" hidden="1">{#N/A,#N/A,FALSE,"CCTV"}</definedName>
    <definedName name="MCCO6" localSheetId="4" hidden="1">{#N/A,#N/A,FALSE,"CCTV"}</definedName>
    <definedName name="MCCO6" localSheetId="5" hidden="1">{#N/A,#N/A,FALSE,"CCTV"}</definedName>
    <definedName name="MCCO6" localSheetId="6" hidden="1">{#N/A,#N/A,FALSE,"CCTV"}</definedName>
    <definedName name="MCCO6" localSheetId="7" hidden="1">{#N/A,#N/A,FALSE,"CCTV"}</definedName>
    <definedName name="MCCO6" localSheetId="8" hidden="1">{#N/A,#N/A,FALSE,"CCTV"}</definedName>
    <definedName name="MCCO6" hidden="1">{#N/A,#N/A,FALSE,"CCTV"}</definedName>
    <definedName name="MCCO7" localSheetId="1" hidden="1">{#N/A,#N/A,FALSE,"CCTV"}</definedName>
    <definedName name="MCCO7" localSheetId="2" hidden="1">{#N/A,#N/A,FALSE,"CCTV"}</definedName>
    <definedName name="MCCO7" localSheetId="4" hidden="1">{#N/A,#N/A,FALSE,"CCTV"}</definedName>
    <definedName name="MCCO7" localSheetId="5" hidden="1">{#N/A,#N/A,FALSE,"CCTV"}</definedName>
    <definedName name="MCCO7" localSheetId="6" hidden="1">{#N/A,#N/A,FALSE,"CCTV"}</definedName>
    <definedName name="MCCO7" localSheetId="7" hidden="1">{#N/A,#N/A,FALSE,"CCTV"}</definedName>
    <definedName name="MCCO7" localSheetId="8" hidden="1">{#N/A,#N/A,FALSE,"CCTV"}</definedName>
    <definedName name="MCCO7" hidden="1">{#N/A,#N/A,FALSE,"CCTV"}</definedName>
    <definedName name="MCCO8" localSheetId="1" hidden="1">{#N/A,#N/A,FALSE,"CCTV"}</definedName>
    <definedName name="MCCO8" localSheetId="2" hidden="1">{#N/A,#N/A,FALSE,"CCTV"}</definedName>
    <definedName name="MCCO8" localSheetId="4" hidden="1">{#N/A,#N/A,FALSE,"CCTV"}</definedName>
    <definedName name="MCCO8" localSheetId="5" hidden="1">{#N/A,#N/A,FALSE,"CCTV"}</definedName>
    <definedName name="MCCO8" localSheetId="6" hidden="1">{#N/A,#N/A,FALSE,"CCTV"}</definedName>
    <definedName name="MCCO8" localSheetId="7" hidden="1">{#N/A,#N/A,FALSE,"CCTV"}</definedName>
    <definedName name="MCCO8" localSheetId="8" hidden="1">{#N/A,#N/A,FALSE,"CCTV"}</definedName>
    <definedName name="MCCO8" hidden="1">{#N/A,#N/A,FALSE,"CCTV"}</definedName>
    <definedName name="MCCO9" localSheetId="1" hidden="1">{#N/A,#N/A,FALSE,"CCTV"}</definedName>
    <definedName name="MCCO9" localSheetId="2" hidden="1">{#N/A,#N/A,FALSE,"CCTV"}</definedName>
    <definedName name="MCCO9" localSheetId="4" hidden="1">{#N/A,#N/A,FALSE,"CCTV"}</definedName>
    <definedName name="MCCO9" localSheetId="5" hidden="1">{#N/A,#N/A,FALSE,"CCTV"}</definedName>
    <definedName name="MCCO9" localSheetId="6" hidden="1">{#N/A,#N/A,FALSE,"CCTV"}</definedName>
    <definedName name="MCCO9" localSheetId="7" hidden="1">{#N/A,#N/A,FALSE,"CCTV"}</definedName>
    <definedName name="MCCO9" localSheetId="8" hidden="1">{#N/A,#N/A,FALSE,"CCTV"}</definedName>
    <definedName name="MCCO9" hidden="1">{#N/A,#N/A,FALSE,"CCTV"}</definedName>
    <definedName name="MCCOÙ" localSheetId="1" hidden="1">{#N/A,#N/A,FALSE,"CCTV"}</definedName>
    <definedName name="MCCOÙ" localSheetId="2" hidden="1">{#N/A,#N/A,FALSE,"CCTV"}</definedName>
    <definedName name="MCCOÙ" localSheetId="4" hidden="1">{#N/A,#N/A,FALSE,"CCTV"}</definedName>
    <definedName name="MCCOÙ" localSheetId="5" hidden="1">{#N/A,#N/A,FALSE,"CCTV"}</definedName>
    <definedName name="MCCOÙ" localSheetId="6" hidden="1">{#N/A,#N/A,FALSE,"CCTV"}</definedName>
    <definedName name="MCCOÙ" localSheetId="7" hidden="1">{#N/A,#N/A,FALSE,"CCTV"}</definedName>
    <definedName name="MCCOÙ" localSheetId="8" hidden="1">{#N/A,#N/A,FALSE,"CCTV"}</definedName>
    <definedName name="MCCOÙ" hidden="1">{#N/A,#N/A,FALSE,"CCTV"}</definedName>
    <definedName name="Mcr" localSheetId="8">#REF!</definedName>
    <definedName name="Mcr">#REF!</definedName>
    <definedName name="MCT" localSheetId="8">IF(#REF!=0,VLOOKUP(#REF!,#REF!,7,FALSE),IF(N(ISERROR(VLOOKUP(#REF!,#REF!,6,FALSE)))&lt;&gt;1,VLOOKUP(#REF!,#REF!,6,FALSE),"-"))</definedName>
    <definedName name="MCT">IF(#REF!=0,VLOOKUP(#REF!,#REF!,7,FALSE),IF(N(ISERROR(VLOOKUP(#REF!,#REF!,6,FALSE)))&lt;&gt;1,VLOOKUP(#REF!,#REF!,6,FALSE),"-"))</definedName>
    <definedName name="md" localSheetId="8">#REF!</definedName>
    <definedName name="md">#REF!</definedName>
    <definedName name="MDC" localSheetId="8">#REF!</definedName>
    <definedName name="MDC">#REF!</definedName>
    <definedName name="mdc_" localSheetId="8">#REF!</definedName>
    <definedName name="mdc_">#REF!</definedName>
    <definedName name="Mdo">#REF!</definedName>
    <definedName name="me" localSheetId="8">#REF!</definedName>
    <definedName name="me">#REF!</definedName>
    <definedName name="MENU1" localSheetId="8">#REF!</definedName>
    <definedName name="MENU1">#REF!</definedName>
    <definedName name="MENUVIEW" localSheetId="8">#REF!</definedName>
    <definedName name="MENUVIEW">#REF!</definedName>
    <definedName name="MESSAGE" localSheetId="8">#REF!</definedName>
    <definedName name="MESSAGE">#REF!</definedName>
    <definedName name="MESSAGE1" localSheetId="8">#REF!</definedName>
    <definedName name="MESSAGE1">#REF!</definedName>
    <definedName name="MESSAGE2" localSheetId="8">#REF!</definedName>
    <definedName name="MESSAGE2">#REF!</definedName>
    <definedName name="MetalWork" localSheetId="8">#REF!</definedName>
    <definedName name="MetalWork">#REF!</definedName>
    <definedName name="MF" localSheetId="8">#REF!</definedName>
    <definedName name="MF">#REF!</definedName>
    <definedName name="mfto1" localSheetId="8">#REF!</definedName>
    <definedName name="mfto1">#REF!</definedName>
    <definedName name="mfto2" localSheetId="8">#REF!</definedName>
    <definedName name="mfto2">#REF!</definedName>
    <definedName name="mg" localSheetId="8">#REF!</definedName>
    <definedName name="mg">#REF!</definedName>
    <definedName name="MG_A" localSheetId="8">#REF!</definedName>
    <definedName name="MG_A">#REF!</definedName>
    <definedName name="mg1." localSheetId="8">#REF!</definedName>
    <definedName name="mg1.">#REF!</definedName>
    <definedName name="mg1h" localSheetId="8">#REF!</definedName>
    <definedName name="mg1h">#REF!</definedName>
    <definedName name="mg1l2" localSheetId="8">#REF!</definedName>
    <definedName name="mg1l2">#REF!</definedName>
    <definedName name="mg1x" localSheetId="8">#REF!</definedName>
    <definedName name="mg1x">#REF!</definedName>
    <definedName name="mg2." localSheetId="8">#REF!</definedName>
    <definedName name="mg2.">#REF!</definedName>
    <definedName name="mg2h" localSheetId="8">#REF!</definedName>
    <definedName name="mg2h">#REF!</definedName>
    <definedName name="mg2l2" localSheetId="8">#REF!</definedName>
    <definedName name="mg2l2">#REF!</definedName>
    <definedName name="mg2x" localSheetId="8">#REF!</definedName>
    <definedName name="mg2x">#REF!</definedName>
    <definedName name="mgh" localSheetId="8">#REF!</definedName>
    <definedName name="mgh">#REF!</definedName>
    <definedName name="mgn" localSheetId="8">#REF!</definedName>
    <definedName name="mgn">#REF!</definedName>
    <definedName name="mh" localSheetId="8">#REF!</definedName>
    <definedName name="mh">#REF!</definedName>
    <definedName name="mi">#REF!</definedName>
    <definedName name="MIH" localSheetId="8">#REF!</definedName>
    <definedName name="MIH">#REF!</definedName>
    <definedName name="mis">#REF!</definedName>
    <definedName name="MiscellaneousWork" localSheetId="8">#REF!</definedName>
    <definedName name="MiscellaneousWork">#REF!</definedName>
    <definedName name="MKS" localSheetId="8">N(ISERROR(VLOOKUP(#REF!,#REF!,8,FALSE)))</definedName>
    <definedName name="MKS">N(ISERROR(VLOOKUP(#REF!,#REF!,8,FALSE)))</definedName>
    <definedName name="ML" localSheetId="8">#REF!</definedName>
    <definedName name="ML">#REF!</definedName>
    <definedName name="ml_" localSheetId="8">#REF!</definedName>
    <definedName name="ml_">#REF!</definedName>
    <definedName name="mmid" localSheetId="8">#REF!</definedName>
    <definedName name="mmid">#REF!</definedName>
    <definedName name="mmm" localSheetId="8">#REF!</definedName>
    <definedName name="mmm">#REF!</definedName>
    <definedName name="MN" localSheetId="8">#REF!</definedName>
    <definedName name="MN">#REF!</definedName>
    <definedName name="MNTHTH">#REF!</definedName>
    <definedName name="MNTN" localSheetId="8">#REF!</definedName>
    <definedName name="MNTN">#REF!</definedName>
    <definedName name="MNTT" localSheetId="8">#REF!</definedName>
    <definedName name="MNTT">#REF!</definedName>
    <definedName name="mo" localSheetId="1" hidden="1">{"'Sheet1'!$L$16"}</definedName>
    <definedName name="mo" localSheetId="2" hidden="1">{"'Sheet1'!$L$16"}</definedName>
    <definedName name="mo" localSheetId="4" hidden="1">{"'Sheet1'!$L$16"}</definedName>
    <definedName name="mo" localSheetId="5" hidden="1">{"'Sheet1'!$L$16"}</definedName>
    <definedName name="mo" localSheetId="6" hidden="1">{"'Sheet1'!$L$16"}</definedName>
    <definedName name="mo" localSheetId="7" hidden="1">{"'Sheet1'!$L$16"}</definedName>
    <definedName name="mo" localSheetId="8" hidden="1">{"'Sheet1'!$L$16"}</definedName>
    <definedName name="mo" hidden="1">{"'Sheet1'!$L$16"}</definedName>
    <definedName name="moc">#REF!</definedName>
    <definedName name="MODIFY" localSheetId="8">#REF!</definedName>
    <definedName name="MODIFY">#REF!</definedName>
    <definedName name="Mods">#REF!</definedName>
    <definedName name="moi" localSheetId="1" hidden="1">{"'Sheet1'!$L$16"}</definedName>
    <definedName name="moi" localSheetId="2" hidden="1">{"'Sheet1'!$L$16"}</definedName>
    <definedName name="moi" localSheetId="3" hidden="1">{"'Sheet1'!$L$16"}</definedName>
    <definedName name="moi" localSheetId="4" hidden="1">{"'Sheet1'!$L$16"}</definedName>
    <definedName name="moi" localSheetId="5" hidden="1">{"'Sheet1'!$L$16"}</definedName>
    <definedName name="moi" localSheetId="6" hidden="1">{"'Sheet1'!$L$16"}</definedName>
    <definedName name="moi" localSheetId="7" hidden="1">{"'Sheet1'!$L$16"}</definedName>
    <definedName name="moi" localSheetId="8" hidden="1">{"'Sheet1'!$L$16"}</definedName>
    <definedName name="moi" hidden="1">{"'Sheet1'!$L$16"}</definedName>
    <definedName name="MoM0" localSheetId="8">#REF!</definedName>
    <definedName name="MoM0">#REF!</definedName>
    <definedName name="MOMENT" localSheetId="8">#REF!</definedName>
    <definedName name="MOMENT">#REF!</definedName>
    <definedName name="MONG" localSheetId="8">#REF!</definedName>
    <definedName name="MONG">#REF!</definedName>
    <definedName name="mongbang" localSheetId="8">#REF!</definedName>
    <definedName name="mongbang">#REF!</definedName>
    <definedName name="mongdon" localSheetId="8">#REF!</definedName>
    <definedName name="mongdon">#REF!</definedName>
    <definedName name="Month1">#REF!</definedName>
    <definedName name="Month10">#REF!</definedName>
    <definedName name="Month11">#REF!</definedName>
    <definedName name="Month12">#REF!</definedName>
    <definedName name="Month2">#REF!</definedName>
    <definedName name="Month3">#REF!</definedName>
    <definedName name="Month4">#REF!</definedName>
    <definedName name="Month5">#REF!</definedName>
    <definedName name="Month6">#REF!</definedName>
    <definedName name="Month7">#REF!</definedName>
    <definedName name="Month8">#REF!</definedName>
    <definedName name="Month9">#REF!</definedName>
    <definedName name="mophanchi">#REF!</definedName>
    <definedName name="Morong" localSheetId="8">#REF!</definedName>
    <definedName name="Morong">#REF!</definedName>
    <definedName name="Morong4054_85" localSheetId="8">#REF!</definedName>
    <definedName name="Morong4054_85">#REF!</definedName>
    <definedName name="morong4054_98" localSheetId="8">#REF!</definedName>
    <definedName name="morong4054_98">#REF!</definedName>
    <definedName name="mot" localSheetId="8">#REF!</definedName>
    <definedName name="mot">#REF!</definedName>
    <definedName name="mp1x25" localSheetId="8">#REF!</definedName>
    <definedName name="mp1x25">#REF!</definedName>
    <definedName name="mR" localSheetId="8">#REF!</definedName>
    <definedName name="mR">#REF!</definedName>
    <definedName name="ms">#REF!</definedName>
    <definedName name="MSCT" localSheetId="8">#REF!</definedName>
    <definedName name="MSCT">#REF!</definedName>
    <definedName name="MTC" localSheetId="8">#REF!</definedName>
    <definedName name="MTC">#REF!</definedName>
    <definedName name="MTC1P" localSheetId="8">#REF!</definedName>
    <definedName name="MTC1P">#REF!</definedName>
    <definedName name="MTC3P" localSheetId="8">#REF!</definedName>
    <definedName name="MTC3P">#REF!</definedName>
    <definedName name="MTcat" localSheetId="8">#REF!</definedName>
    <definedName name="MTcat">#REF!</definedName>
    <definedName name="MTCata" localSheetId="8">#REF!</definedName>
    <definedName name="MTCata">#REF!</definedName>
    <definedName name="Mtccau">#REF!</definedName>
    <definedName name="MTCHC">#REF!</definedName>
    <definedName name="MTCLD" localSheetId="8">#REF!</definedName>
    <definedName name="MTCLD">#REF!</definedName>
    <definedName name="MTCMB" localSheetId="8">#REF!</definedName>
    <definedName name="MTCMB">#REF!</definedName>
    <definedName name="MTCNT">#REF!</definedName>
    <definedName name="MTMAC12" localSheetId="8">#REF!</definedName>
    <definedName name="MTMAC12">#REF!</definedName>
    <definedName name="MTN" localSheetId="8">#REF!</definedName>
    <definedName name="MTN">#REF!</definedName>
    <definedName name="mtr" localSheetId="8">#REF!</definedName>
    <definedName name="mtr">#REF!</definedName>
    <definedName name="mtram" localSheetId="8">#REF!</definedName>
    <definedName name="mtram">#REF!</definedName>
    <definedName name="Mtran" localSheetId="8">#REF!</definedName>
    <definedName name="Mtran">#REF!</definedName>
    <definedName name="Muc.I" localSheetId="5">#REF!</definedName>
    <definedName name="Muc.I" localSheetId="6">#REF!</definedName>
    <definedName name="Muc.I" localSheetId="7">#REF!</definedName>
    <definedName name="Muc.I" localSheetId="8">#REF!</definedName>
    <definedName name="Muc.I">#REF!</definedName>
    <definedName name="Muc.II" localSheetId="5">#REF!</definedName>
    <definedName name="Muc.II" localSheetId="6">#REF!</definedName>
    <definedName name="Muc.II" localSheetId="7">#REF!</definedName>
    <definedName name="Muc.II" localSheetId="8">#REF!</definedName>
    <definedName name="Muc.II">#REF!</definedName>
    <definedName name="Muc.II.1_8" localSheetId="5">#REF!</definedName>
    <definedName name="Muc.II.1_8" localSheetId="6">#REF!</definedName>
    <definedName name="Muc.II.1_8" localSheetId="7">#REF!</definedName>
    <definedName name="Muc.II.1_8" localSheetId="8">#REF!</definedName>
    <definedName name="Muc.II.1_8">#REF!</definedName>
    <definedName name="Muc.II.CP" localSheetId="5">#REF!</definedName>
    <definedName name="Muc.II.CP" localSheetId="6">#REF!</definedName>
    <definedName name="Muc.II.CP" localSheetId="7">#REF!</definedName>
    <definedName name="Muc.II.CP" localSheetId="8">#REF!</definedName>
    <definedName name="Muc.II.CP">#REF!</definedName>
    <definedName name="Muc.III" localSheetId="5">#REF!</definedName>
    <definedName name="Muc.III" localSheetId="6">#REF!</definedName>
    <definedName name="Muc.III" localSheetId="7">#REF!</definedName>
    <definedName name="Muc.III" localSheetId="8">#REF!</definedName>
    <definedName name="Muc.III">#REF!</definedName>
    <definedName name="Muc.III.A" localSheetId="5">#REF!</definedName>
    <definedName name="Muc.III.A" localSheetId="6">#REF!</definedName>
    <definedName name="Muc.III.A" localSheetId="7">#REF!</definedName>
    <definedName name="Muc.III.A" localSheetId="8">#REF!</definedName>
    <definedName name="Muc.III.A">#REF!</definedName>
    <definedName name="Muc.III.B" localSheetId="5">#REF!</definedName>
    <definedName name="Muc.III.B" localSheetId="6">#REF!</definedName>
    <definedName name="Muc.III.B" localSheetId="7">#REF!</definedName>
    <definedName name="Muc.III.B" localSheetId="8">#REF!</definedName>
    <definedName name="Muc.III.B">#REF!</definedName>
    <definedName name="Muc.III.B.I" localSheetId="5">#REF!</definedName>
    <definedName name="Muc.III.B.I" localSheetId="6">#REF!</definedName>
    <definedName name="Muc.III.B.I" localSheetId="7">#REF!</definedName>
    <definedName name="Muc.III.B.I" localSheetId="8">#REF!</definedName>
    <definedName name="Muc.III.B.I">#REF!</definedName>
    <definedName name="Muc.III.B.I.1" localSheetId="5">#REF!</definedName>
    <definedName name="Muc.III.B.I.1" localSheetId="6">#REF!</definedName>
    <definedName name="Muc.III.B.I.1" localSheetId="7">#REF!</definedName>
    <definedName name="Muc.III.B.I.1" localSheetId="8">#REF!</definedName>
    <definedName name="Muc.III.B.I.1">#REF!</definedName>
    <definedName name="Muc.III.B.I.2" localSheetId="5">#REF!</definedName>
    <definedName name="Muc.III.B.I.2" localSheetId="6">#REF!</definedName>
    <definedName name="Muc.III.B.I.2" localSheetId="7">#REF!</definedName>
    <definedName name="Muc.III.B.I.2" localSheetId="8">#REF!</definedName>
    <definedName name="Muc.III.B.I.2">#REF!</definedName>
    <definedName name="Muc.III.B.I.3" localSheetId="5">#REF!</definedName>
    <definedName name="Muc.III.B.I.3" localSheetId="6">#REF!</definedName>
    <definedName name="Muc.III.B.I.3" localSheetId="7">#REF!</definedName>
    <definedName name="Muc.III.B.I.3" localSheetId="8">#REF!</definedName>
    <definedName name="Muc.III.B.I.3">#REF!</definedName>
    <definedName name="Muc.III.B.I.4" localSheetId="5">#REF!</definedName>
    <definedName name="Muc.III.B.I.4" localSheetId="6">#REF!</definedName>
    <definedName name="Muc.III.B.I.4" localSheetId="7">#REF!</definedName>
    <definedName name="Muc.III.B.I.4" localSheetId="8">#REF!</definedName>
    <definedName name="Muc.III.B.I.4">#REF!</definedName>
    <definedName name="Muc.III.B.II" localSheetId="5">#REF!</definedName>
    <definedName name="Muc.III.B.II" localSheetId="6">#REF!</definedName>
    <definedName name="Muc.III.B.II" localSheetId="7">#REF!</definedName>
    <definedName name="Muc.III.B.II" localSheetId="8">#REF!</definedName>
    <definedName name="Muc.III.B.II">#REF!</definedName>
    <definedName name="Muc.III.B.II.1" localSheetId="5">#REF!</definedName>
    <definedName name="Muc.III.B.II.1" localSheetId="6">#REF!</definedName>
    <definedName name="Muc.III.B.II.1" localSheetId="7">#REF!</definedName>
    <definedName name="Muc.III.B.II.1" localSheetId="8">#REF!</definedName>
    <definedName name="Muc.III.B.II.1">#REF!</definedName>
    <definedName name="Muc.III.B.II.2" localSheetId="5">#REF!</definedName>
    <definedName name="Muc.III.B.II.2" localSheetId="6">#REF!</definedName>
    <definedName name="Muc.III.B.II.2" localSheetId="7">#REF!</definedName>
    <definedName name="Muc.III.B.II.2" localSheetId="8">#REF!</definedName>
    <definedName name="Muc.III.B.II.2">#REF!</definedName>
    <definedName name="Muc.III.B.II.3" localSheetId="5">#REF!</definedName>
    <definedName name="Muc.III.B.II.3" localSheetId="6">#REF!</definedName>
    <definedName name="Muc.III.B.II.3" localSheetId="7">#REF!</definedName>
    <definedName name="Muc.III.B.II.3" localSheetId="8">#REF!</definedName>
    <definedName name="Muc.III.B.II.3">#REF!</definedName>
    <definedName name="Muc.III.B.II.4" localSheetId="5">#REF!</definedName>
    <definedName name="Muc.III.B.II.4" localSheetId="6">#REF!</definedName>
    <definedName name="Muc.III.B.II.4" localSheetId="7">#REF!</definedName>
    <definedName name="Muc.III.B.II.4" localSheetId="8">#REF!</definedName>
    <definedName name="Muc.III.B.II.4">#REF!</definedName>
    <definedName name="Muc.III.C" localSheetId="5">#REF!</definedName>
    <definedName name="Muc.III.C" localSheetId="6">#REF!</definedName>
    <definedName name="Muc.III.C" localSheetId="7">#REF!</definedName>
    <definedName name="Muc.III.C" localSheetId="8">#REF!</definedName>
    <definedName name="Muc.III.C">#REF!</definedName>
    <definedName name="Muc.III.C.BC" localSheetId="5">#REF!</definedName>
    <definedName name="Muc.III.C.BC" localSheetId="6">#REF!</definedName>
    <definedName name="Muc.III.C.BC" localSheetId="7">#REF!</definedName>
    <definedName name="Muc.III.C.BC" localSheetId="8">#REF!</definedName>
    <definedName name="Muc.III.C.BC">#REF!</definedName>
    <definedName name="Muc.III.C.I" localSheetId="5">#REF!</definedName>
    <definedName name="Muc.III.C.I" localSheetId="6">#REF!</definedName>
    <definedName name="Muc.III.C.I" localSheetId="7">#REF!</definedName>
    <definedName name="Muc.III.C.I" localSheetId="8">#REF!</definedName>
    <definedName name="Muc.III.C.I">#REF!</definedName>
    <definedName name="Muc.III.C.I.1" localSheetId="5">#REF!</definedName>
    <definedName name="Muc.III.C.I.1" localSheetId="6">#REF!</definedName>
    <definedName name="Muc.III.C.I.1" localSheetId="7">#REF!</definedName>
    <definedName name="Muc.III.C.I.1" localSheetId="8">#REF!</definedName>
    <definedName name="Muc.III.C.I.1">#REF!</definedName>
    <definedName name="Muc.III.C.I.2" localSheetId="5">#REF!</definedName>
    <definedName name="Muc.III.C.I.2" localSheetId="6">#REF!</definedName>
    <definedName name="Muc.III.C.I.2" localSheetId="7">#REF!</definedName>
    <definedName name="Muc.III.C.I.2" localSheetId="8">#REF!</definedName>
    <definedName name="Muc.III.C.I.2">#REF!</definedName>
    <definedName name="Muc.III.C.II" localSheetId="5">#REF!</definedName>
    <definedName name="Muc.III.C.II" localSheetId="6">#REF!</definedName>
    <definedName name="Muc.III.C.II" localSheetId="7">#REF!</definedName>
    <definedName name="Muc.III.C.II" localSheetId="8">#REF!</definedName>
    <definedName name="Muc.III.C.II">#REF!</definedName>
    <definedName name="Muc.III.C.II.1" localSheetId="5">#REF!</definedName>
    <definedName name="Muc.III.C.II.1" localSheetId="6">#REF!</definedName>
    <definedName name="Muc.III.C.II.1" localSheetId="7">#REF!</definedName>
    <definedName name="Muc.III.C.II.1" localSheetId="8">#REF!</definedName>
    <definedName name="Muc.III.C.II.1">#REF!</definedName>
    <definedName name="Muc.III.C.II.2" localSheetId="5">#REF!</definedName>
    <definedName name="Muc.III.C.II.2" localSheetId="6">#REF!</definedName>
    <definedName name="Muc.III.C.II.2" localSheetId="7">#REF!</definedName>
    <definedName name="Muc.III.C.II.2" localSheetId="8">#REF!</definedName>
    <definedName name="Muc.III.C.II.2">#REF!</definedName>
    <definedName name="Muc.III.C.II.3" localSheetId="5">#REF!</definedName>
    <definedName name="Muc.III.C.II.3" localSheetId="6">#REF!</definedName>
    <definedName name="Muc.III.C.II.3" localSheetId="7">#REF!</definedName>
    <definedName name="Muc.III.C.II.3" localSheetId="8">#REF!</definedName>
    <definedName name="Muc.III.C.II.3">#REF!</definedName>
    <definedName name="Muc.III.C.II.4" localSheetId="5">#REF!</definedName>
    <definedName name="Muc.III.C.II.4" localSheetId="6">#REF!</definedName>
    <definedName name="Muc.III.C.II.4" localSheetId="7">#REF!</definedName>
    <definedName name="Muc.III.C.II.4" localSheetId="8">#REF!</definedName>
    <definedName name="Muc.III.C.II.4">#REF!</definedName>
    <definedName name="Muc.III.C.III" localSheetId="5">#REF!</definedName>
    <definedName name="Muc.III.C.III" localSheetId="6">#REF!</definedName>
    <definedName name="Muc.III.C.III" localSheetId="7">#REF!</definedName>
    <definedName name="Muc.III.C.III" localSheetId="8">#REF!</definedName>
    <definedName name="Muc.III.C.III">#REF!</definedName>
    <definedName name="Muc.III.C.III.1" localSheetId="5">#REF!</definedName>
    <definedName name="Muc.III.C.III.1" localSheetId="6">#REF!</definedName>
    <definedName name="Muc.III.C.III.1" localSheetId="7">#REF!</definedName>
    <definedName name="Muc.III.C.III.1" localSheetId="8">#REF!</definedName>
    <definedName name="Muc.III.C.III.1">#REF!</definedName>
    <definedName name="Muc.III.C.III.2" localSheetId="5">#REF!</definedName>
    <definedName name="Muc.III.C.III.2" localSheetId="6">#REF!</definedName>
    <definedName name="Muc.III.C.III.2" localSheetId="7">#REF!</definedName>
    <definedName name="Muc.III.C.III.2" localSheetId="8">#REF!</definedName>
    <definedName name="Muc.III.C.III.2">#REF!</definedName>
    <definedName name="Muc.III.C.III.3" localSheetId="5">#REF!</definedName>
    <definedName name="Muc.III.C.III.3" localSheetId="6">#REF!</definedName>
    <definedName name="Muc.III.C.III.3" localSheetId="7">#REF!</definedName>
    <definedName name="Muc.III.C.III.3" localSheetId="8">#REF!</definedName>
    <definedName name="Muc.III.C.III.3">#REF!</definedName>
    <definedName name="Muc.III.C.III.PLA" localSheetId="5">#REF!</definedName>
    <definedName name="Muc.III.C.III.PLA" localSheetId="6">#REF!</definedName>
    <definedName name="Muc.III.C.III.PLA" localSheetId="7">#REF!</definedName>
    <definedName name="Muc.III.C.III.PLA" localSheetId="8">#REF!</definedName>
    <definedName name="Muc.III.C.III.PLA">#REF!</definedName>
    <definedName name="Muc.III.C.III.PLA.1" localSheetId="5">#REF!</definedName>
    <definedName name="Muc.III.C.III.PLA.1" localSheetId="6">#REF!</definedName>
    <definedName name="Muc.III.C.III.PLA.1" localSheetId="7">#REF!</definedName>
    <definedName name="Muc.III.C.III.PLA.1" localSheetId="8">#REF!</definedName>
    <definedName name="Muc.III.C.III.PLA.1">#REF!</definedName>
    <definedName name="Muc.III.C.III.PLA.2" localSheetId="5">#REF!</definedName>
    <definedName name="Muc.III.C.III.PLA.2" localSheetId="6">#REF!</definedName>
    <definedName name="Muc.III.C.III.PLA.2" localSheetId="7">#REF!</definedName>
    <definedName name="Muc.III.C.III.PLA.2" localSheetId="8">#REF!</definedName>
    <definedName name="Muc.III.C.III.PLA.2">#REF!</definedName>
    <definedName name="Muc.III.C.III.PLB" localSheetId="5">#REF!</definedName>
    <definedName name="Muc.III.C.III.PLB" localSheetId="6">#REF!</definedName>
    <definedName name="Muc.III.C.III.PLB" localSheetId="7">#REF!</definedName>
    <definedName name="Muc.III.C.III.PLB" localSheetId="8">#REF!</definedName>
    <definedName name="Muc.III.C.III.PLB">#REF!</definedName>
    <definedName name="Muc.III.C.III.PLB.1" localSheetId="5">#REF!</definedName>
    <definedName name="Muc.III.C.III.PLB.1" localSheetId="6">#REF!</definedName>
    <definedName name="Muc.III.C.III.PLB.1" localSheetId="7">#REF!</definedName>
    <definedName name="Muc.III.C.III.PLB.1" localSheetId="8">#REF!</definedName>
    <definedName name="Muc.III.C.III.PLB.1">#REF!</definedName>
    <definedName name="Muc.III.C.III.PLB.2" localSheetId="5">#REF!</definedName>
    <definedName name="Muc.III.C.III.PLB.2" localSheetId="6">#REF!</definedName>
    <definedName name="Muc.III.C.III.PLB.2" localSheetId="7">#REF!</definedName>
    <definedName name="Muc.III.C.III.PLB.2" localSheetId="8">#REF!</definedName>
    <definedName name="Muc.III.C.III.PLB.2">#REF!</definedName>
    <definedName name="Muc.III.C.III.PLB.3" localSheetId="5">#REF!</definedName>
    <definedName name="Muc.III.C.III.PLB.3" localSheetId="6">#REF!</definedName>
    <definedName name="Muc.III.C.III.PLB.3" localSheetId="7">#REF!</definedName>
    <definedName name="Muc.III.C.III.PLB.3" localSheetId="8">#REF!</definedName>
    <definedName name="Muc.III.C.III.PLB.3">#REF!</definedName>
    <definedName name="Muc.III.C.IV" localSheetId="5">#REF!</definedName>
    <definedName name="Muc.III.C.IV" localSheetId="6">#REF!</definedName>
    <definedName name="Muc.III.C.IV" localSheetId="7">#REF!</definedName>
    <definedName name="Muc.III.C.IV" localSheetId="8">#REF!</definedName>
    <definedName name="Muc.III.C.IV">#REF!</definedName>
    <definedName name="Muc.III.C.IV.1a" localSheetId="5">#REF!</definedName>
    <definedName name="Muc.III.C.IV.1a" localSheetId="6">#REF!</definedName>
    <definedName name="Muc.III.C.IV.1a" localSheetId="7">#REF!</definedName>
    <definedName name="Muc.III.C.IV.1a" localSheetId="8">#REF!</definedName>
    <definedName name="Muc.III.C.IV.1a">#REF!</definedName>
    <definedName name="Muc.III.C.IV.1b" localSheetId="5">#REF!</definedName>
    <definedName name="Muc.III.C.IV.1b" localSheetId="6">#REF!</definedName>
    <definedName name="Muc.III.C.IV.1b" localSheetId="7">#REF!</definedName>
    <definedName name="Muc.III.C.IV.1b" localSheetId="8">#REF!</definedName>
    <definedName name="Muc.III.C.IV.1b">#REF!</definedName>
    <definedName name="Muc.III.C.IV.2a" localSheetId="5">#REF!</definedName>
    <definedName name="Muc.III.C.IV.2a" localSheetId="6">#REF!</definedName>
    <definedName name="Muc.III.C.IV.2a" localSheetId="7">#REF!</definedName>
    <definedName name="Muc.III.C.IV.2a" localSheetId="8">#REF!</definedName>
    <definedName name="Muc.III.C.IV.2a">#REF!</definedName>
    <definedName name="Muc.III.C.IV.2b" localSheetId="5">#REF!</definedName>
    <definedName name="Muc.III.C.IV.2b" localSheetId="6">#REF!</definedName>
    <definedName name="Muc.III.C.IV.2b" localSheetId="7">#REF!</definedName>
    <definedName name="Muc.III.C.IV.2b" localSheetId="8">#REF!</definedName>
    <definedName name="Muc.III.C.IV.2b">#REF!</definedName>
    <definedName name="Muc.III.C.IV.3a" localSheetId="5">#REF!</definedName>
    <definedName name="Muc.III.C.IV.3a" localSheetId="6">#REF!</definedName>
    <definedName name="Muc.III.C.IV.3a" localSheetId="7">#REF!</definedName>
    <definedName name="Muc.III.C.IV.3a" localSheetId="8">#REF!</definedName>
    <definedName name="Muc.III.C.IV.3a">#REF!</definedName>
    <definedName name="Muc.III.C.IV.3b" localSheetId="5">#REF!</definedName>
    <definedName name="Muc.III.C.IV.3b" localSheetId="6">#REF!</definedName>
    <definedName name="Muc.III.C.IV.3b" localSheetId="7">#REF!</definedName>
    <definedName name="Muc.III.C.IV.3b" localSheetId="8">#REF!</definedName>
    <definedName name="Muc.III.C.IV.3b">#REF!</definedName>
    <definedName name="Muc.III.C.TH" localSheetId="5">#REF!</definedName>
    <definedName name="Muc.III.C.TH" localSheetId="6">#REF!</definedName>
    <definedName name="Muc.III.C.TH" localSheetId="7">#REF!</definedName>
    <definedName name="Muc.III.C.TH" localSheetId="8">#REF!</definedName>
    <definedName name="Muc.III.C.TH">#REF!</definedName>
    <definedName name="Muc.III.C.TH.1" localSheetId="5">#REF!</definedName>
    <definedName name="Muc.III.C.TH.1" localSheetId="6">#REF!</definedName>
    <definedName name="Muc.III.C.TH.1" localSheetId="7">#REF!</definedName>
    <definedName name="Muc.III.C.TH.1" localSheetId="8">#REF!</definedName>
    <definedName name="Muc.III.C.TH.1">#REF!</definedName>
    <definedName name="Muc.III.C.TH.2" localSheetId="5">#REF!</definedName>
    <definedName name="Muc.III.C.TH.2" localSheetId="6">#REF!</definedName>
    <definedName name="Muc.III.C.TH.2" localSheetId="7">#REF!</definedName>
    <definedName name="Muc.III.C.TH.2" localSheetId="8">#REF!</definedName>
    <definedName name="Muc.III.C.TH.2">#REF!</definedName>
    <definedName name="Muc.III.C.TH.3" localSheetId="5">#REF!</definedName>
    <definedName name="Muc.III.C.TH.3" localSheetId="6">#REF!</definedName>
    <definedName name="Muc.III.C.TH.3" localSheetId="7">#REF!</definedName>
    <definedName name="Muc.III.C.TH.3" localSheetId="8">#REF!</definedName>
    <definedName name="Muc.III.C.TH.3">#REF!</definedName>
    <definedName name="Muc.III.C.TH.4" localSheetId="5">#REF!</definedName>
    <definedName name="Muc.III.C.TH.4" localSheetId="6">#REF!</definedName>
    <definedName name="Muc.III.C.TH.4" localSheetId="7">#REF!</definedName>
    <definedName name="Muc.III.C.TH.4" localSheetId="8">#REF!</definedName>
    <definedName name="Muc.III.C.TH.4">#REF!</definedName>
    <definedName name="MV" localSheetId="8">#REF!</definedName>
    <definedName name="MV">#REF!</definedName>
    <definedName name="mvac" localSheetId="1" hidden="1">{"'Sheet1'!$L$16"}</definedName>
    <definedName name="mvac" localSheetId="2" hidden="1">{"'Sheet1'!$L$16"}</definedName>
    <definedName name="mvac" localSheetId="3" hidden="1">{"'Sheet1'!$L$16"}</definedName>
    <definedName name="mvac" localSheetId="4" hidden="1">{"'Sheet1'!$L$16"}</definedName>
    <definedName name="mvac" localSheetId="5" hidden="1">{"'Sheet1'!$L$16"}</definedName>
    <definedName name="mvac" localSheetId="6" hidden="1">{"'Sheet1'!$L$16"}</definedName>
    <definedName name="mvac" localSheetId="7" hidden="1">{"'Sheet1'!$L$16"}</definedName>
    <definedName name="mvac" localSheetId="8" hidden="1">{"'Sheet1'!$L$16"}</definedName>
    <definedName name="mvac" hidden="1">{"'Sheet1'!$L$16"}</definedName>
    <definedName name="MVC" localSheetId="8">#REF!</definedName>
    <definedName name="MVC">#REF!</definedName>
    <definedName name="mvmvmm" localSheetId="1" hidden="1">{0}</definedName>
    <definedName name="mvmvmm" localSheetId="2" hidden="1">{0}</definedName>
    <definedName name="mvmvmm" localSheetId="4" hidden="1">{0}</definedName>
    <definedName name="mvmvmm" localSheetId="5" hidden="1">{0}</definedName>
    <definedName name="mvmvmm" localSheetId="6" hidden="1">{0}</definedName>
    <definedName name="mvmvmm" localSheetId="7" hidden="1">{0}</definedName>
    <definedName name="mvmvmm" localSheetId="8" hidden="1">{0}</definedName>
    <definedName name="mvmvmm" hidden="1">{0}</definedName>
    <definedName name="mvmvmvm" localSheetId="1" hidden="1">{0}</definedName>
    <definedName name="mvmvmvm" localSheetId="2" hidden="1">{0}</definedName>
    <definedName name="mvmvmvm" localSheetId="4" hidden="1">{0}</definedName>
    <definedName name="mvmvmvm" localSheetId="5" hidden="1">{0}</definedName>
    <definedName name="mvmvmvm" localSheetId="6" hidden="1">{0}</definedName>
    <definedName name="mvmvmvm" localSheetId="7" hidden="1">{0}</definedName>
    <definedName name="mvmvmvm" localSheetId="8" hidden="1">{0}</definedName>
    <definedName name="mvmvmvm" hidden="1">{0}</definedName>
    <definedName name="mw_" localSheetId="8">#REF!</definedName>
    <definedName name="mw_">#REF!</definedName>
    <definedName name="mw1_" localSheetId="8">#REF!</definedName>
    <definedName name="mw1_">#REF!</definedName>
    <definedName name="mx" localSheetId="8">#REF!</definedName>
    <definedName name="mx">#REF!</definedName>
    <definedName name="myle" localSheetId="8">#REF!</definedName>
    <definedName name="myle">#REF!</definedName>
    <definedName name="n" localSheetId="8">#REF!</definedName>
    <definedName name="n">#REF!</definedName>
    <definedName name="n.d1" localSheetId="8">#REF!</definedName>
    <definedName name="n.d1">#REF!</definedName>
    <definedName name="n.d2" localSheetId="8">#REF!</definedName>
    <definedName name="n.d2">#REF!</definedName>
    <definedName name="N.M14.1" localSheetId="8">#REF!</definedName>
    <definedName name="N.M14.1">#REF!</definedName>
    <definedName name="N.M14.2" localSheetId="8">#REF!</definedName>
    <definedName name="N.M14.2">#REF!</definedName>
    <definedName name="N.MTCat" localSheetId="8">#REF!</definedName>
    <definedName name="N.MTCat">#REF!</definedName>
    <definedName name="n_1" localSheetId="8">#REF!</definedName>
    <definedName name="n_1">#REF!</definedName>
    <definedName name="n_2" localSheetId="8">#REF!</definedName>
    <definedName name="n_2">#REF!</definedName>
    <definedName name="n_3" localSheetId="8">#REF!</definedName>
    <definedName name="n_3">#REF!</definedName>
    <definedName name="n_vÞ__tÝnh" localSheetId="8">#REF!</definedName>
    <definedName name="n_vÞ__tÝnh">#REF!</definedName>
    <definedName name="N1IN">#REF!</definedName>
    <definedName name="n1pig" localSheetId="8">#REF!</definedName>
    <definedName name="n1pig">#REF!</definedName>
    <definedName name="n1pignc" localSheetId="8">#REF!</definedName>
    <definedName name="n1pignc">#REF!</definedName>
    <definedName name="N1pIGvc" localSheetId="8">#REF!</definedName>
    <definedName name="N1pIGvc">#REF!</definedName>
    <definedName name="n1pigvl" localSheetId="8">#REF!</definedName>
    <definedName name="n1pigvl">#REF!</definedName>
    <definedName name="n1pind" localSheetId="8">#REF!</definedName>
    <definedName name="n1pind">#REF!</definedName>
    <definedName name="n1pindnc" localSheetId="8">#REF!</definedName>
    <definedName name="n1pindnc">#REF!</definedName>
    <definedName name="N1pINDvc" localSheetId="8">#REF!</definedName>
    <definedName name="N1pINDvc">#REF!</definedName>
    <definedName name="n1pindvl" localSheetId="8">#REF!</definedName>
    <definedName name="n1pindvl">#REF!</definedName>
    <definedName name="n1ping" localSheetId="8">#REF!</definedName>
    <definedName name="n1ping">#REF!</definedName>
    <definedName name="n1pingnc" localSheetId="8">#REF!</definedName>
    <definedName name="n1pingnc">#REF!</definedName>
    <definedName name="N1pINGvc" localSheetId="8">#REF!</definedName>
    <definedName name="N1pINGvc">#REF!</definedName>
    <definedName name="n1pingvl" localSheetId="8">#REF!</definedName>
    <definedName name="n1pingvl">#REF!</definedName>
    <definedName name="n1pint" localSheetId="8">#REF!</definedName>
    <definedName name="n1pint">#REF!</definedName>
    <definedName name="n1pintnc" localSheetId="8">#REF!</definedName>
    <definedName name="n1pintnc">#REF!</definedName>
    <definedName name="N1pINTvc" localSheetId="8">#REF!</definedName>
    <definedName name="N1pINTvc">#REF!</definedName>
    <definedName name="n1pintvl" localSheetId="8">#REF!</definedName>
    <definedName name="n1pintvl">#REF!</definedName>
    <definedName name="N1pNLnc" localSheetId="8">#REF!</definedName>
    <definedName name="N1pNLnc">#REF!</definedName>
    <definedName name="N1pNLvc" localSheetId="8">#REF!</definedName>
    <definedName name="N1pNLvc">#REF!</definedName>
    <definedName name="N1pNLvl" localSheetId="8">#REF!</definedName>
    <definedName name="N1pNLvl">#REF!</definedName>
    <definedName name="n24nc" localSheetId="8">#REF!</definedName>
    <definedName name="n24nc">#REF!</definedName>
    <definedName name="n24vl" localSheetId="8">#REF!</definedName>
    <definedName name="n24vl">#REF!</definedName>
    <definedName name="n2mignc" localSheetId="8">#REF!</definedName>
    <definedName name="n2mignc">#REF!</definedName>
    <definedName name="n2migvl" localSheetId="8">#REF!</definedName>
    <definedName name="n2migvl">#REF!</definedName>
    <definedName name="n2min1nc" localSheetId="8">#REF!</definedName>
    <definedName name="n2min1nc">#REF!</definedName>
    <definedName name="n2min1vl" localSheetId="8">#REF!</definedName>
    <definedName name="n2min1vl">#REF!</definedName>
    <definedName name="Na" localSheetId="1" hidden="1">{"'Sheet1'!$L$16"}</definedName>
    <definedName name="Na" localSheetId="2" hidden="1">{"'Sheet1'!$L$16"}</definedName>
    <definedName name="Na" localSheetId="4" hidden="1">{"'Sheet1'!$L$16"}</definedName>
    <definedName name="Na" localSheetId="5" hidden="1">{"'Sheet1'!$L$16"}</definedName>
    <definedName name="Na" localSheetId="6" hidden="1">{"'Sheet1'!$L$16"}</definedName>
    <definedName name="Na" localSheetId="7" hidden="1">{"'Sheet1'!$L$16"}</definedName>
    <definedName name="Na" localSheetId="8" hidden="1">{"'Sheet1'!$L$16"}</definedName>
    <definedName name="Na" hidden="1">{"'Sheet1'!$L$16"}</definedName>
    <definedName name="nam" localSheetId="1" hidden="1">{"'Sheet1'!$L$16"}</definedName>
    <definedName name="nam" localSheetId="2" hidden="1">{"'Sheet1'!$L$16"}</definedName>
    <definedName name="Nam" localSheetId="3">#REF!</definedName>
    <definedName name="nam" localSheetId="4" hidden="1">{"'Sheet1'!$L$16"}</definedName>
    <definedName name="nam" localSheetId="5" hidden="1">{"'Sheet1'!$L$16"}</definedName>
    <definedName name="nam" localSheetId="6" hidden="1">{"'Sheet1'!$L$16"}</definedName>
    <definedName name="nam" localSheetId="7" hidden="1">{"'Sheet1'!$L$16"}</definedName>
    <definedName name="nam" localSheetId="8" hidden="1">{"'Sheet1'!$L$16"}</definedName>
    <definedName name="nam" hidden="1">{"'Sheet1'!$L$16"}</definedName>
    <definedName name="nanghang" localSheetId="8">#REF!</definedName>
    <definedName name="nanghang">#REF!</definedName>
    <definedName name="NB" localSheetId="4" hidden="1">#REF!</definedName>
    <definedName name="NB" localSheetId="5" hidden="1">#REF!</definedName>
    <definedName name="NB" localSheetId="6" hidden="1">#REF!</definedName>
    <definedName name="NB" localSheetId="7" hidden="1">#REF!</definedName>
    <definedName name="NB" localSheetId="8" hidden="1">#REF!</definedName>
    <definedName name="NB" hidden="1">#REF!</definedName>
    <definedName name="Nc" localSheetId="8">#REF!</definedName>
    <definedName name="Nc">#REF!</definedName>
    <definedName name="NC.DMC" localSheetId="8">#REF!</definedName>
    <definedName name="NC.DMC">#REF!</definedName>
    <definedName name="NC.GTTMC" localSheetId="8">#REF!</definedName>
    <definedName name="NC.GTTMC">#REF!</definedName>
    <definedName name="NC.M14.1" localSheetId="8">#REF!</definedName>
    <definedName name="NC.M14.1">#REF!</definedName>
    <definedName name="NC.M14.2" localSheetId="8">#REF!</definedName>
    <definedName name="NC.M14.2">#REF!</definedName>
    <definedName name="NC.MTCat" localSheetId="8">#REF!</definedName>
    <definedName name="NC.MTCat">#REF!</definedName>
    <definedName name="NC.T1C.CDFD" localSheetId="8">#REF!</definedName>
    <definedName name="NC.T1C.CDFD">#REF!</definedName>
    <definedName name="NC.T1C.M14" localSheetId="8">#REF!</definedName>
    <definedName name="NC.T1C.M14">#REF!</definedName>
    <definedName name="NC.TTC" localSheetId="8">#REF!</definedName>
    <definedName name="NC.TTC">#REF!</definedName>
    <definedName name="NC.X.CSV" localSheetId="8">#REF!</definedName>
    <definedName name="NC.X.CSV">#REF!</definedName>
    <definedName name="NC.XL" localSheetId="8">#REF!</definedName>
    <definedName name="NC.XL">#REF!</definedName>
    <definedName name="nc_betong200" localSheetId="8">#REF!</definedName>
    <definedName name="nc_betong200">#REF!</definedName>
    <definedName name="nc_btm10" localSheetId="8">#REF!</definedName>
    <definedName name="nc_btm10">#REF!</definedName>
    <definedName name="nc_btm100" localSheetId="8">#REF!</definedName>
    <definedName name="nc_btm100">#REF!</definedName>
    <definedName name="nc12m">#REF!</definedName>
    <definedName name="nc1nc" localSheetId="8">#REF!</definedName>
    <definedName name="nc1nc">#REF!</definedName>
    <definedName name="nc1p" localSheetId="8">#REF!</definedName>
    <definedName name="nc1p">#REF!</definedName>
    <definedName name="nc1vl" localSheetId="8">#REF!</definedName>
    <definedName name="nc1vl">#REF!</definedName>
    <definedName name="nc2.0" localSheetId="8">#REF!</definedName>
    <definedName name="nc2.0">#REF!</definedName>
    <definedName name="nc2.1" localSheetId="8">#REF!</definedName>
    <definedName name="nc2.1">#REF!</definedName>
    <definedName name="nc2.1I" localSheetId="8">#REF!</definedName>
    <definedName name="nc2.1I">#REF!</definedName>
    <definedName name="nc2.1II" localSheetId="8">#REF!</definedName>
    <definedName name="nc2.1II">#REF!</definedName>
    <definedName name="nc2.1III" localSheetId="8">#REF!</definedName>
    <definedName name="nc2.1III">#REF!</definedName>
    <definedName name="nc2.1IV" localSheetId="8">#REF!</definedName>
    <definedName name="nc2.1IV">#REF!</definedName>
    <definedName name="nc2.2" localSheetId="8">#REF!</definedName>
    <definedName name="nc2.2">#REF!</definedName>
    <definedName name="nc2.2I" localSheetId="8">#REF!</definedName>
    <definedName name="nc2.2I">#REF!</definedName>
    <definedName name="nc2.2II" localSheetId="8">#REF!</definedName>
    <definedName name="nc2.2II">#REF!</definedName>
    <definedName name="nc2.2III" localSheetId="8">#REF!</definedName>
    <definedName name="nc2.2III">#REF!</definedName>
    <definedName name="nc2.2IV" localSheetId="8">#REF!</definedName>
    <definedName name="nc2.2IV">#REF!</definedName>
    <definedName name="nc2.3" localSheetId="8">#REF!</definedName>
    <definedName name="nc2.3">#REF!</definedName>
    <definedName name="nc2.3I" localSheetId="8">#REF!</definedName>
    <definedName name="nc2.3I">#REF!</definedName>
    <definedName name="nc2.3II" localSheetId="8">#REF!</definedName>
    <definedName name="nc2.3II">#REF!</definedName>
    <definedName name="nc2.3III" localSheetId="8">#REF!</definedName>
    <definedName name="nc2.3III">#REF!</definedName>
    <definedName name="nc2.3IV" localSheetId="8">#REF!</definedName>
    <definedName name="nc2.3IV">#REF!</definedName>
    <definedName name="nc2.4" localSheetId="8">#REF!</definedName>
    <definedName name="nc2.4">#REF!</definedName>
    <definedName name="nc2.4I" localSheetId="8">#REF!</definedName>
    <definedName name="nc2.4I">#REF!</definedName>
    <definedName name="nc2.4II" localSheetId="8">#REF!</definedName>
    <definedName name="nc2.4II">#REF!</definedName>
    <definedName name="nc2.4III" localSheetId="8">#REF!</definedName>
    <definedName name="nc2.4III">#REF!</definedName>
    <definedName name="nc2.4IV" localSheetId="8">#REF!</definedName>
    <definedName name="nc2.4IV">#REF!</definedName>
    <definedName name="nc2.5" localSheetId="8">#REF!</definedName>
    <definedName name="nc2.5">#REF!</definedName>
    <definedName name="nc2.5I" localSheetId="8">#REF!</definedName>
    <definedName name="nc2.5I">#REF!</definedName>
    <definedName name="nc2.5II" localSheetId="8">#REF!</definedName>
    <definedName name="nc2.5II">#REF!</definedName>
    <definedName name="nc2.5III" localSheetId="8">#REF!</definedName>
    <definedName name="nc2.5III">#REF!</definedName>
    <definedName name="nc2.5IV" localSheetId="8">#REF!</definedName>
    <definedName name="nc2.5IV">#REF!</definedName>
    <definedName name="nc2.6" localSheetId="8">#REF!</definedName>
    <definedName name="nc2.6">#REF!</definedName>
    <definedName name="nc2.6I" localSheetId="8">#REF!</definedName>
    <definedName name="nc2.6I">#REF!</definedName>
    <definedName name="nc2.6II" localSheetId="8">#REF!</definedName>
    <definedName name="nc2.6II">#REF!</definedName>
    <definedName name="nc2.6III" localSheetId="8">#REF!</definedName>
    <definedName name="nc2.6III">#REF!</definedName>
    <definedName name="nc2.6IV" localSheetId="8">#REF!</definedName>
    <definedName name="nc2.6IV">#REF!</definedName>
    <definedName name="nc2.7" localSheetId="8">#REF!</definedName>
    <definedName name="nc2.7">#REF!</definedName>
    <definedName name="nc2.7I" localSheetId="8">#REF!</definedName>
    <definedName name="nc2.7I">#REF!</definedName>
    <definedName name="nc2.7II" localSheetId="8">#REF!</definedName>
    <definedName name="nc2.7II">#REF!</definedName>
    <definedName name="nc2.7III" localSheetId="8">#REF!</definedName>
    <definedName name="nc2.7III">#REF!</definedName>
    <definedName name="nc2.7IV" localSheetId="8">#REF!</definedName>
    <definedName name="nc2.7IV">#REF!</definedName>
    <definedName name="nc2.8" localSheetId="8">#REF!</definedName>
    <definedName name="nc2.8">#REF!</definedName>
    <definedName name="nc2.8I" localSheetId="8">#REF!</definedName>
    <definedName name="nc2.8I">#REF!</definedName>
    <definedName name="nc2.8II" localSheetId="8">#REF!</definedName>
    <definedName name="nc2.8II">#REF!</definedName>
    <definedName name="nc2.8III" localSheetId="8">#REF!</definedName>
    <definedName name="nc2.8III">#REF!</definedName>
    <definedName name="nc2.8IV" localSheetId="8">#REF!</definedName>
    <definedName name="nc2.8IV">#REF!</definedName>
    <definedName name="nc2.9" localSheetId="8">#REF!</definedName>
    <definedName name="nc2.9">#REF!</definedName>
    <definedName name="nc2.9I" localSheetId="8">#REF!</definedName>
    <definedName name="nc2.9I">#REF!</definedName>
    <definedName name="nc2.9II" localSheetId="8">#REF!</definedName>
    <definedName name="nc2.9II">#REF!</definedName>
    <definedName name="nc2.9III" localSheetId="8">#REF!</definedName>
    <definedName name="nc2.9III">#REF!</definedName>
    <definedName name="nc2.9IV" localSheetId="8">#REF!</definedName>
    <definedName name="nc2.9IV">#REF!</definedName>
    <definedName name="nc24nc" localSheetId="8">#REF!</definedName>
    <definedName name="nc24nc">#REF!</definedName>
    <definedName name="nc24vl" localSheetId="8">#REF!</definedName>
    <definedName name="nc24vl">#REF!</definedName>
    <definedName name="nc2I" localSheetId="8">#REF!</definedName>
    <definedName name="nc2I">#REF!</definedName>
    <definedName name="nc2II" localSheetId="8">#REF!</definedName>
    <definedName name="nc2II">#REF!</definedName>
    <definedName name="nc2III" localSheetId="8">#REF!</definedName>
    <definedName name="nc2III">#REF!</definedName>
    <definedName name="nc2IV" localSheetId="8">#REF!</definedName>
    <definedName name="nc2IV">#REF!</definedName>
    <definedName name="nc3.0" localSheetId="8">#REF!</definedName>
    <definedName name="nc3.0">#REF!</definedName>
    <definedName name="nc3.1" localSheetId="8">#REF!</definedName>
    <definedName name="nc3.1">#REF!</definedName>
    <definedName name="nc3.1I" localSheetId="8">#REF!</definedName>
    <definedName name="nc3.1I">#REF!</definedName>
    <definedName name="nc3.1II" localSheetId="8">#REF!</definedName>
    <definedName name="nc3.1II">#REF!</definedName>
    <definedName name="nc3.1III" localSheetId="8">#REF!</definedName>
    <definedName name="nc3.1III">#REF!</definedName>
    <definedName name="nc3.1IV" localSheetId="8">#REF!</definedName>
    <definedName name="nc3.1IV">#REF!</definedName>
    <definedName name="nc3.2" localSheetId="8">#REF!</definedName>
    <definedName name="nc3.2">#REF!</definedName>
    <definedName name="nc3.2I" localSheetId="8">#REF!</definedName>
    <definedName name="nc3.2I">#REF!</definedName>
    <definedName name="nc3.2II" localSheetId="8">#REF!</definedName>
    <definedName name="nc3.2II">#REF!</definedName>
    <definedName name="nc3.2III" localSheetId="8">#REF!</definedName>
    <definedName name="nc3.2III">#REF!</definedName>
    <definedName name="nc3.2IV" localSheetId="8">#REF!</definedName>
    <definedName name="nc3.2IV">#REF!</definedName>
    <definedName name="nc3.3" localSheetId="8">#REF!</definedName>
    <definedName name="nc3.3">#REF!</definedName>
    <definedName name="nc3.3I" localSheetId="8">#REF!</definedName>
    <definedName name="nc3.3I">#REF!</definedName>
    <definedName name="nc3.3II" localSheetId="8">#REF!</definedName>
    <definedName name="nc3.3II">#REF!</definedName>
    <definedName name="nc3.3III" localSheetId="8">#REF!</definedName>
    <definedName name="nc3.3III">#REF!</definedName>
    <definedName name="nc3.3IV" localSheetId="8">#REF!</definedName>
    <definedName name="nc3.3IV">#REF!</definedName>
    <definedName name="nc3.4" localSheetId="8">#REF!</definedName>
    <definedName name="nc3.4">#REF!</definedName>
    <definedName name="nc3.4I" localSheetId="8">#REF!</definedName>
    <definedName name="nc3.4I">#REF!</definedName>
    <definedName name="nc3.4II" localSheetId="8">#REF!</definedName>
    <definedName name="nc3.4II">#REF!</definedName>
    <definedName name="nc3.4III" localSheetId="8">#REF!</definedName>
    <definedName name="nc3.4III">#REF!</definedName>
    <definedName name="nc3.4IV" localSheetId="8">#REF!</definedName>
    <definedName name="nc3.4IV">#REF!</definedName>
    <definedName name="nc3.5" localSheetId="8">#REF!</definedName>
    <definedName name="nc3.5">#REF!</definedName>
    <definedName name="nc3.5I" localSheetId="8">#REF!</definedName>
    <definedName name="nc3.5I">#REF!</definedName>
    <definedName name="nc3.5II" localSheetId="8">#REF!</definedName>
    <definedName name="nc3.5II">#REF!</definedName>
    <definedName name="nc3.5III" localSheetId="8">#REF!</definedName>
    <definedName name="nc3.5III">#REF!</definedName>
    <definedName name="nc3.5IV" localSheetId="8">#REF!</definedName>
    <definedName name="nc3.5IV">#REF!</definedName>
    <definedName name="nc3.6" localSheetId="8">#REF!</definedName>
    <definedName name="nc3.6">#REF!</definedName>
    <definedName name="nc3.6I" localSheetId="8">#REF!</definedName>
    <definedName name="nc3.6I">#REF!</definedName>
    <definedName name="nc3.6II" localSheetId="8">#REF!</definedName>
    <definedName name="nc3.6II">#REF!</definedName>
    <definedName name="nc3.6III" localSheetId="8">#REF!</definedName>
    <definedName name="nc3.6III">#REF!</definedName>
    <definedName name="nc3.6IV" localSheetId="8">#REF!</definedName>
    <definedName name="nc3.6IV">#REF!</definedName>
    <definedName name="nc3.7" localSheetId="8">#REF!</definedName>
    <definedName name="nc3.7">#REF!</definedName>
    <definedName name="nc3.7I" localSheetId="8">#REF!</definedName>
    <definedName name="nc3.7I">#REF!</definedName>
    <definedName name="nc3.7II" localSheetId="8">#REF!</definedName>
    <definedName name="nc3.7II">#REF!</definedName>
    <definedName name="nc3.7III" localSheetId="8">#REF!</definedName>
    <definedName name="nc3.7III">#REF!</definedName>
    <definedName name="nc3.7IV" localSheetId="8">#REF!</definedName>
    <definedName name="nc3.7IV">#REF!</definedName>
    <definedName name="nc3.8" localSheetId="8">#REF!</definedName>
    <definedName name="nc3.8">#REF!</definedName>
    <definedName name="nc3.8I" localSheetId="8">#REF!</definedName>
    <definedName name="nc3.8I">#REF!</definedName>
    <definedName name="nc3.8II" localSheetId="8">#REF!</definedName>
    <definedName name="nc3.8II">#REF!</definedName>
    <definedName name="nc3.8III" localSheetId="8">#REF!</definedName>
    <definedName name="nc3.8III">#REF!</definedName>
    <definedName name="nc3.8IV" localSheetId="8">#REF!</definedName>
    <definedName name="nc3.8IV">#REF!</definedName>
    <definedName name="nc3.9" localSheetId="8">#REF!</definedName>
    <definedName name="nc3.9">#REF!</definedName>
    <definedName name="nc3.9I" localSheetId="8">#REF!</definedName>
    <definedName name="nc3.9I">#REF!</definedName>
    <definedName name="nc3.9II" localSheetId="8">#REF!</definedName>
    <definedName name="nc3.9II">#REF!</definedName>
    <definedName name="nc3.9III" localSheetId="8">#REF!</definedName>
    <definedName name="nc3.9III">#REF!</definedName>
    <definedName name="nc3.9IV" localSheetId="8">#REF!</definedName>
    <definedName name="nc3.9IV">#REF!</definedName>
    <definedName name="nc3_5">#REF!</definedName>
    <definedName name="nc3I" localSheetId="8">#REF!</definedName>
    <definedName name="nc3I">#REF!</definedName>
    <definedName name="nc3II" localSheetId="8">#REF!</definedName>
    <definedName name="nc3II">#REF!</definedName>
    <definedName name="nc3III" localSheetId="8">#REF!</definedName>
    <definedName name="nc3III">#REF!</definedName>
    <definedName name="nc3IV" localSheetId="8">#REF!</definedName>
    <definedName name="nc3IV">#REF!</definedName>
    <definedName name="nc3p" localSheetId="8">#REF!</definedName>
    <definedName name="nc3p">#REF!</definedName>
    <definedName name="nc4.0" localSheetId="8">#REF!</definedName>
    <definedName name="nc4.0">#REF!</definedName>
    <definedName name="nc4.1" localSheetId="8">#REF!</definedName>
    <definedName name="nc4.1">#REF!</definedName>
    <definedName name="nc4.1I" localSheetId="8">#REF!</definedName>
    <definedName name="nc4.1I">#REF!</definedName>
    <definedName name="nc4.1II" localSheetId="8">#REF!</definedName>
    <definedName name="nc4.1II">#REF!</definedName>
    <definedName name="nc4.1III" localSheetId="8">#REF!</definedName>
    <definedName name="nc4.1III">#REF!</definedName>
    <definedName name="nc4.1IV" localSheetId="8">#REF!</definedName>
    <definedName name="nc4.1IV">#REF!</definedName>
    <definedName name="nc4.2" localSheetId="8">#REF!</definedName>
    <definedName name="nc4.2">#REF!</definedName>
    <definedName name="nc4.2I" localSheetId="8">#REF!</definedName>
    <definedName name="nc4.2I">#REF!</definedName>
    <definedName name="nc4.2II" localSheetId="8">#REF!</definedName>
    <definedName name="nc4.2II">#REF!</definedName>
    <definedName name="nc4.2III" localSheetId="8">#REF!</definedName>
    <definedName name="nc4.2III">#REF!</definedName>
    <definedName name="nc4.2IV" localSheetId="8">#REF!</definedName>
    <definedName name="nc4.2IV">#REF!</definedName>
    <definedName name="nc4.3" localSheetId="8">#REF!</definedName>
    <definedName name="nc4.3">#REF!</definedName>
    <definedName name="nc4.3I" localSheetId="8">#REF!</definedName>
    <definedName name="nc4.3I">#REF!</definedName>
    <definedName name="nc4.3II" localSheetId="8">#REF!</definedName>
    <definedName name="nc4.3II">#REF!</definedName>
    <definedName name="nc4.3III" localSheetId="8">#REF!</definedName>
    <definedName name="nc4.3III">#REF!</definedName>
    <definedName name="nc4.3IV" localSheetId="8">#REF!</definedName>
    <definedName name="nc4.3IV">#REF!</definedName>
    <definedName name="nc4.4" localSheetId="8">#REF!</definedName>
    <definedName name="nc4.4">#REF!</definedName>
    <definedName name="nc4.4I" localSheetId="8">#REF!</definedName>
    <definedName name="nc4.4I">#REF!</definedName>
    <definedName name="nc4.4II" localSheetId="8">#REF!</definedName>
    <definedName name="nc4.4II">#REF!</definedName>
    <definedName name="nc4.4III" localSheetId="8">#REF!</definedName>
    <definedName name="nc4.4III">#REF!</definedName>
    <definedName name="nc4.4IV" localSheetId="8">#REF!</definedName>
    <definedName name="nc4.4IV">#REF!</definedName>
    <definedName name="nc4.5" localSheetId="8">#REF!</definedName>
    <definedName name="nc4.5">#REF!</definedName>
    <definedName name="nc4.5I" localSheetId="8">#REF!</definedName>
    <definedName name="nc4.5I">#REF!</definedName>
    <definedName name="nc4.5II" localSheetId="8">#REF!</definedName>
    <definedName name="nc4.5II">#REF!</definedName>
    <definedName name="nc4.5III" localSheetId="8">#REF!</definedName>
    <definedName name="nc4.5III">#REF!</definedName>
    <definedName name="nc4.5IV" localSheetId="8">#REF!</definedName>
    <definedName name="nc4.5IV">#REF!</definedName>
    <definedName name="nc4.6" localSheetId="8">#REF!</definedName>
    <definedName name="nc4.6">#REF!</definedName>
    <definedName name="nc4.6I" localSheetId="8">#REF!</definedName>
    <definedName name="nc4.6I">#REF!</definedName>
    <definedName name="nc4.6II" localSheetId="8">#REF!</definedName>
    <definedName name="nc4.6II">#REF!</definedName>
    <definedName name="nc4.6III" localSheetId="8">#REF!</definedName>
    <definedName name="nc4.6III">#REF!</definedName>
    <definedName name="nc4.6IV" localSheetId="8">#REF!</definedName>
    <definedName name="nc4.6IV">#REF!</definedName>
    <definedName name="nc4.7" localSheetId="8">#REF!</definedName>
    <definedName name="nc4.7">#REF!</definedName>
    <definedName name="nc4.7I" localSheetId="8">#REF!</definedName>
    <definedName name="nc4.7I">#REF!</definedName>
    <definedName name="nc4.7II" localSheetId="8">#REF!</definedName>
    <definedName name="nc4.7II">#REF!</definedName>
    <definedName name="nc4.7III" localSheetId="8">#REF!</definedName>
    <definedName name="nc4.7III">#REF!</definedName>
    <definedName name="nc4.7IV" localSheetId="8">#REF!</definedName>
    <definedName name="nc4.7IV">#REF!</definedName>
    <definedName name="nc4.8" localSheetId="8">#REF!</definedName>
    <definedName name="nc4.8">#REF!</definedName>
    <definedName name="nc4.8I" localSheetId="8">#REF!</definedName>
    <definedName name="nc4.8I">#REF!</definedName>
    <definedName name="nc4.8II" localSheetId="8">#REF!</definedName>
    <definedName name="nc4.8II">#REF!</definedName>
    <definedName name="nc4.8III" localSheetId="8">#REF!</definedName>
    <definedName name="nc4.8III">#REF!</definedName>
    <definedName name="nc4.8IV" localSheetId="8">#REF!</definedName>
    <definedName name="nc4.8IV">#REF!</definedName>
    <definedName name="nc4.9" localSheetId="8">#REF!</definedName>
    <definedName name="nc4.9">#REF!</definedName>
    <definedName name="nc4.9I" localSheetId="8">#REF!</definedName>
    <definedName name="nc4.9I">#REF!</definedName>
    <definedName name="nc4.9II" localSheetId="8">#REF!</definedName>
    <definedName name="nc4.9II">#REF!</definedName>
    <definedName name="nc4.9III" localSheetId="8">#REF!</definedName>
    <definedName name="nc4.9III">#REF!</definedName>
    <definedName name="nc4.9IV" localSheetId="8">#REF!</definedName>
    <definedName name="nc4.9IV">#REF!</definedName>
    <definedName name="nc4I" localSheetId="8">#REF!</definedName>
    <definedName name="nc4I">#REF!</definedName>
    <definedName name="nc4II" localSheetId="8">#REF!</definedName>
    <definedName name="nc4II">#REF!</definedName>
    <definedName name="nc4III" localSheetId="8">#REF!</definedName>
    <definedName name="nc4III">#REF!</definedName>
    <definedName name="nc4IV" localSheetId="8">#REF!</definedName>
    <definedName name="nc4IV">#REF!</definedName>
    <definedName name="nc5.0" localSheetId="8">#REF!</definedName>
    <definedName name="nc5.0">#REF!</definedName>
    <definedName name="nc5.1" localSheetId="8">#REF!</definedName>
    <definedName name="nc5.1">#REF!</definedName>
    <definedName name="nc5.2" localSheetId="8">#REF!</definedName>
    <definedName name="nc5.2">#REF!</definedName>
    <definedName name="nc5.3" localSheetId="8">#REF!</definedName>
    <definedName name="nc5.3">#REF!</definedName>
    <definedName name="nc5.4" localSheetId="8">#REF!</definedName>
    <definedName name="nc5.4">#REF!</definedName>
    <definedName name="nc5.5" localSheetId="8">#REF!</definedName>
    <definedName name="nc5.5">#REF!</definedName>
    <definedName name="nc5.6" localSheetId="8">#REF!</definedName>
    <definedName name="nc5.6">#REF!</definedName>
    <definedName name="nc5.7" localSheetId="8">#REF!</definedName>
    <definedName name="nc5.7">#REF!</definedName>
    <definedName name="nc5.8" localSheetId="8">#REF!</definedName>
    <definedName name="nc5.8">#REF!</definedName>
    <definedName name="nc5.9" localSheetId="8">#REF!</definedName>
    <definedName name="nc5.9">#REF!</definedName>
    <definedName name="nc5I" localSheetId="8">#REF!</definedName>
    <definedName name="nc5I">#REF!</definedName>
    <definedName name="nc5II" localSheetId="8">#REF!</definedName>
    <definedName name="nc5II">#REF!</definedName>
    <definedName name="nc5III" localSheetId="8">#REF!</definedName>
    <definedName name="nc5III">#REF!</definedName>
    <definedName name="nc5IV" localSheetId="8">#REF!</definedName>
    <definedName name="nc5IV">#REF!</definedName>
    <definedName name="nc6.0" localSheetId="8">#REF!</definedName>
    <definedName name="nc6.0">#REF!</definedName>
    <definedName name="nc6.1" localSheetId="8">#REF!</definedName>
    <definedName name="nc6.1">#REF!</definedName>
    <definedName name="nc6.2" localSheetId="8">#REF!</definedName>
    <definedName name="nc6.2">#REF!</definedName>
    <definedName name="nc6.3" localSheetId="8">#REF!</definedName>
    <definedName name="nc6.3">#REF!</definedName>
    <definedName name="nc6.4" localSheetId="8">#REF!</definedName>
    <definedName name="nc6.4">#REF!</definedName>
    <definedName name="nc6.5" localSheetId="8">#REF!</definedName>
    <definedName name="nc6.5">#REF!</definedName>
    <definedName name="nc6.6" localSheetId="8">#REF!</definedName>
    <definedName name="nc6.6">#REF!</definedName>
    <definedName name="nc6.7" localSheetId="8">#REF!</definedName>
    <definedName name="nc6.7">#REF!</definedName>
    <definedName name="nc6.8" localSheetId="8">#REF!</definedName>
    <definedName name="nc6.8">#REF!</definedName>
    <definedName name="nc6.9" localSheetId="8">#REF!</definedName>
    <definedName name="nc6.9">#REF!</definedName>
    <definedName name="nc7.0" localSheetId="8">#REF!</definedName>
    <definedName name="nc7.0">#REF!</definedName>
    <definedName name="NCBD" localSheetId="8">#REF!</definedName>
    <definedName name="NCBD">#REF!</definedName>
    <definedName name="NCBD100" localSheetId="8">#REF!</definedName>
    <definedName name="NCBD100">#REF!</definedName>
    <definedName name="NCBD200" localSheetId="8">#REF!</definedName>
    <definedName name="NCBD200">#REF!</definedName>
    <definedName name="NCBD250" localSheetId="8">#REF!</definedName>
    <definedName name="NCBD250">#REF!</definedName>
    <definedName name="NCcap0.7" localSheetId="8">#REF!</definedName>
    <definedName name="NCcap0.7">#REF!</definedName>
    <definedName name="NCcap1" localSheetId="8">#REF!</definedName>
    <definedName name="NCcap1">#REF!</definedName>
    <definedName name="nccc2" localSheetId="8">#REF!</definedName>
    <definedName name="nccc2">#REF!</definedName>
    <definedName name="nccs" localSheetId="8">#REF!</definedName>
    <definedName name="nccs">#REF!</definedName>
    <definedName name="NCCT3p" localSheetId="8">#REF!</definedName>
    <definedName name="NCCT3p">#REF!</definedName>
    <definedName name="ncdd" localSheetId="8">#REF!</definedName>
    <definedName name="ncdd">#REF!</definedName>
    <definedName name="NCDD2" localSheetId="8">#REF!</definedName>
    <definedName name="NCDD2">#REF!</definedName>
    <definedName name="NCGF" localSheetId="8">#REF!</definedName>
    <definedName name="NCGF">#REF!</definedName>
    <definedName name="ncgff" localSheetId="8">#REF!</definedName>
    <definedName name="ncgff">#REF!</definedName>
    <definedName name="NCHC">#REF!</definedName>
    <definedName name="NCKT" localSheetId="8">#REF!</definedName>
    <definedName name="NCKT">#REF!</definedName>
    <definedName name="NCLD" localSheetId="8">#REF!</definedName>
    <definedName name="NCLD">#REF!</definedName>
    <definedName name="ncmt2" localSheetId="8">#REF!</definedName>
    <definedName name="ncmt2">#REF!</definedName>
    <definedName name="ncn" localSheetId="1" hidden="1">{0}</definedName>
    <definedName name="ncn" localSheetId="2" hidden="1">{0}</definedName>
    <definedName name="ncn" localSheetId="4" hidden="1">{0}</definedName>
    <definedName name="ncn" localSheetId="5" hidden="1">{0}</definedName>
    <definedName name="ncn" localSheetId="6" hidden="1">{0}</definedName>
    <definedName name="ncn" localSheetId="7" hidden="1">{0}</definedName>
    <definedName name="ncn" localSheetId="8" hidden="1">{0}</definedName>
    <definedName name="ncn" hidden="1">{0}</definedName>
    <definedName name="ncncn" localSheetId="1" hidden="1">{0}</definedName>
    <definedName name="ncncn" localSheetId="2" hidden="1">{0}</definedName>
    <definedName name="ncncn" localSheetId="4" hidden="1">{0}</definedName>
    <definedName name="ncncn" localSheetId="5" hidden="1">{0}</definedName>
    <definedName name="ncncn" localSheetId="6" hidden="1">{0}</definedName>
    <definedName name="ncncn" localSheetId="7" hidden="1">{0}</definedName>
    <definedName name="ncncn" localSheetId="8" hidden="1">{0}</definedName>
    <definedName name="ncncn" hidden="1">{0}</definedName>
    <definedName name="NCNCS">#REF!</definedName>
    <definedName name="Ncol" localSheetId="8">#REF!</definedName>
    <definedName name="Ncol">#REF!</definedName>
    <definedName name="ncong" localSheetId="8">#REF!</definedName>
    <definedName name="ncong">#REF!</definedName>
    <definedName name="NCPP" localSheetId="8">#REF!</definedName>
    <definedName name="NCPP">#REF!</definedName>
    <definedName name="ncsu">#REF!</definedName>
    <definedName name="nctn" localSheetId="8">#REF!</definedName>
    <definedName name="nctn">#REF!</definedName>
    <definedName name="nctr" localSheetId="8">#REF!</definedName>
    <definedName name="nctr">#REF!</definedName>
    <definedName name="nctram" localSheetId="8">#REF!</definedName>
    <definedName name="nctram">#REF!</definedName>
    <definedName name="NCVC" localSheetId="8">#REF!</definedName>
    <definedName name="NCVC">#REF!</definedName>
    <definedName name="NCVC_BD" localSheetId="8">#REF!</definedName>
    <definedName name="NCVC_BD">#REF!</definedName>
    <definedName name="NCVC100" localSheetId="8">#REF!</definedName>
    <definedName name="NCVC100">#REF!</definedName>
    <definedName name="NCVC200" localSheetId="8">#REF!</definedName>
    <definedName name="NCVC200">#REF!</definedName>
    <definedName name="NCVC250" localSheetId="8">#REF!</definedName>
    <definedName name="NCVC250">#REF!</definedName>
    <definedName name="NCVC3P" localSheetId="8">#REF!</definedName>
    <definedName name="NCVC3P">#REF!</definedName>
    <definedName name="nd">#REF!</definedName>
    <definedName name="nd_8" localSheetId="8">#REF!</definedName>
    <definedName name="nd_8">#REF!</definedName>
    <definedName name="nd_9" localSheetId="8">#REF!</definedName>
    <definedName name="nd_9">#REF!</definedName>
    <definedName name="ndat">#REF!</definedName>
    <definedName name="Ne" localSheetId="1" hidden="1">{"'Sheet1'!$L$16"}</definedName>
    <definedName name="Ne" localSheetId="2" hidden="1">{"'Sheet1'!$L$16"}</definedName>
    <definedName name="Ne" localSheetId="4" hidden="1">{"'Sheet1'!$L$16"}</definedName>
    <definedName name="Ne" localSheetId="5" hidden="1">{"'Sheet1'!$L$16"}</definedName>
    <definedName name="Ne" localSheetId="6" hidden="1">{"'Sheet1'!$L$16"}</definedName>
    <definedName name="Ne" localSheetId="7" hidden="1">{"'Sheet1'!$L$16"}</definedName>
    <definedName name="Ne" localSheetId="8" hidden="1">{"'Sheet1'!$L$16"}</definedName>
    <definedName name="Ne" hidden="1">{"'Sheet1'!$L$16"}</definedName>
    <definedName name="neff" localSheetId="8">#REF!</definedName>
    <definedName name="neff">#REF!</definedName>
    <definedName name="nen" localSheetId="8">#REF!</definedName>
    <definedName name="nen">#REF!</definedName>
    <definedName name="nenkhidau102" localSheetId="8">#REF!</definedName>
    <definedName name="nenkhidau102">#REF!</definedName>
    <definedName name="nenkhidau120" localSheetId="8">#REF!</definedName>
    <definedName name="nenkhidau120">#REF!</definedName>
    <definedName name="nenkhidau1200" localSheetId="8">#REF!</definedName>
    <definedName name="nenkhidau1200">#REF!</definedName>
    <definedName name="nenkhidau200" localSheetId="8">#REF!</definedName>
    <definedName name="nenkhidau200">#REF!</definedName>
    <definedName name="nenkhidau240" localSheetId="8">#REF!</definedName>
    <definedName name="nenkhidau240">#REF!</definedName>
    <definedName name="nenkhidau300" localSheetId="8">#REF!</definedName>
    <definedName name="nenkhidau300">#REF!</definedName>
    <definedName name="nenkhidau360" localSheetId="8">#REF!</definedName>
    <definedName name="nenkhidau360">#REF!</definedName>
    <definedName name="nenkhidau5.5" localSheetId="8">#REF!</definedName>
    <definedName name="nenkhidau5.5">#REF!</definedName>
    <definedName name="nenkhidau540" localSheetId="8">#REF!</definedName>
    <definedName name="nenkhidau540">#REF!</definedName>
    <definedName name="nenkhidau600" localSheetId="8">#REF!</definedName>
    <definedName name="nenkhidau600">#REF!</definedName>
    <definedName name="nenkhidau660" localSheetId="8">#REF!</definedName>
    <definedName name="nenkhidau660">#REF!</definedName>
    <definedName name="nenkhidau75" localSheetId="8">#REF!</definedName>
    <definedName name="nenkhidau75">#REF!</definedName>
    <definedName name="nenkhidien10" localSheetId="8">#REF!</definedName>
    <definedName name="nenkhidien10">#REF!</definedName>
    <definedName name="nenkhidien150" localSheetId="8">#REF!</definedName>
    <definedName name="nenkhidien150">#REF!</definedName>
    <definedName name="nenkhidien216" localSheetId="8">#REF!</definedName>
    <definedName name="nenkhidien216">#REF!</definedName>
    <definedName name="nenkhidien22" localSheetId="8">#REF!</definedName>
    <definedName name="nenkhidien22">#REF!</definedName>
    <definedName name="nenkhidien270" localSheetId="8">#REF!</definedName>
    <definedName name="nenkhidien270">#REF!</definedName>
    <definedName name="nenkhidien30" localSheetId="8">#REF!</definedName>
    <definedName name="nenkhidien30">#REF!</definedName>
    <definedName name="nenkhidien300" localSheetId="8">#REF!</definedName>
    <definedName name="nenkhidien300">#REF!</definedName>
    <definedName name="nenkhidien5" localSheetId="8">#REF!</definedName>
    <definedName name="nenkhidien5">#REF!</definedName>
    <definedName name="nenkhidien56" localSheetId="8">#REF!</definedName>
    <definedName name="nenkhidien56">#REF!</definedName>
    <definedName name="nenkhidien600" localSheetId="8">#REF!</definedName>
    <definedName name="nenkhidien600">#REF!</definedName>
    <definedName name="nenkhixang11" localSheetId="8">#REF!</definedName>
    <definedName name="nenkhixang11">#REF!</definedName>
    <definedName name="nenkhixang120" localSheetId="8">#REF!</definedName>
    <definedName name="nenkhixang120">#REF!</definedName>
    <definedName name="nenkhixang200" localSheetId="8">#REF!</definedName>
    <definedName name="nenkhixang200">#REF!</definedName>
    <definedName name="nenkhixang25" localSheetId="8">#REF!</definedName>
    <definedName name="nenkhixang25">#REF!</definedName>
    <definedName name="nenkhixang3" localSheetId="8">#REF!</definedName>
    <definedName name="nenkhixang3">#REF!</definedName>
    <definedName name="nenkhixang300" localSheetId="8">#REF!</definedName>
    <definedName name="nenkhixang300">#REF!</definedName>
    <definedName name="nenkhixang40" localSheetId="8">#REF!</definedName>
    <definedName name="nenkhixang40">#REF!</definedName>
    <definedName name="nenkhixang600" localSheetId="8">#REF!</definedName>
    <definedName name="nenkhixang600">#REF!</definedName>
    <definedName name="NET" localSheetId="8">#REF!</definedName>
    <definedName name="NET">#REF!</definedName>
    <definedName name="NET_1" localSheetId="8">#REF!</definedName>
    <definedName name="NET_1">#REF!</definedName>
    <definedName name="NET_ANA" localSheetId="8">#REF!</definedName>
    <definedName name="NET_ANA">#REF!</definedName>
    <definedName name="NET_ANA_1" localSheetId="8">#REF!</definedName>
    <definedName name="NET_ANA_1">#REF!</definedName>
    <definedName name="NET_ANA_2" localSheetId="8">#REF!</definedName>
    <definedName name="NET_ANA_2">#REF!</definedName>
    <definedName name="new">#REF!</definedName>
    <definedName name="New_L" localSheetId="8">#REF!</definedName>
    <definedName name="New_L">#REF!</definedName>
    <definedName name="NEWNAME" localSheetId="1" hidden="1">{#N/A,#N/A,FALSE,"CCTV"}</definedName>
    <definedName name="NEWNAME" localSheetId="2" hidden="1">{#N/A,#N/A,FALSE,"CCTV"}</definedName>
    <definedName name="NEWNAME" localSheetId="4" hidden="1">{#N/A,#N/A,FALSE,"CCTV"}</definedName>
    <definedName name="NEWNAME" localSheetId="5" hidden="1">{#N/A,#N/A,FALSE,"CCTV"}</definedName>
    <definedName name="NEWNAME" localSheetId="6" hidden="1">{#N/A,#N/A,FALSE,"CCTV"}</definedName>
    <definedName name="NEWNAME" localSheetId="7" hidden="1">{#N/A,#N/A,FALSE,"CCTV"}</definedName>
    <definedName name="NEWNAME" localSheetId="8" hidden="1">{#N/A,#N/A,FALSE,"CCTV"}</definedName>
    <definedName name="NEWNAME" hidden="1">{#N/A,#N/A,FALSE,"CCTV"}</definedName>
    <definedName name="NewPOS" localSheetId="8">#REF!</definedName>
    <definedName name="NewPOS">#REF!</definedName>
    <definedName name="NEXT" localSheetId="8">#REF!</definedName>
    <definedName name="NEXT">#REF!</definedName>
    <definedName name="ng" localSheetId="8">#REF!</definedName>
    <definedName name="ng">#REF!</definedName>
    <definedName name="ng1." localSheetId="8">#REF!</definedName>
    <definedName name="ng1.">#REF!</definedName>
    <definedName name="ng2." localSheetId="8">#REF!</definedName>
    <definedName name="ng2.">#REF!</definedName>
    <definedName name="ngang_BB">#REF!</definedName>
    <definedName name="NGANHANG" localSheetId="8">OFFSET(#REF!,COUNTIF(#REF!,"&lt;&gt;0")-1,0,1)</definedName>
    <definedName name="NGANHANG">OFFSET(#REF!,COUNTIF(#REF!,"&lt;&gt;0")-1,0,1)</definedName>
    <definedName name="NGAØY" localSheetId="8">#REF!</definedName>
    <definedName name="NGAØY">#REF!</definedName>
    <definedName name="ngau" localSheetId="8">#REF!</definedName>
    <definedName name="ngau">#REF!</definedName>
    <definedName name="Ngay" localSheetId="8">IF(#REF!=0,VLOOKUP(#REF!,#REF!,4,FALSE),IF(N(ISERROR(VLOOKUP(#REF!,#REF!,3,FALSE)))&lt;&gt;1,VLOOKUP(#REF!,#REF!,3,FALSE),"-"))</definedName>
    <definedName name="Ngay">IF(#REF!=0,VLOOKUP(#REF!,#REF!,4,FALSE),IF(N(ISERROR(VLOOKUP(#REF!,#REF!,3,FALSE)))&lt;&gt;1,VLOOKUP(#REF!,#REF!,3,FALSE),"-"))</definedName>
    <definedName name="nghi_bq" localSheetId="8">#REF!</definedName>
    <definedName name="nghi_bq">#REF!</definedName>
    <definedName name="nghi_bv" localSheetId="8">#REF!</definedName>
    <definedName name="nghi_bv">#REF!</definedName>
    <definedName name="nghi_ck" localSheetId="8">#REF!</definedName>
    <definedName name="nghi_ck">#REF!</definedName>
    <definedName name="nghi_d1" localSheetId="8">#REF!</definedName>
    <definedName name="nghi_d1">#REF!</definedName>
    <definedName name="nghi_d2" localSheetId="8">#REF!</definedName>
    <definedName name="nghi_d2">#REF!</definedName>
    <definedName name="nghi_d3" localSheetId="8">#REF!</definedName>
    <definedName name="nghi_d3">#REF!</definedName>
    <definedName name="nghi_dl" localSheetId="8">#REF!</definedName>
    <definedName name="nghi_dl">#REF!</definedName>
    <definedName name="nghi_kcs" localSheetId="8">#REF!</definedName>
    <definedName name="nghi_kcs">#REF!</definedName>
    <definedName name="nghi_nb" localSheetId="8">#REF!</definedName>
    <definedName name="nghi_nb">#REF!</definedName>
    <definedName name="nghi_ngio" localSheetId="8">#REF!</definedName>
    <definedName name="nghi_ngio">#REF!</definedName>
    <definedName name="nghi_nv" localSheetId="8">#REF!</definedName>
    <definedName name="nghi_nv">#REF!</definedName>
    <definedName name="nghi_t3" localSheetId="8">#REF!</definedName>
    <definedName name="nghi_t3">#REF!</definedName>
    <definedName name="nghi_t4" localSheetId="8">#REF!</definedName>
    <definedName name="nghi_t4">#REF!</definedName>
    <definedName name="nghi_t5" localSheetId="8">#REF!</definedName>
    <definedName name="nghi_t5">#REF!</definedName>
    <definedName name="nghi_t6" localSheetId="8">#REF!</definedName>
    <definedName name="nghi_t6">#REF!</definedName>
    <definedName name="nghi_tc" localSheetId="8">#REF!</definedName>
    <definedName name="nghi_tc">#REF!</definedName>
    <definedName name="nghi_tm" localSheetId="8">#REF!</definedName>
    <definedName name="nghi_tm">#REF!</definedName>
    <definedName name="nghi_vs" localSheetId="8">#REF!</definedName>
    <definedName name="nghi_vs">#REF!</definedName>
    <definedName name="nghi_xh" localSheetId="8">#REF!</definedName>
    <definedName name="nghi_xh">#REF!</definedName>
    <definedName name="NGHIEMTHUCOTTHEP" localSheetId="1" hidden="1">{"'Sheet1'!$L$16"}</definedName>
    <definedName name="NGHIEMTHUCOTTHEP" localSheetId="2" hidden="1">{"'Sheet1'!$L$16"}</definedName>
    <definedName name="NGHIEMTHUCOTTHEP" localSheetId="4" hidden="1">{"'Sheet1'!$L$16"}</definedName>
    <definedName name="NGHIEMTHUCOTTHEP" localSheetId="5" hidden="1">{"'Sheet1'!$L$16"}</definedName>
    <definedName name="NGHIEMTHUCOTTHEP" localSheetId="6" hidden="1">{"'Sheet1'!$L$16"}</definedName>
    <definedName name="NGHIEMTHUCOTTHEP" localSheetId="7" hidden="1">{"'Sheet1'!$L$16"}</definedName>
    <definedName name="NGHIEMTHUCOTTHEP" localSheetId="8" hidden="1">{"'Sheet1'!$L$16"}</definedName>
    <definedName name="NGHIEMTHUCOTTHEP" hidden="1">{"'Sheet1'!$L$16"}</definedName>
    <definedName name="nght" localSheetId="8">#REF!</definedName>
    <definedName name="nght">#REF!</definedName>
    <definedName name="ngu" localSheetId="1" hidden="1">{"'Sheet1'!$L$16"}</definedName>
    <definedName name="ngu" localSheetId="2" hidden="1">{"'Sheet1'!$L$16"}</definedName>
    <definedName name="ngu" localSheetId="3" hidden="1">{"'Sheet1'!$L$16"}</definedName>
    <definedName name="ngu" localSheetId="4" hidden="1">{"'Sheet1'!$L$16"}</definedName>
    <definedName name="ngu" localSheetId="5" hidden="1">{"'Sheet1'!$L$16"}</definedName>
    <definedName name="ngu" localSheetId="6" hidden="1">{"'Sheet1'!$L$16"}</definedName>
    <definedName name="ngu" localSheetId="7" hidden="1">{"'Sheet1'!$L$16"}</definedName>
    <definedName name="ngu" localSheetId="8" hidden="1">{"'Sheet1'!$L$16"}</definedName>
    <definedName name="ngu" hidden="1">{"'Sheet1'!$L$16"}</definedName>
    <definedName name="nguoi">#REF!</definedName>
    <definedName name="NH" localSheetId="8">#REF!</definedName>
    <definedName name="NH">#REF!</definedName>
    <definedName name="Nh_n_cáng" localSheetId="8">#REF!</definedName>
    <definedName name="Nh_n_cáng">#REF!</definedName>
    <definedName name="Nha" localSheetId="8">#REF!</definedName>
    <definedName name="Nha">#REF!</definedName>
    <definedName name="nham" localSheetId="1" hidden="1">{0,#VALUE!,0,0;0,#VALUE!,0,#VALUE!;0,0,0,0;#NULL!,0,0,0;0,0,TRUE,0;0,#N/A,FALSE,0;0,#N/A,FALSE,0}</definedName>
    <definedName name="nham" localSheetId="2" hidden="1">{0,#VALUE!,0,0;0,#VALUE!,0,#VALUE!;0,0,0,0;#NULL!,0,0,0;0,0,TRUE,0;0,#N/A,FALSE,0;0,#N/A,FALSE,0}</definedName>
    <definedName name="nham" localSheetId="4" hidden="1">{0,#VALUE!,0,0;0,#VALUE!,0,#VALUE!;0,0,0,0;#NULL!,0,0,0;0,0,TRUE,0;0,#N/A,FALSE,0;0,#N/A,FALSE,0}</definedName>
    <definedName name="nham" localSheetId="5" hidden="1">{0,#VALUE!,0,0;0,#VALUE!,0,#VALUE!;0,0,0,0;#NULL!,0,0,0;0,0,TRUE,0;0,#N/A,FALSE,0;0,#N/A,FALSE,0}</definedName>
    <definedName name="nham" localSheetId="6" hidden="1">{0,#VALUE!,0,0;0,#VALUE!,0,#VALUE!;0,0,0,0;#NULL!,0,0,0;0,0,TRUE,0;0,#N/A,FALSE,0;0,#N/A,FALSE,0}</definedName>
    <definedName name="nham" localSheetId="7" hidden="1">{0,#VALUE!,0,0;0,#VALUE!,0,#VALUE!;0,0,0,0;#NULL!,0,0,0;0,0,TRUE,0;0,#N/A,FALSE,0;0,#N/A,FALSE,0}</definedName>
    <definedName name="nham" localSheetId="8" hidden="1">{0,#VALUE!,0,0;0,#VALUE!,0,#VALUE!;0,0,0,0;#NULL!,0,0,0;0,0,TRUE,0;0,#N/A,FALSE,0;0,#N/A,FALSE,0}</definedName>
    <definedName name="nham" hidden="1">{0,#VALUE!,0,0;0,#VALUE!,0,#VALUE!;0,0,0,0;#NULL!,0,0,0;0,0,TRUE,0;0,#N/A,FALSE,0;0,#N/A,FALSE,0}</definedName>
    <definedName name="nhan" localSheetId="8">#REF!</definedName>
    <definedName name="nhan">#REF!</definedName>
    <definedName name="nhatky" localSheetId="8">#REF!</definedName>
    <definedName name="nhatky">#REF!</definedName>
    <definedName name="nhfffd" localSheetId="8">{"DZ-TDTB2.XLS","Dcksat.xls"}</definedName>
    <definedName name="nhfffd">{"DZ-TDTB2.XLS","Dcksat.xls"}</definedName>
    <definedName name="nhn" localSheetId="8">#REF!</definedName>
    <definedName name="nhn">#REF!</definedName>
    <definedName name="nhnnc" localSheetId="8">#REF!</definedName>
    <definedName name="nhnnc">#REF!</definedName>
    <definedName name="nhnvl" localSheetId="8">#REF!</definedName>
    <definedName name="nhnvl">#REF!</definedName>
    <definedName name="nhom" localSheetId="8">#REF!</definedName>
    <definedName name="nhom">#REF!</definedName>
    <definedName name="NHot" localSheetId="8">#REF!</definedName>
    <definedName name="NHot">#REF!</definedName>
    <definedName name="nhu" localSheetId="8">#REF!</definedName>
    <definedName name="nhu">#REF!</definedName>
    <definedName name="nhua" localSheetId="8">#REF!</definedName>
    <definedName name="nhua">#REF!</definedName>
    <definedName name="nhuad" localSheetId="8">#REF!</definedName>
    <definedName name="nhuad">#REF!</definedName>
    <definedName name="Nhuadan">#REF!</definedName>
    <definedName name="nhuaduong">#REF!</definedName>
    <definedName name="nig" localSheetId="8">#REF!</definedName>
    <definedName name="nig">#REF!</definedName>
    <definedName name="NIG13p">#REF!</definedName>
    <definedName name="nig1p" localSheetId="8">#REF!</definedName>
    <definedName name="nig1p">#REF!</definedName>
    <definedName name="nig3p" localSheetId="8">#REF!</definedName>
    <definedName name="nig3p">#REF!</definedName>
    <definedName name="night">#REF!</definedName>
    <definedName name="night.">#REF!</definedName>
    <definedName name="nightnc" localSheetId="8">#REF!</definedName>
    <definedName name="nightnc">#REF!</definedName>
    <definedName name="nightvl" localSheetId="8">#REF!</definedName>
    <definedName name="nightvl">#REF!</definedName>
    <definedName name="NIGnc" localSheetId="8">#REF!</definedName>
    <definedName name="NIGnc">#REF!</definedName>
    <definedName name="nignc1p" localSheetId="8">#REF!</definedName>
    <definedName name="nignc1p">#REF!</definedName>
    <definedName name="nignc3p">#REF!</definedName>
    <definedName name="NIGvc" localSheetId="8">#REF!</definedName>
    <definedName name="NIGvc">#REF!</definedName>
    <definedName name="NIGvl" localSheetId="8">#REF!</definedName>
    <definedName name="NIGvl">#REF!</definedName>
    <definedName name="nigvl1p" localSheetId="8">#REF!</definedName>
    <definedName name="nigvl1p">#REF!</definedName>
    <definedName name="nigvl3p">#REF!</definedName>
    <definedName name="nin" localSheetId="8">#REF!</definedName>
    <definedName name="nin">#REF!</definedName>
    <definedName name="nin14nc3p" localSheetId="8">#REF!</definedName>
    <definedName name="nin14nc3p">#REF!</definedName>
    <definedName name="nin14vl3p" localSheetId="8">#REF!</definedName>
    <definedName name="nin14vl3p">#REF!</definedName>
    <definedName name="nin1903p" localSheetId="8">#REF!</definedName>
    <definedName name="nin1903p">#REF!</definedName>
    <definedName name="nin190nc" localSheetId="8">#REF!</definedName>
    <definedName name="nin190nc">#REF!</definedName>
    <definedName name="nin190nc3p" localSheetId="8">#REF!</definedName>
    <definedName name="nin190nc3p">#REF!</definedName>
    <definedName name="nin190vl" localSheetId="8">#REF!</definedName>
    <definedName name="nin190vl">#REF!</definedName>
    <definedName name="nin190vl3p" localSheetId="8">#REF!</definedName>
    <definedName name="nin190vl3p">#REF!</definedName>
    <definedName name="nin1pnc" localSheetId="8">#REF!</definedName>
    <definedName name="nin1pnc">#REF!</definedName>
    <definedName name="nin1pvl" localSheetId="8">#REF!</definedName>
    <definedName name="nin1pvl">#REF!</definedName>
    <definedName name="nin2903p" localSheetId="8">#REF!</definedName>
    <definedName name="nin2903p">#REF!</definedName>
    <definedName name="nin290nc3p" localSheetId="8">#REF!</definedName>
    <definedName name="nin290nc3p">#REF!</definedName>
    <definedName name="nin290vl3p" localSheetId="8">#REF!</definedName>
    <definedName name="nin290vl3p">#REF!</definedName>
    <definedName name="nin3p" localSheetId="8">#REF!</definedName>
    <definedName name="nin3p">#REF!</definedName>
    <definedName name="nind" localSheetId="8">#REF!</definedName>
    <definedName name="nind">#REF!</definedName>
    <definedName name="nind1p" localSheetId="8">#REF!</definedName>
    <definedName name="nind1p">#REF!</definedName>
    <definedName name="nind3p" localSheetId="8">#REF!</definedName>
    <definedName name="nind3p">#REF!</definedName>
    <definedName name="nindnc" localSheetId="8">#REF!</definedName>
    <definedName name="nindnc">#REF!</definedName>
    <definedName name="nindnc1p" localSheetId="8">#REF!</definedName>
    <definedName name="nindnc1p">#REF!</definedName>
    <definedName name="nindnc3p" localSheetId="8">#REF!</definedName>
    <definedName name="nindnc3p">#REF!</definedName>
    <definedName name="NINDvc" localSheetId="8">#REF!</definedName>
    <definedName name="NINDvc">#REF!</definedName>
    <definedName name="nindvl" localSheetId="8">#REF!</definedName>
    <definedName name="nindvl">#REF!</definedName>
    <definedName name="nindvl1p" localSheetId="8">#REF!</definedName>
    <definedName name="nindvl1p">#REF!</definedName>
    <definedName name="nindvl3p" localSheetId="8">#REF!</definedName>
    <definedName name="nindvl3p">#REF!</definedName>
    <definedName name="Ninety_Fr">#REF!</definedName>
    <definedName name="Ninety_To">#REF!</definedName>
    <definedName name="ning1p" localSheetId="8">#REF!</definedName>
    <definedName name="ning1p">#REF!</definedName>
    <definedName name="ningnc1p" localSheetId="8">#REF!</definedName>
    <definedName name="ningnc1p">#REF!</definedName>
    <definedName name="ningvl1p" localSheetId="8">#REF!</definedName>
    <definedName name="ningvl1p">#REF!</definedName>
    <definedName name="NinhBinh_Nhoquan110" localSheetId="8">#REF!</definedName>
    <definedName name="NinhBinh_Nhoquan110">#REF!</definedName>
    <definedName name="ninnc" localSheetId="8">#REF!</definedName>
    <definedName name="ninnc">#REF!</definedName>
    <definedName name="ninnc3p" localSheetId="8">#REF!</definedName>
    <definedName name="ninnc3p">#REF!</definedName>
    <definedName name="nint1p" localSheetId="8">#REF!</definedName>
    <definedName name="nint1p">#REF!</definedName>
    <definedName name="nintnc1p" localSheetId="8">#REF!</definedName>
    <definedName name="nintnc1p">#REF!</definedName>
    <definedName name="nintvl1p" localSheetId="8">#REF!</definedName>
    <definedName name="nintvl1p">#REF!</definedName>
    <definedName name="NINvc" localSheetId="8">#REF!</definedName>
    <definedName name="NINvc">#REF!</definedName>
    <definedName name="ninvl" localSheetId="8">#REF!</definedName>
    <definedName name="ninvl">#REF!</definedName>
    <definedName name="ninvl3p" localSheetId="8">#REF!</definedName>
    <definedName name="ninvl3p">#REF!</definedName>
    <definedName name="nl" localSheetId="8">#REF!</definedName>
    <definedName name="nl">#REF!</definedName>
    <definedName name="NL12nc" localSheetId="8">#REF!</definedName>
    <definedName name="NL12nc">#REF!</definedName>
    <definedName name="NL12vl" localSheetId="8">#REF!</definedName>
    <definedName name="NL12vl">#REF!</definedName>
    <definedName name="nl1p" localSheetId="8">#REF!</definedName>
    <definedName name="nl1p">#REF!</definedName>
    <definedName name="nl3p" localSheetId="8">#REF!</definedName>
    <definedName name="nl3p">#REF!</definedName>
    <definedName name="nlht" localSheetId="8">#REF!</definedName>
    <definedName name="nlht">#REF!</definedName>
    <definedName name="nlmtc" localSheetId="8">#REF!</definedName>
    <definedName name="nlmtc">#REF!</definedName>
    <definedName name="nlnc" localSheetId="8">#REF!</definedName>
    <definedName name="nlnc">#REF!</definedName>
    <definedName name="nlnc3p" localSheetId="8">#REF!</definedName>
    <definedName name="nlnc3p">#REF!</definedName>
    <definedName name="nlnc3pha" localSheetId="8">#REF!</definedName>
    <definedName name="nlnc3pha">#REF!</definedName>
    <definedName name="NLTK1p" localSheetId="8">#REF!</definedName>
    <definedName name="NLTK1p">#REF!</definedName>
    <definedName name="nlvl" localSheetId="8">#REF!</definedName>
    <definedName name="nlvl">#REF!</definedName>
    <definedName name="nlvl1">#REF!</definedName>
    <definedName name="nlvl3p" localSheetId="8">#REF!</definedName>
    <definedName name="nlvl3p">#REF!</definedName>
    <definedName name="nm" localSheetId="8">#REF!</definedName>
    <definedName name="nm">#REF!</definedName>
    <definedName name="nmo">#REF!</definedName>
    <definedName name="Nms" localSheetId="8">#REF!</definedName>
    <definedName name="Nms">#REF!</definedName>
    <definedName name="nn" localSheetId="8">#REF!</definedName>
    <definedName name="nn">#REF!</definedName>
    <definedName name="nn1p" localSheetId="8">#REF!</definedName>
    <definedName name="nn1p">#REF!</definedName>
    <definedName name="nn3p" localSheetId="8">#REF!</definedName>
    <definedName name="nn3p">#REF!</definedName>
    <definedName name="nng" localSheetId="8">#REF!</definedName>
    <definedName name="nng">#REF!</definedName>
    <definedName name="nnguoi">#REF!</definedName>
    <definedName name="nnn" localSheetId="1" hidden="1">{"'Sheet1'!$L$16"}</definedName>
    <definedName name="nnn" localSheetId="2" hidden="1">{"'Sheet1'!$L$16"}</definedName>
    <definedName name="nnn" localSheetId="4" hidden="1">{"'Sheet1'!$L$16"}</definedName>
    <definedName name="nnn" localSheetId="5" hidden="1">{"'Sheet1'!$L$16"}</definedName>
    <definedName name="nnn" localSheetId="6" hidden="1">{"'Sheet1'!$L$16"}</definedName>
    <definedName name="nnn" localSheetId="7" hidden="1">{"'Sheet1'!$L$16"}</definedName>
    <definedName name="nnn" localSheetId="8" hidden="1">{"'Sheet1'!$L$16"}</definedName>
    <definedName name="nnn" hidden="1">{"'Sheet1'!$L$16"}</definedName>
    <definedName name="nnnc" localSheetId="8">#REF!</definedName>
    <definedName name="nnnc">#REF!</definedName>
    <definedName name="nnnc3p" localSheetId="8">#REF!</definedName>
    <definedName name="nnnc3p">#REF!</definedName>
    <definedName name="nnvl" localSheetId="8">#REF!</definedName>
    <definedName name="nnvl">#REF!</definedName>
    <definedName name="nnvl3p" localSheetId="8">#REF!</definedName>
    <definedName name="nnvl3p">#REF!</definedName>
    <definedName name="No">#REF!</definedName>
    <definedName name="Noidung" localSheetId="8">#REF!</definedName>
    <definedName name="Noidung">#REF!</definedName>
    <definedName name="nominal_shear" localSheetId="8">#REF!</definedName>
    <definedName name="nominal_shear">#REF!</definedName>
    <definedName name="Notes" localSheetId="8">#REF!</definedName>
    <definedName name="Notes">#REF!</definedName>
    <definedName name="Np" localSheetId="8">#REF!</definedName>
    <definedName name="Np">#REF!</definedName>
    <definedName name="npr" localSheetId="8">#REF!</definedName>
    <definedName name="npr">#REF!</definedName>
    <definedName name="nps" localSheetId="8">#REF!</definedName>
    <definedName name="nps">#REF!</definedName>
    <definedName name="Nq" localSheetId="8">#REF!</definedName>
    <definedName name="Nq">#REF!</definedName>
    <definedName name="NR" localSheetId="8">#REF!</definedName>
    <definedName name="NR">#REF!</definedName>
    <definedName name="ns">#REF!</definedName>
    <definedName name="ns.">#REF!</definedName>
    <definedName name="ns..">#REF!</definedName>
    <definedName name="nsc" localSheetId="8">#REF!</definedName>
    <definedName name="nsc">#REF!</definedName>
    <definedName name="nsk" localSheetId="8">#REF!</definedName>
    <definedName name="nsk">#REF!</definedName>
    <definedName name="nstrand">#REF!</definedName>
    <definedName name="NT" localSheetId="8">#REF!</definedName>
    <definedName name="NT">#REF!</definedName>
    <definedName name="NToS" localSheetId="8">#REF!</definedName>
    <definedName name="NToS">#REF!</definedName>
    <definedName name="nuoc">#REF!</definedName>
    <definedName name="NUOCHKHOAN" localSheetId="1" hidden="1">{"'Sheet1'!$L$16"}</definedName>
    <definedName name="NUOCHKHOAN" localSheetId="2" hidden="1">{"'Sheet1'!$L$16"}</definedName>
    <definedName name="NUOCHKHOAN" localSheetId="3" hidden="1">{"'Sheet1'!$L$16"}</definedName>
    <definedName name="NUOCHKHOAN" localSheetId="4" hidden="1">{"'Sheet1'!$L$16"}</definedName>
    <definedName name="NUOCHKHOAN" localSheetId="5" hidden="1">{"'Sheet1'!$L$16"}</definedName>
    <definedName name="NUOCHKHOAN" localSheetId="6" hidden="1">{"'Sheet1'!$L$16"}</definedName>
    <definedName name="NUOCHKHOAN" localSheetId="7" hidden="1">{"'Sheet1'!$L$16"}</definedName>
    <definedName name="NUOCHKHOAN" localSheetId="8" hidden="1">{"'Sheet1'!$L$16"}</definedName>
    <definedName name="NUOCHKHOAN" hidden="1">{"'Sheet1'!$L$16"}</definedName>
    <definedName name="NUOCHKHOANMOI" localSheetId="1" hidden="1">{"'Sheet1'!$L$16"}</definedName>
    <definedName name="NUOCHKHOANMOI" localSheetId="2" hidden="1">{"'Sheet1'!$L$16"}</definedName>
    <definedName name="NUOCHKHOANMOI" localSheetId="3" hidden="1">{"'Sheet1'!$L$16"}</definedName>
    <definedName name="NUOCHKHOANMOI" localSheetId="4" hidden="1">{"'Sheet1'!$L$16"}</definedName>
    <definedName name="NUOCHKHOANMOI" localSheetId="5" hidden="1">{"'Sheet1'!$L$16"}</definedName>
    <definedName name="NUOCHKHOANMOI" localSheetId="6" hidden="1">{"'Sheet1'!$L$16"}</definedName>
    <definedName name="NUOCHKHOANMOI" localSheetId="7" hidden="1">{"'Sheet1'!$L$16"}</definedName>
    <definedName name="NUOCHKHOANMOI" localSheetId="8" hidden="1">{"'Sheet1'!$L$16"}</definedName>
    <definedName name="NUOCHKHOANMOI" hidden="1">{"'Sheet1'!$L$16"}</definedName>
    <definedName name="Nuoclanh" localSheetId="8">#REF!</definedName>
    <definedName name="Nuoclanh">#REF!</definedName>
    <definedName name="nuocngung" localSheetId="8">#REF!</definedName>
    <definedName name="nuocngung">#REF!</definedName>
    <definedName name="nuy" localSheetId="8">#REF!</definedName>
    <definedName name="nuy">#REF!</definedName>
    <definedName name="nv" localSheetId="8">#REF!</definedName>
    <definedName name="nv">#REF!</definedName>
    <definedName name="nvncvnvnm" localSheetId="1" hidden="1">{0}</definedName>
    <definedName name="nvncvnvnm" localSheetId="2" hidden="1">{0}</definedName>
    <definedName name="nvncvnvnm" localSheetId="4" hidden="1">{0}</definedName>
    <definedName name="nvncvnvnm" localSheetId="5" hidden="1">{0}</definedName>
    <definedName name="nvncvnvnm" localSheetId="6" hidden="1">{0}</definedName>
    <definedName name="nvncvnvnm" localSheetId="7" hidden="1">{0}</definedName>
    <definedName name="nvncvnvnm" localSheetId="8" hidden="1">{0}</definedName>
    <definedName name="nvncvnvnm" hidden="1">{0}</definedName>
    <definedName name="nvnvmvm" localSheetId="1" hidden="1">{0}</definedName>
    <definedName name="nvnvmvm" localSheetId="2" hidden="1">{0}</definedName>
    <definedName name="nvnvmvm" localSheetId="4" hidden="1">{0}</definedName>
    <definedName name="nvnvmvm" localSheetId="5" hidden="1">{0}</definedName>
    <definedName name="nvnvmvm" localSheetId="6" hidden="1">{0}</definedName>
    <definedName name="nvnvmvm" localSheetId="7" hidden="1">{0}</definedName>
    <definedName name="nvnvmvm" localSheetId="8" hidden="1">{0}</definedName>
    <definedName name="nvnvmvm" hidden="1">{0}</definedName>
    <definedName name="nw" localSheetId="8">#REF!</definedName>
    <definedName name="nw">#REF!</definedName>
    <definedName name="nx" localSheetId="8">#REF!</definedName>
    <definedName name="nx">#REF!</definedName>
    <definedName name="nxmtc" localSheetId="8">#REF!</definedName>
    <definedName name="nxmtc">#REF!</definedName>
    <definedName name="o" localSheetId="8">#REF!</definedName>
    <definedName name="o">#REF!</definedName>
    <definedName name="O_M" localSheetId="8">#REF!</definedName>
    <definedName name="O_M">#REF!</definedName>
    <definedName name="o_n_phÝ_1__thu_nhËp_th_ng" localSheetId="8">#REF!</definedName>
    <definedName name="o_n_phÝ_1__thu_nhËp_th_ng">#REF!</definedName>
    <definedName name="Ö135" localSheetId="8">#REF!</definedName>
    <definedName name="Ö135">#REF!</definedName>
    <definedName name="OD" localSheetId="8">#REF!</definedName>
    <definedName name="OD">#REF!</definedName>
    <definedName name="ODC" localSheetId="8">#REF!</definedName>
    <definedName name="ODC">#REF!</definedName>
    <definedName name="ODS" localSheetId="8">#REF!</definedName>
    <definedName name="ODS">#REF!</definedName>
    <definedName name="ODU" localSheetId="8">#REF!</definedName>
    <definedName name="ODU">#REF!</definedName>
    <definedName name="OE" localSheetId="8">#REF!</definedName>
    <definedName name="OE">#REF!</definedName>
    <definedName name="ol">#REF!</definedName>
    <definedName name="OM" localSheetId="8">#REF!</definedName>
    <definedName name="OM">#REF!</definedName>
    <definedName name="OMC" localSheetId="8">#REF!</definedName>
    <definedName name="OMC">#REF!</definedName>
    <definedName name="OME" localSheetId="8">#REF!</definedName>
    <definedName name="OME">#REF!</definedName>
    <definedName name="OMW" localSheetId="8">#REF!</definedName>
    <definedName name="OMW">#REF!</definedName>
    <definedName name="OneTwenty_Fr">#REF!</definedName>
    <definedName name="OneTwenty_To">#REF!</definedName>
    <definedName name="ong" localSheetId="8">#REF!</definedName>
    <definedName name="ong">#REF!</definedName>
    <definedName name="ong_cong_duc_san" localSheetId="8">#REF!</definedName>
    <definedName name="ong_cong_duc_san">#REF!</definedName>
    <definedName name="Ong_cong_hinh_hop_do_tai_cho" localSheetId="8">#REF!</definedName>
    <definedName name="Ong_cong_hinh_hop_do_tai_cho">#REF!</definedName>
    <definedName name="OOM" localSheetId="8">#REF!</definedName>
    <definedName name="OOM">#REF!</definedName>
    <definedName name="ophom" localSheetId="8">#REF!</definedName>
    <definedName name="ophom">#REF!</definedName>
    <definedName name="ORD" localSheetId="8">#REF!</definedName>
    <definedName name="ORD">#REF!</definedName>
    <definedName name="OrderTable" localSheetId="3" hidden="1">#REF!</definedName>
    <definedName name="OrderTable" localSheetId="4" hidden="1">#REF!</definedName>
    <definedName name="OrderTable" localSheetId="5" hidden="1">#REF!</definedName>
    <definedName name="OrderTable" localSheetId="6" hidden="1">#REF!</definedName>
    <definedName name="OrderTable" localSheetId="7" hidden="1">#REF!</definedName>
    <definedName name="OrderTable" localSheetId="8" hidden="1">#REF!</definedName>
    <definedName name="OrderTable" hidden="1">#REF!</definedName>
    <definedName name="ORF" localSheetId="8">#REF!</definedName>
    <definedName name="ORF">#REF!</definedName>
    <definedName name="osc" localSheetId="8">#REF!</definedName>
    <definedName name="osc">#REF!</definedName>
    <definedName name="OTHER_PANEL" localSheetId="8">#REF!</definedName>
    <definedName name="OTHER_PANEL">#REF!</definedName>
    <definedName name="OtherWork" localSheetId="8">#REF!</definedName>
    <definedName name="OtherWork">#REF!</definedName>
    <definedName name="oto">#REF!</definedName>
    <definedName name="otothung10" localSheetId="8">#REF!</definedName>
    <definedName name="otothung10">#REF!</definedName>
    <definedName name="otothung12" localSheetId="8">#REF!</definedName>
    <definedName name="otothung12">#REF!</definedName>
    <definedName name="otothung12.5" localSheetId="8">#REF!</definedName>
    <definedName name="otothung12.5">#REF!</definedName>
    <definedName name="otothung2" localSheetId="8">#REF!</definedName>
    <definedName name="otothung2">#REF!</definedName>
    <definedName name="otothung2.5" localSheetId="8">#REF!</definedName>
    <definedName name="otothung2.5">#REF!</definedName>
    <definedName name="otothung20" localSheetId="8">#REF!</definedName>
    <definedName name="otothung20">#REF!</definedName>
    <definedName name="otothung4" localSheetId="8">#REF!</definedName>
    <definedName name="otothung4">#REF!</definedName>
    <definedName name="otothung5" localSheetId="8">#REF!</definedName>
    <definedName name="otothung5">#REF!</definedName>
    <definedName name="otothung6" localSheetId="8">#REF!</definedName>
    <definedName name="otothung6">#REF!</definedName>
    <definedName name="otothung7" localSheetId="8">#REF!</definedName>
    <definedName name="otothung7">#REF!</definedName>
    <definedName name="ototudo10" localSheetId="8">#REF!</definedName>
    <definedName name="ototudo10">#REF!</definedName>
    <definedName name="ototudo12" localSheetId="8">#REF!</definedName>
    <definedName name="ototudo12">#REF!</definedName>
    <definedName name="ototudo15" localSheetId="8">#REF!</definedName>
    <definedName name="ototudo15">#REF!</definedName>
    <definedName name="ototudo2.5" localSheetId="8">#REF!</definedName>
    <definedName name="ototudo2.5">#REF!</definedName>
    <definedName name="ototudo20" localSheetId="8">#REF!</definedName>
    <definedName name="ototudo20">#REF!</definedName>
    <definedName name="ototudo25" localSheetId="8">#REF!</definedName>
    <definedName name="ototudo25">#REF!</definedName>
    <definedName name="ototudo27" localSheetId="8">#REF!</definedName>
    <definedName name="ototudo27">#REF!</definedName>
    <definedName name="ototudo3.5" localSheetId="8">#REF!</definedName>
    <definedName name="ototudo3.5">#REF!</definedName>
    <definedName name="ototudo4" localSheetId="8">#REF!</definedName>
    <definedName name="ototudo4">#REF!</definedName>
    <definedName name="ototudo5" localSheetId="8">#REF!</definedName>
    <definedName name="ototudo5">#REF!</definedName>
    <definedName name="ototudo6" localSheetId="8">#REF!</definedName>
    <definedName name="ototudo6">#REF!</definedName>
    <definedName name="ototudo7" localSheetId="8">#REF!</definedName>
    <definedName name="ototudo7">#REF!</definedName>
    <definedName name="ototudo9" localSheetId="8">#REF!</definedName>
    <definedName name="ototudo9">#REF!</definedName>
    <definedName name="ototuoinuoc4" localSheetId="8">#REF!</definedName>
    <definedName name="ototuoinuoc4">#REF!</definedName>
    <definedName name="ototuoinuoc5" localSheetId="8">#REF!</definedName>
    <definedName name="ototuoinuoc5">#REF!</definedName>
    <definedName name="ototuoinuoc6" localSheetId="8">#REF!</definedName>
    <definedName name="ototuoinuoc6">#REF!</definedName>
    <definedName name="ototuoinuoc7" localSheetId="8">#REF!</definedName>
    <definedName name="ototuoinuoc7">#REF!</definedName>
    <definedName name="Óu75" localSheetId="8">#REF!</definedName>
    <definedName name="Óu75">#REF!</definedName>
    <definedName name="OverOneTwenty_Fr">#REF!</definedName>
    <definedName name="OverOneTwenty_To">#REF!</definedName>
    <definedName name="oxy" localSheetId="8">#REF!</definedName>
    <definedName name="oxy">#REF!</definedName>
    <definedName name="P" localSheetId="8">#REF!</definedName>
    <definedName name="P">#REF!</definedName>
    <definedName name="p.m">#REF!</definedName>
    <definedName name="p_" localSheetId="8">#REF!</definedName>
    <definedName name="p_">#REF!</definedName>
    <definedName name="P_M" localSheetId="8">#REF!</definedName>
    <definedName name="P_M">#REF!</definedName>
    <definedName name="p1_" localSheetId="8">#REF!</definedName>
    <definedName name="p1_">#REF!</definedName>
    <definedName name="p2_" localSheetId="8">#REF!</definedName>
    <definedName name="p2_">#REF!</definedName>
    <definedName name="p3_" localSheetId="8">#REF!</definedName>
    <definedName name="p3_">#REF!</definedName>
    <definedName name="PA" localSheetId="8">#REF!</definedName>
    <definedName name="PA">#REF!</definedName>
    <definedName name="PA1_1" localSheetId="8">#REF!</definedName>
    <definedName name="PA1_1">#REF!</definedName>
    <definedName name="Painting" localSheetId="8">#REF!</definedName>
    <definedName name="Painting">#REF!</definedName>
    <definedName name="panen" localSheetId="8">#REF!</definedName>
    <definedName name="panen">#REF!</definedName>
    <definedName name="PB" localSheetId="8">#REF!</definedName>
    <definedName name="PB">#REF!</definedName>
    <definedName name="Pd" localSheetId="8">#REF!</definedName>
    <definedName name="Pd">#REF!</definedName>
    <definedName name="PEJM" localSheetId="8">#REF!</definedName>
    <definedName name="PEJM">#REF!</definedName>
    <definedName name="PF" localSheetId="8">#REF!</definedName>
    <definedName name="PF">#REF!</definedName>
    <definedName name="pg">#REF!</definedName>
    <definedName name="pgia" localSheetId="8">#REF!</definedName>
    <definedName name="pgia">#REF!</definedName>
    <definedName name="phai" localSheetId="1" hidden="1">{"'Sheet1'!$L$16"}</definedName>
    <definedName name="phai" localSheetId="2" hidden="1">{"'Sheet1'!$L$16"}</definedName>
    <definedName name="phai" localSheetId="4" hidden="1">{"'Sheet1'!$L$16"}</definedName>
    <definedName name="phai" localSheetId="5" hidden="1">{"'Sheet1'!$L$16"}</definedName>
    <definedName name="phai" localSheetId="6" hidden="1">{"'Sheet1'!$L$16"}</definedName>
    <definedName name="phai" localSheetId="7" hidden="1">{"'Sheet1'!$L$16"}</definedName>
    <definedName name="phai" localSheetId="8" hidden="1">{"'Sheet1'!$L$16"}</definedName>
    <definedName name="phai" hidden="1">{"'Sheet1'!$L$16"}</definedName>
    <definedName name="Phân_Kỳ">#REF!</definedName>
    <definedName name="Phân_Loại">#REF!</definedName>
    <definedName name="phatdien10" localSheetId="8">#REF!</definedName>
    <definedName name="phatdien10">#REF!</definedName>
    <definedName name="phatdien112" localSheetId="8">#REF!</definedName>
    <definedName name="phatdien112">#REF!</definedName>
    <definedName name="phatdien122" localSheetId="8">#REF!</definedName>
    <definedName name="phatdien122">#REF!</definedName>
    <definedName name="phatdien15" localSheetId="8">#REF!</definedName>
    <definedName name="phatdien15">#REF!</definedName>
    <definedName name="phatdien20" localSheetId="8">#REF!</definedName>
    <definedName name="phatdien20">#REF!</definedName>
    <definedName name="phatdien25" localSheetId="8">#REF!</definedName>
    <definedName name="phatdien25">#REF!</definedName>
    <definedName name="phatdien30" localSheetId="8">#REF!</definedName>
    <definedName name="phatdien30">#REF!</definedName>
    <definedName name="phatdien38" localSheetId="8">#REF!</definedName>
    <definedName name="phatdien38">#REF!</definedName>
    <definedName name="phatdien45" localSheetId="8">#REF!</definedName>
    <definedName name="phatdien45">#REF!</definedName>
    <definedName name="phatdien5.2" localSheetId="8">#REF!</definedName>
    <definedName name="phatdien5.2">#REF!</definedName>
    <definedName name="phatdien50" localSheetId="8">#REF!</definedName>
    <definedName name="phatdien50">#REF!</definedName>
    <definedName name="phatdien60" localSheetId="8">#REF!</definedName>
    <definedName name="phatdien60">#REF!</definedName>
    <definedName name="phatdien75" localSheetId="8">#REF!</definedName>
    <definedName name="phatdien75">#REF!</definedName>
    <definedName name="phatdien8" localSheetId="8">#REF!</definedName>
    <definedName name="phatdien8">#REF!</definedName>
    <definedName name="PHC" localSheetId="8">#REF!</definedName>
    <definedName name="PHC">#REF!</definedName>
    <definedName name="phu_luc_vua" localSheetId="8">#REF!</definedName>
    <definedName name="phu_luc_vua">#REF!</definedName>
    <definedName name="phugia">#REF!</definedName>
    <definedName name="pile" localSheetId="8">#REF!</definedName>
    <definedName name="pile">#REF!</definedName>
    <definedName name="PileSize">#REF!</definedName>
    <definedName name="PileType">#REF!</definedName>
    <definedName name="PK">#REF!</definedName>
    <definedName name="pl">#REF!</definedName>
    <definedName name="PL_???___P.B.___REST_P.B._????" localSheetId="8">#REF!</definedName>
    <definedName name="PL_???___P.B.___REST_P.B._????">#REF!</definedName>
    <definedName name="PL_指示燈___P.B.___REST_P.B._壓扣開關" localSheetId="8">#REF!</definedName>
    <definedName name="PL_指示燈___P.B.___REST_P.B._壓扣開關">#REF!</definedName>
    <definedName name="PL1_1">#REF!</definedName>
    <definedName name="PL1_2">#REF!</definedName>
    <definedName name="PL1_3">#REF!</definedName>
    <definedName name="PL11_1">#REF!</definedName>
    <definedName name="PL11_2">#REF!</definedName>
    <definedName name="PL11_3">#REF!</definedName>
    <definedName name="PL11_4">#REF!</definedName>
    <definedName name="PL15_1">#REF!</definedName>
    <definedName name="PL15_2">#REF!</definedName>
    <definedName name="PL15_3">#REF!</definedName>
    <definedName name="PL16_1">#REF!</definedName>
    <definedName name="PL16_2">#REF!</definedName>
    <definedName name="PL17_1">#REF!</definedName>
    <definedName name="PL17_2">#REF!</definedName>
    <definedName name="PL17_3">#REF!</definedName>
    <definedName name="PL2_1">#REF!</definedName>
    <definedName name="PL2_2">#REF!</definedName>
    <definedName name="PL2_3">#REF!</definedName>
    <definedName name="PL20_1">#REF!</definedName>
    <definedName name="PL20_2">#REF!</definedName>
    <definedName name="PL20_3">#REF!</definedName>
    <definedName name="PL20_4">#REF!</definedName>
    <definedName name="PL20_5">#REF!</definedName>
    <definedName name="PL20_6">#REF!</definedName>
    <definedName name="PL21_1">#REF!</definedName>
    <definedName name="PL21_2">#REF!</definedName>
    <definedName name="PL3_1">#REF!</definedName>
    <definedName name="PL3_2">#REF!</definedName>
    <definedName name="PL3_3">#REF!</definedName>
    <definedName name="PL3_4">#REF!</definedName>
    <definedName name="PL3_5">#REF!</definedName>
    <definedName name="PL3_6">#REF!</definedName>
    <definedName name="PL3HNHAT" localSheetId="1" hidden="1">{"'Sheet1'!$L$16"}</definedName>
    <definedName name="PL3HNHAT" localSheetId="2" hidden="1">{"'Sheet1'!$L$16"}</definedName>
    <definedName name="PL3HNHAT" localSheetId="4" hidden="1">{"'Sheet1'!$L$16"}</definedName>
    <definedName name="PL3HNHAT" localSheetId="5" hidden="1">{"'Sheet1'!$L$16"}</definedName>
    <definedName name="PL3HNHAT" localSheetId="6" hidden="1">{"'Sheet1'!$L$16"}</definedName>
    <definedName name="PL3HNHAT" localSheetId="7" hidden="1">{"'Sheet1'!$L$16"}</definedName>
    <definedName name="PL3HNHAT" localSheetId="8" hidden="1">{"'Sheet1'!$L$16"}</definedName>
    <definedName name="PL3HNHAT" hidden="1">{"'Sheet1'!$L$16"}</definedName>
    <definedName name="PL43_1_A">#REF!</definedName>
    <definedName name="PL43_1_B">#REF!</definedName>
    <definedName name="PL43_2">#REF!</definedName>
    <definedName name="PL44_1_A">#REF!</definedName>
    <definedName name="PL44_1_B">#REF!</definedName>
    <definedName name="PL44_2">#REF!</definedName>
    <definedName name="PL45_A">#REF!</definedName>
    <definedName name="PL45_B">#REF!</definedName>
    <definedName name="PL50_1">#REF!</definedName>
    <definedName name="PL50_2">#REF!</definedName>
    <definedName name="PL50_3">#REF!</definedName>
    <definedName name="PL51_1">#REF!</definedName>
    <definedName name="PL51_2">#REF!</definedName>
    <definedName name="PL51_3">#REF!</definedName>
    <definedName name="PL53_A">#REF!</definedName>
    <definedName name="PL53_B">#REF!</definedName>
    <definedName name="Plaster" localSheetId="8">#REF!</definedName>
    <definedName name="Plaster">#REF!</definedName>
    <definedName name="plc">#REF!</definedName>
    <definedName name="plm" localSheetId="8">#REF!</definedName>
    <definedName name="plm">#REF!</definedName>
    <definedName name="PLOT" localSheetId="8">#REF!</definedName>
    <definedName name="PLOT">#REF!</definedName>
    <definedName name="PlucBcaoTD" localSheetId="1" hidden="1">{"'Sheet1'!$L$16"}</definedName>
    <definedName name="PlucBcaoTD" localSheetId="2" hidden="1">{"'Sheet1'!$L$16"}</definedName>
    <definedName name="PlucBcaoTD" localSheetId="4" hidden="1">{"'Sheet1'!$L$16"}</definedName>
    <definedName name="PlucBcaoTD" localSheetId="5" hidden="1">{"'Sheet1'!$L$16"}</definedName>
    <definedName name="PlucBcaoTD" localSheetId="6" hidden="1">{"'Sheet1'!$L$16"}</definedName>
    <definedName name="PlucBcaoTD" localSheetId="7" hidden="1">{"'Sheet1'!$L$16"}</definedName>
    <definedName name="PlucBcaoTD" localSheetId="8" hidden="1">{"'Sheet1'!$L$16"}</definedName>
    <definedName name="PlucBcaoTD" hidden="1">{"'Sheet1'!$L$16"}</definedName>
    <definedName name="plv" localSheetId="8">#REF!</definedName>
    <definedName name="plv">#REF!</definedName>
    <definedName name="PM">#REF!</definedName>
    <definedName name="pm.." localSheetId="8">#REF!</definedName>
    <definedName name="pm..">#REF!</definedName>
    <definedName name="PMS" localSheetId="1" hidden="1">{"'Sheet1'!$L$16"}</definedName>
    <definedName name="PMS" localSheetId="2" hidden="1">{"'Sheet1'!$L$16"}</definedName>
    <definedName name="PMS" localSheetId="4" hidden="1">{"'Sheet1'!$L$16"}</definedName>
    <definedName name="PMS" localSheetId="5" hidden="1">{"'Sheet1'!$L$16"}</definedName>
    <definedName name="PMS" localSheetId="6" hidden="1">{"'Sheet1'!$L$16"}</definedName>
    <definedName name="PMS" localSheetId="7" hidden="1">{"'Sheet1'!$L$16"}</definedName>
    <definedName name="PMS" localSheetId="8" hidden="1">{"'Sheet1'!$L$16"}</definedName>
    <definedName name="PMS" hidden="1">{"'Sheet1'!$L$16"}</definedName>
    <definedName name="PN1_A">#REF!</definedName>
    <definedName name="PN1_B">#REF!</definedName>
    <definedName name="PN1_C">#REF!</definedName>
    <definedName name="PN2_A">#REF!</definedName>
    <definedName name="PN2_B">#REF!</definedName>
    <definedName name="png">#REF!</definedName>
    <definedName name="Position" localSheetId="8">#REF!</definedName>
    <definedName name="Position">#REF!</definedName>
    <definedName name="pph">#REF!</definedName>
    <definedName name="PQT" localSheetId="8">#REF!</definedName>
    <definedName name="PQT">#REF!</definedName>
    <definedName name="PR" localSheetId="8">#REF!</definedName>
    <definedName name="PR">#REF!</definedName>
    <definedName name="PRC" localSheetId="8">#REF!</definedName>
    <definedName name="PRC">#REF!</definedName>
    <definedName name="PRICE" localSheetId="8">#REF!</definedName>
    <definedName name="PRICE">#REF!</definedName>
    <definedName name="PRICE1" localSheetId="8">#REF!</definedName>
    <definedName name="PRICE1">#REF!</definedName>
    <definedName name="prin_area" localSheetId="8">#REF!</definedName>
    <definedName name="prin_area">#REF!</definedName>
    <definedName name="Prin1" localSheetId="8">#REF!</definedName>
    <definedName name="Prin1">#REF!</definedName>
    <definedName name="Prin10" localSheetId="8">#REF!</definedName>
    <definedName name="Prin10">#REF!</definedName>
    <definedName name="Prin11" localSheetId="8">#REF!</definedName>
    <definedName name="Prin11">#REF!</definedName>
    <definedName name="Prin12" localSheetId="8">#REF!</definedName>
    <definedName name="Prin12">#REF!</definedName>
    <definedName name="Prin13" localSheetId="8">#REF!</definedName>
    <definedName name="Prin13">#REF!</definedName>
    <definedName name="Prin14" localSheetId="8">#REF!</definedName>
    <definedName name="Prin14">#REF!</definedName>
    <definedName name="Prin15" localSheetId="8">#REF!</definedName>
    <definedName name="Prin15">#REF!</definedName>
    <definedName name="Prin16" localSheetId="8">#REF!</definedName>
    <definedName name="Prin16">#REF!</definedName>
    <definedName name="Prin17" localSheetId="8">#REF!</definedName>
    <definedName name="Prin17">#REF!</definedName>
    <definedName name="Prin18" localSheetId="8">#REF!</definedName>
    <definedName name="Prin18">#REF!</definedName>
    <definedName name="Prin19" localSheetId="8">#REF!</definedName>
    <definedName name="Prin19">#REF!</definedName>
    <definedName name="Prin2" localSheetId="8">#REF!</definedName>
    <definedName name="Prin2">#REF!</definedName>
    <definedName name="Prin20" localSheetId="8">#REF!</definedName>
    <definedName name="Prin20">#REF!</definedName>
    <definedName name="Prin21" localSheetId="8">#REF!</definedName>
    <definedName name="Prin21">#REF!</definedName>
    <definedName name="Prin3" localSheetId="8">#REF!</definedName>
    <definedName name="Prin3">#REF!</definedName>
    <definedName name="Prin4" localSheetId="8">#REF!</definedName>
    <definedName name="Prin4">#REF!</definedName>
    <definedName name="Prin5" localSheetId="8">#REF!</definedName>
    <definedName name="Prin5">#REF!</definedName>
    <definedName name="Prin6" localSheetId="8">#REF!</definedName>
    <definedName name="Prin6">#REF!</definedName>
    <definedName name="Prin7" localSheetId="8">#REF!</definedName>
    <definedName name="Prin7">#REF!</definedName>
    <definedName name="Prin8" localSheetId="8">#REF!</definedName>
    <definedName name="Prin8">#REF!</definedName>
    <definedName name="Prin9" localSheetId="8">#REF!</definedName>
    <definedName name="Prin9">#REF!</definedName>
    <definedName name="_xlnm.Print_Area" localSheetId="3">'4. Vay'!$A$1:$M$15</definedName>
    <definedName name="_xlnm.Print_Area" localSheetId="4">'5. KHBH'!$C:$C</definedName>
    <definedName name="_xlnm.Print_Area" localSheetId="8">#REF!</definedName>
    <definedName name="_xlnm.Print_Area">#REF!</definedName>
    <definedName name="PRINT_AREA_MI" localSheetId="8">#REF!</definedName>
    <definedName name="PRINT_AREA_MI">#REF!</definedName>
    <definedName name="print_title" localSheetId="8">#REF!</definedName>
    <definedName name="print_title">#REF!</definedName>
    <definedName name="_xlnm.Print_Titles" localSheetId="3">'4. Vay'!$A:$B,'4. Vay'!$1:$6</definedName>
    <definedName name="_xlnm.Print_Titles">#N/A</definedName>
    <definedName name="PRINT_TITLES_MI" localSheetId="8">#REF!</definedName>
    <definedName name="PRINT_TITLES_MI">#REF!</definedName>
    <definedName name="PRINTA" localSheetId="8">#REF!</definedName>
    <definedName name="PRINTA">#REF!</definedName>
    <definedName name="PRINTB" localSheetId="8">#REF!</definedName>
    <definedName name="PRINTB">#REF!</definedName>
    <definedName name="PRINTC" localSheetId="8">#REF!</definedName>
    <definedName name="PRINTC">#REF!</definedName>
    <definedName name="priority">#REF!</definedName>
    <definedName name="Pro_Soil" localSheetId="8">#REF!</definedName>
    <definedName name="Pro_Soil">#REF!</definedName>
    <definedName name="ProdForm" localSheetId="3" hidden="1">#REF!</definedName>
    <definedName name="ProdForm" localSheetId="4" hidden="1">#REF!</definedName>
    <definedName name="ProdForm" localSheetId="5" hidden="1">#REF!</definedName>
    <definedName name="ProdForm" localSheetId="6" hidden="1">#REF!</definedName>
    <definedName name="ProdForm" localSheetId="7" hidden="1">#REF!</definedName>
    <definedName name="ProdForm" localSheetId="8" hidden="1">#REF!</definedName>
    <definedName name="ProdForm" hidden="1">#REF!</definedName>
    <definedName name="Product" localSheetId="3" hidden="1">#REF!</definedName>
    <definedName name="Product" localSheetId="4" hidden="1">#REF!</definedName>
    <definedName name="Product" localSheetId="5" hidden="1">#REF!</definedName>
    <definedName name="Product" localSheetId="6" hidden="1">#REF!</definedName>
    <definedName name="Product" localSheetId="7" hidden="1">#REF!</definedName>
    <definedName name="Product" localSheetId="8" hidden="1">#REF!</definedName>
    <definedName name="Product" hidden="1">#REF!</definedName>
    <definedName name="Project">#REF!</definedName>
    <definedName name="PROPOSAL" localSheetId="8">#REF!</definedName>
    <definedName name="PROPOSAL">#REF!</definedName>
    <definedName name="Protex" localSheetId="8">#REF!</definedName>
    <definedName name="Protex">#REF!</definedName>
    <definedName name="Province" localSheetId="8">#REF!</definedName>
    <definedName name="Province">#REF!</definedName>
    <definedName name="pse" localSheetId="8">#REF!</definedName>
    <definedName name="pse">#REF!</definedName>
    <definedName name="pso" localSheetId="8">#REF!</definedName>
    <definedName name="pso">#REF!</definedName>
    <definedName name="PST" localSheetId="8">#REF!</definedName>
    <definedName name="PST">#REF!</definedName>
    <definedName name="pt" localSheetId="8">#REF!</definedName>
    <definedName name="pt">#REF!</definedName>
    <definedName name="PT_Duong" localSheetId="8">#REF!</definedName>
    <definedName name="PT_Duong">#REF!</definedName>
    <definedName name="ptbc" localSheetId="8">#REF!</definedName>
    <definedName name="ptbc">#REF!</definedName>
    <definedName name="PTDau" localSheetId="8">#REF!</definedName>
    <definedName name="PTDau">#REF!</definedName>
    <definedName name="ptdg" localSheetId="8">#REF!</definedName>
    <definedName name="ptdg">#REF!</definedName>
    <definedName name="PTDG_cau" localSheetId="8">#REF!</definedName>
    <definedName name="PTDG_cau">#REF!</definedName>
    <definedName name="ptdg_cong" localSheetId="8">#REF!</definedName>
    <definedName name="ptdg_cong">#REF!</definedName>
    <definedName name="PTDG_DCV" localSheetId="8">#REF!</definedName>
    <definedName name="PTDG_DCV">#REF!</definedName>
    <definedName name="ptdg_duong" localSheetId="8">#REF!</definedName>
    <definedName name="ptdg_duong">#REF!</definedName>
    <definedName name="ptdg_duong1">#REF!</definedName>
    <definedName name="ptdg_ke" localSheetId="8">#REF!</definedName>
    <definedName name="ptdg_ke">#REF!</definedName>
    <definedName name="PTNC">#REF!</definedName>
    <definedName name="ptran" localSheetId="8">#REF!</definedName>
    <definedName name="ptran">#REF!</definedName>
    <definedName name="ptvt">#REF!</definedName>
    <definedName name="PVC" localSheetId="8">#REF!,#REF!</definedName>
    <definedName name="PVC">#REF!,#REF!</definedName>
    <definedName name="pvtc" localSheetId="8">#REF!</definedName>
    <definedName name="pvtc">#REF!</definedName>
    <definedName name="PVTT" localSheetId="8">#REF!,#REF!</definedName>
    <definedName name="PVTT">#REF!,#REF!</definedName>
    <definedName name="Px" localSheetId="8">#REF!</definedName>
    <definedName name="Px">#REF!</definedName>
    <definedName name="Py" localSheetId="8">#REF!</definedName>
    <definedName name="Py">#REF!</definedName>
    <definedName name="PYME" localSheetId="8">#REF!</definedName>
    <definedName name="PYME">#REF!</definedName>
    <definedName name="q" localSheetId="1" hidden="1">{"'Sheet1'!$L$16"}</definedName>
    <definedName name="q" localSheetId="2" hidden="1">{"'Sheet1'!$L$16"}</definedName>
    <definedName name="q" localSheetId="3" hidden="1">{"'Sheet1'!$L$16"}</definedName>
    <definedName name="q" localSheetId="4" hidden="1">{"'Sheet1'!$L$16"}</definedName>
    <definedName name="q" localSheetId="5" hidden="1">{"'Sheet1'!$L$16"}</definedName>
    <definedName name="q" localSheetId="6" hidden="1">{"'Sheet1'!$L$16"}</definedName>
    <definedName name="q" localSheetId="7" hidden="1">{"'Sheet1'!$L$16"}</definedName>
    <definedName name="q" localSheetId="8" hidden="1">{"'Sheet1'!$L$16"}</definedName>
    <definedName name="q" hidden="1">{"'Sheet1'!$L$16"}</definedName>
    <definedName name="Q_4" localSheetId="8">#REF!</definedName>
    <definedName name="Q_4">#REF!</definedName>
    <definedName name="QAS" localSheetId="1" hidden="1">{#N/A,#N/A,FALSE,"Chi tiÆt"}</definedName>
    <definedName name="QAS" localSheetId="2" hidden="1">{#N/A,#N/A,FALSE,"Chi tiÆt"}</definedName>
    <definedName name="QAS" localSheetId="4" hidden="1">{#N/A,#N/A,FALSE,"Chi tiÆt"}</definedName>
    <definedName name="QAS" localSheetId="5" hidden="1">{#N/A,#N/A,FALSE,"Chi tiÆt"}</definedName>
    <definedName name="QAS" localSheetId="6" hidden="1">{#N/A,#N/A,FALSE,"Chi tiÆt"}</definedName>
    <definedName name="QAS" localSheetId="7" hidden="1">{#N/A,#N/A,FALSE,"Chi tiÆt"}</definedName>
    <definedName name="QAS" localSheetId="8" hidden="1">{#N/A,#N/A,FALSE,"Chi tiÆt"}</definedName>
    <definedName name="QAS" hidden="1">{#N/A,#N/A,FALSE,"Chi tiÆt"}</definedName>
    <definedName name="qc" localSheetId="8">#REF!</definedName>
    <definedName name="qc">#REF!</definedName>
    <definedName name="qd" localSheetId="8">#REF!</definedName>
    <definedName name="qd">#REF!</definedName>
    <definedName name="QDCFWFWE" localSheetId="8">#REF!</definedName>
    <definedName name="QDCFWFWE">#REF!</definedName>
    <definedName name="QẺTTT" localSheetId="1" hidden="1">{"'Sheet1'!$L$16"}</definedName>
    <definedName name="QẺTTT" localSheetId="2" hidden="1">{"'Sheet1'!$L$16"}</definedName>
    <definedName name="QẺTTT" localSheetId="4" hidden="1">{"'Sheet1'!$L$16"}</definedName>
    <definedName name="QẺTTT" localSheetId="5" hidden="1">{"'Sheet1'!$L$16"}</definedName>
    <definedName name="QẺTTT" localSheetId="6" hidden="1">{"'Sheet1'!$L$16"}</definedName>
    <definedName name="QẺTTT" localSheetId="7" hidden="1">{"'Sheet1'!$L$16"}</definedName>
    <definedName name="QẺTTT" localSheetId="8" hidden="1">{"'Sheet1'!$L$16"}</definedName>
    <definedName name="QẺTTT" hidden="1">{"'Sheet1'!$L$16"}</definedName>
    <definedName name="qg1g" localSheetId="8">#REF!</definedName>
    <definedName name="qg1g">#REF!</definedName>
    <definedName name="qg1h" localSheetId="8">#REF!</definedName>
    <definedName name="qg1h">#REF!</definedName>
    <definedName name="qg1x" localSheetId="8">#REF!</definedName>
    <definedName name="qg1x">#REF!</definedName>
    <definedName name="qg2g" localSheetId="8">#REF!</definedName>
    <definedName name="qg2g">#REF!</definedName>
    <definedName name="qg2h" localSheetId="8">#REF!</definedName>
    <definedName name="qg2h">#REF!</definedName>
    <definedName name="qg2x" localSheetId="8">#REF!</definedName>
    <definedName name="qg2x">#REF!</definedName>
    <definedName name="qgl" localSheetId="8">#REF!</definedName>
    <definedName name="qgl">#REF!</definedName>
    <definedName name="qh" localSheetId="8">#REF!</definedName>
    <definedName name="qh">#REF!</definedName>
    <definedName name="qhCu">#REF!</definedName>
    <definedName name="ql" localSheetId="8">#REF!</definedName>
    <definedName name="ql">#REF!</definedName>
    <definedName name="qlda">#REF!</definedName>
    <definedName name="qp" localSheetId="8">#REF!</definedName>
    <definedName name="qp">#REF!</definedName>
    <definedName name="qq" localSheetId="8">#REF!</definedName>
    <definedName name="qq">#REF!</definedName>
    <definedName name="QQCFF" localSheetId="8">#REF!</definedName>
    <definedName name="QQCFF">#REF!</definedName>
    <definedName name="qqssssss" localSheetId="1" hidden="1">{"'Sheet1'!$L$16"}</definedName>
    <definedName name="qqssssss" localSheetId="2" hidden="1">{"'Sheet1'!$L$16"}</definedName>
    <definedName name="qqssssss" localSheetId="4" hidden="1">{"'Sheet1'!$L$16"}</definedName>
    <definedName name="qqssssss" localSheetId="5" hidden="1">{"'Sheet1'!$L$16"}</definedName>
    <definedName name="qqssssss" localSheetId="6" hidden="1">{"'Sheet1'!$L$16"}</definedName>
    <definedName name="qqssssss" localSheetId="7" hidden="1">{"'Sheet1'!$L$16"}</definedName>
    <definedName name="qqssssss" localSheetId="8" hidden="1">{"'Sheet1'!$L$16"}</definedName>
    <definedName name="qqssssss" hidden="1">{"'Sheet1'!$L$16"}</definedName>
    <definedName name="QQWW" localSheetId="8">#REF!</definedName>
    <definedName name="QQWW">#REF!</definedName>
    <definedName name="qSF" localSheetId="8">#REF!</definedName>
    <definedName name="qSF">#REF!</definedName>
    <definedName name="qtdm" localSheetId="8">#REF!</definedName>
    <definedName name="qtdm">#REF!</definedName>
    <definedName name="qu">#REF!</definedName>
    <definedName name="Quantities" localSheetId="8">#REF!</definedName>
    <definedName name="Quantities">#REF!</definedName>
    <definedName name="quehan">#REF!</definedName>
    <definedName name="qưqq" localSheetId="1" hidden="1">{"'Sheet1'!$L$16"}</definedName>
    <definedName name="qưqq" localSheetId="2" hidden="1">{"'Sheet1'!$L$16"}</definedName>
    <definedName name="qưqq" localSheetId="4" hidden="1">{"'Sheet1'!$L$16"}</definedName>
    <definedName name="qưqq" localSheetId="5" hidden="1">{"'Sheet1'!$L$16"}</definedName>
    <definedName name="qưqq" localSheetId="6" hidden="1">{"'Sheet1'!$L$16"}</definedName>
    <definedName name="qưqq" localSheetId="7" hidden="1">{"'Sheet1'!$L$16"}</definedName>
    <definedName name="qưqq" localSheetId="8" hidden="1">{"'Sheet1'!$L$16"}</definedName>
    <definedName name="qưqq" hidden="1">{"'Sheet1'!$L$16"}</definedName>
    <definedName name="QUYLUONG" localSheetId="8">#REF!</definedName>
    <definedName name="QUYLUONG">#REF!</definedName>
    <definedName name="qW" localSheetId="8">#REF!</definedName>
    <definedName name="qW">#REF!</definedName>
    <definedName name="QWEẺ" localSheetId="8">#REF!</definedName>
    <definedName name="QWEẺ">#REF!</definedName>
    <definedName name="qx">#REF!</definedName>
    <definedName name="qy">#REF!</definedName>
    <definedName name="r_" localSheetId="8">#REF!</definedName>
    <definedName name="r_">#REF!</definedName>
    <definedName name="R0_1" localSheetId="8">#REF!</definedName>
    <definedName name="R0_1">#REF!</definedName>
    <definedName name="R0_2" localSheetId="8">#REF!</definedName>
    <definedName name="R0_2">#REF!</definedName>
    <definedName name="R00" localSheetId="8">#REF!</definedName>
    <definedName name="R00">#REF!</definedName>
    <definedName name="R00t" localSheetId="8">#REF!</definedName>
    <definedName name="R00t">#REF!</definedName>
    <definedName name="ra">#REF!</definedName>
    <definedName name="ra11p" localSheetId="8">#REF!</definedName>
    <definedName name="ra11p">#REF!</definedName>
    <definedName name="ra13p" localSheetId="8">#REF!</definedName>
    <definedName name="ra13p">#REF!</definedName>
    <definedName name="rack1" localSheetId="8">#REF!</definedName>
    <definedName name="rack1">#REF!</definedName>
    <definedName name="rack2" localSheetId="8">#REF!</definedName>
    <definedName name="rack2">#REF!</definedName>
    <definedName name="rack3" localSheetId="8">#REF!</definedName>
    <definedName name="rack3">#REF!</definedName>
    <definedName name="rack4" localSheetId="8">#REF!</definedName>
    <definedName name="rack4">#REF!</definedName>
    <definedName name="Rain">#REF!</definedName>
    <definedName name="rain.">#REF!</definedName>
    <definedName name="rain.." localSheetId="8">#REF!</definedName>
    <definedName name="rain..">#REF!</definedName>
    <definedName name="Ranhxay" localSheetId="1" hidden="1">{"'Sheet1'!$L$16"}</definedName>
    <definedName name="Ranhxay" localSheetId="2" hidden="1">{"'Sheet1'!$L$16"}</definedName>
    <definedName name="Ranhxay" localSheetId="3" hidden="1">{"'Sheet1'!$L$16"}</definedName>
    <definedName name="Ranhxay" localSheetId="4" hidden="1">{"'Sheet1'!$L$16"}</definedName>
    <definedName name="Ranhxay" localSheetId="5" hidden="1">{"'Sheet1'!$L$16"}</definedName>
    <definedName name="Ranhxay" localSheetId="6" hidden="1">{"'Sheet1'!$L$16"}</definedName>
    <definedName name="Ranhxay" localSheetId="7" hidden="1">{"'Sheet1'!$L$16"}</definedName>
    <definedName name="Ranhxay" localSheetId="8" hidden="1">{"'Sheet1'!$L$16"}</definedName>
    <definedName name="Ranhxay" hidden="1">{"'Sheet1'!$L$16"}</definedName>
    <definedName name="rate">14000</definedName>
    <definedName name="Raûi_pheân_tre" localSheetId="8">#REF!</definedName>
    <definedName name="Raûi_pheân_tre">#REF!</definedName>
    <definedName name="ray" localSheetId="8">#REF!</definedName>
    <definedName name="ray">#REF!</definedName>
    <definedName name="rb" localSheetId="8">#REF!</definedName>
    <definedName name="rb">#REF!</definedName>
    <definedName name="RCArea" localSheetId="3" hidden="1">#REF!</definedName>
    <definedName name="RCArea" localSheetId="4" hidden="1">#REF!</definedName>
    <definedName name="RCArea" localSheetId="5" hidden="1">#REF!</definedName>
    <definedName name="RCArea" localSheetId="6" hidden="1">#REF!</definedName>
    <definedName name="RCArea" localSheetId="7" hidden="1">#REF!</definedName>
    <definedName name="RCArea" localSheetId="8" hidden="1">#REF!</definedName>
    <definedName name="RCArea" hidden="1">#REF!</definedName>
    <definedName name="Rcc" localSheetId="8">#REF!</definedName>
    <definedName name="Rcc">#REF!</definedName>
    <definedName name="RCF" localSheetId="8">#REF!</definedName>
    <definedName name="RCF">#REF!</definedName>
    <definedName name="rche" localSheetId="8">#REF!</definedName>
    <definedName name="rche">#REF!</definedName>
    <definedName name="RCKM" localSheetId="8">#REF!</definedName>
    <definedName name="RCKM">#REF!</definedName>
    <definedName name="rct">#REF!</definedName>
    <definedName name="RDEC" localSheetId="8">#REF!</definedName>
    <definedName name="RDEC">#REF!</definedName>
    <definedName name="RDEFF" localSheetId="8">#REF!</definedName>
    <definedName name="RDEFF">#REF!</definedName>
    <definedName name="RDFC" localSheetId="8">#REF!</definedName>
    <definedName name="RDFC">#REF!</definedName>
    <definedName name="RDFU" localSheetId="8">#REF!</definedName>
    <definedName name="RDFU">#REF!</definedName>
    <definedName name="RDLIF" localSheetId="8">#REF!</definedName>
    <definedName name="RDLIF">#REF!</definedName>
    <definedName name="RDOM" localSheetId="8">#REF!</definedName>
    <definedName name="RDOM">#REF!</definedName>
    <definedName name="RDPC" localSheetId="8">#REF!</definedName>
    <definedName name="RDPC">#REF!</definedName>
    <definedName name="rdpcf" localSheetId="8">#REF!</definedName>
    <definedName name="rdpcf">#REF!</definedName>
    <definedName name="RDRC" localSheetId="8">#REF!</definedName>
    <definedName name="RDRC">#REF!</definedName>
    <definedName name="RDRF" localSheetId="8">#REF!</definedName>
    <definedName name="RDRF">#REF!</definedName>
    <definedName name="Rdtc" localSheetId="8">#REF!</definedName>
    <definedName name="Rdtc">#REF!</definedName>
    <definedName name="_xlnm.Recorder">#REF!</definedName>
    <definedName name="RECOUT">#N/A</definedName>
    <definedName name="REF" localSheetId="8">#REF!</definedName>
    <definedName name="REF">#REF!</definedName>
    <definedName name="REG" localSheetId="8">#REF!</definedName>
    <definedName name="REG">#REF!</definedName>
    <definedName name="Region" localSheetId="8">#REF!</definedName>
    <definedName name="Region">#REF!</definedName>
    <definedName name="Result21" localSheetId="1" hidden="1">{"'Sheet1'!$L$16"}</definedName>
    <definedName name="Result21" localSheetId="2" hidden="1">{"'Sheet1'!$L$16"}</definedName>
    <definedName name="Result21" localSheetId="3" hidden="1">{"'Sheet1'!$L$16"}</definedName>
    <definedName name="Result21" localSheetId="4" hidden="1">{"'Sheet1'!$L$16"}</definedName>
    <definedName name="Result21" localSheetId="5" hidden="1">{"'Sheet1'!$L$16"}</definedName>
    <definedName name="Result21" localSheetId="6" hidden="1">{"'Sheet1'!$L$16"}</definedName>
    <definedName name="Result21" localSheetId="7" hidden="1">{"'Sheet1'!$L$16"}</definedName>
    <definedName name="Result21" localSheetId="8" hidden="1">{"'Sheet1'!$L$16"}</definedName>
    <definedName name="Result21" hidden="1">{"'Sheet1'!$L$16"}</definedName>
    <definedName name="retÎtettt">#REF!</definedName>
    <definedName name="RFP003A" localSheetId="8">#REF!</definedName>
    <definedName name="RFP003A">#REF!</definedName>
    <definedName name="RFP003B" localSheetId="8">#REF!</definedName>
    <definedName name="RFP003B">#REF!</definedName>
    <definedName name="RFP003C" localSheetId="8">#REF!</definedName>
    <definedName name="RFP003C">#REF!</definedName>
    <definedName name="RFP003D" localSheetId="8">#REF!</definedName>
    <definedName name="RFP003D">#REF!</definedName>
    <definedName name="RFP003E" localSheetId="8">#REF!</definedName>
    <definedName name="RFP003E">#REF!</definedName>
    <definedName name="RFP003F" localSheetId="8">#REF!</definedName>
    <definedName name="RFP003F">#REF!</definedName>
    <definedName name="rgdf" localSheetId="1" hidden="1">{"'Sheet1'!$L$16"}</definedName>
    <definedName name="rgdf" localSheetId="2" hidden="1">{"'Sheet1'!$L$16"}</definedName>
    <definedName name="rgdf" localSheetId="4" hidden="1">{"'Sheet1'!$L$16"}</definedName>
    <definedName name="rgdf" localSheetId="5" hidden="1">{"'Sheet1'!$L$16"}</definedName>
    <definedName name="rgdf" localSheetId="6" hidden="1">{"'Sheet1'!$L$16"}</definedName>
    <definedName name="rgdf" localSheetId="7" hidden="1">{"'Sheet1'!$L$16"}</definedName>
    <definedName name="rgdf" localSheetId="8" hidden="1">{"'Sheet1'!$L$16"}</definedName>
    <definedName name="rgdf" hidden="1">{"'Sheet1'!$L$16"}</definedName>
    <definedName name="RGLIF" localSheetId="8">#REF!</definedName>
    <definedName name="RGLIF">#REF!</definedName>
    <definedName name="rh" localSheetId="8">#REF!</definedName>
    <definedName name="rh">#REF!</definedName>
    <definedName name="RHEC" localSheetId="8">#REF!</definedName>
    <definedName name="RHEC">#REF!</definedName>
    <definedName name="RHEFF" localSheetId="8">#REF!</definedName>
    <definedName name="RHEFF">#REF!</definedName>
    <definedName name="RHHC" localSheetId="8">#REF!</definedName>
    <definedName name="RHHC">#REF!</definedName>
    <definedName name="RHLIF" localSheetId="8">#REF!</definedName>
    <definedName name="RHLIF">#REF!</definedName>
    <definedName name="RHOM" localSheetId="8">#REF!</definedName>
    <definedName name="RHOM">#REF!</definedName>
    <definedName name="ri" localSheetId="8">#REF!</definedName>
    <definedName name="ri">#REF!</definedName>
    <definedName name="RIR" localSheetId="8">#REF!</definedName>
    <definedName name="RIR">#REF!</definedName>
    <definedName name="River" localSheetId="8">#REF!</definedName>
    <definedName name="River">#REF!</definedName>
    <definedName name="River_Code" localSheetId="8">#REF!</definedName>
    <definedName name="River_Code">#REF!</definedName>
    <definedName name="rkc">#REF!</definedName>
    <definedName name="rkd" localSheetId="1" hidden="1">{#N/A,#N/A,FALSE,"CCTV"}</definedName>
    <definedName name="rkd" localSheetId="2" hidden="1">{#N/A,#N/A,FALSE,"CCTV"}</definedName>
    <definedName name="rkd" localSheetId="4" hidden="1">{#N/A,#N/A,FALSE,"CCTV"}</definedName>
    <definedName name="rkd" localSheetId="5" hidden="1">{#N/A,#N/A,FALSE,"CCTV"}</definedName>
    <definedName name="rkd" localSheetId="6" hidden="1">{#N/A,#N/A,FALSE,"CCTV"}</definedName>
    <definedName name="rkd" localSheetId="7" hidden="1">{#N/A,#N/A,FALSE,"CCTV"}</definedName>
    <definedName name="rkd" localSheetId="8" hidden="1">{#N/A,#N/A,FALSE,"CCTV"}</definedName>
    <definedName name="rkd" hidden="1">{#N/A,#N/A,FALSE,"CCTV"}</definedName>
    <definedName name="RL" localSheetId="8">#REF!</definedName>
    <definedName name="RL">#REF!</definedName>
    <definedName name="RLF" localSheetId="8">#REF!</definedName>
    <definedName name="RLF">#REF!</definedName>
    <definedName name="RLKM" localSheetId="8">#REF!</definedName>
    <definedName name="RLKM">#REF!</definedName>
    <definedName name="RLL" localSheetId="8">#REF!</definedName>
    <definedName name="RLL">#REF!</definedName>
    <definedName name="RLOM" localSheetId="8">#REF!</definedName>
    <definedName name="RLOM">#REF!</definedName>
    <definedName name="Rn">#REF!</definedName>
    <definedName name="rngDvalBFP">#REF!</definedName>
    <definedName name="rngDvalCurrency">#REF!</definedName>
    <definedName name="rngDvalCY">#REF!</definedName>
    <definedName name="rngDvalDenomination">#REF!</definedName>
    <definedName name="rngDvalMonths">#REF!</definedName>
    <definedName name="rngDvalTimeline">#REF!</definedName>
    <definedName name="rngDvalYTDNotation1">#REF!</definedName>
    <definedName name="rngDvalYTDNotation2">#REF!</definedName>
    <definedName name="rngSelCurrency">#REF!</definedName>
    <definedName name="rngSelCY">#REF!</definedName>
    <definedName name="rngSelCYNotation">#REF!</definedName>
    <definedName name="rngSelDecimal">#REF!</definedName>
    <definedName name="rngSelDenom">#REF!</definedName>
    <definedName name="rngSelHY">#REF!</definedName>
    <definedName name="rngSelLastAM">#REF!</definedName>
    <definedName name="rngSelProjName">#REF!</definedName>
    <definedName name="rngSelPY">#REF!</definedName>
    <definedName name="rngSelPYNotation">#REF!</definedName>
    <definedName name="rngSelYE">#REF!</definedName>
    <definedName name="rnp" localSheetId="8">#REF!</definedName>
    <definedName name="rnp">#REF!</definedName>
    <definedName name="Road_Code" localSheetId="8">#REF!</definedName>
    <definedName name="Road_Code">#REF!</definedName>
    <definedName name="Road_Name" localSheetId="8">#REF!</definedName>
    <definedName name="Road_Name">#REF!</definedName>
    <definedName name="RoadNo_373" localSheetId="8">#REF!</definedName>
    <definedName name="RoadNo_373">#REF!</definedName>
    <definedName name="rong1" localSheetId="8">#REF!</definedName>
    <definedName name="rong1">#REF!</definedName>
    <definedName name="rong2" localSheetId="8">#REF!</definedName>
    <definedName name="rong2">#REF!</definedName>
    <definedName name="rong3" localSheetId="8">#REF!</definedName>
    <definedName name="rong3">#REF!</definedName>
    <definedName name="rong4" localSheetId="8">#REF!</definedName>
    <definedName name="rong4">#REF!</definedName>
    <definedName name="rong5" localSheetId="8">#REF!</definedName>
    <definedName name="rong5">#REF!</definedName>
    <definedName name="rong6" localSheetId="8">#REF!</definedName>
    <definedName name="rong6">#REF!</definedName>
    <definedName name="RoofingWork" localSheetId="8">#REF!</definedName>
    <definedName name="RoofingWork">#REF!</definedName>
    <definedName name="Round" localSheetId="8">#REF!</definedName>
    <definedName name="Round">#REF!</definedName>
    <definedName name="RoundUps">#REF!</definedName>
    <definedName name="RPHEC" localSheetId="8">#REF!</definedName>
    <definedName name="RPHEC">#REF!</definedName>
    <definedName name="RPHLIF" localSheetId="8">#REF!</definedName>
    <definedName name="RPHLIF">#REF!</definedName>
    <definedName name="RPHOM" localSheetId="8">#REF!</definedName>
    <definedName name="RPHOM">#REF!</definedName>
    <definedName name="RPHPC" localSheetId="8">#REF!</definedName>
    <definedName name="RPHPC">#REF!</definedName>
    <definedName name="RPLA" localSheetId="1" hidden="1">{"'Sheet1'!$L$16"}</definedName>
    <definedName name="RPLA" localSheetId="2" hidden="1">{"'Sheet1'!$L$16"}</definedName>
    <definedName name="RPLA" localSheetId="3" hidden="1">{"'Sheet1'!$L$16"}</definedName>
    <definedName name="RPLA" localSheetId="4" hidden="1">{"'Sheet1'!$L$16"}</definedName>
    <definedName name="RPLA" localSheetId="5" hidden="1">{"'Sheet1'!$L$16"}</definedName>
    <definedName name="RPLA" localSheetId="6" hidden="1">{"'Sheet1'!$L$16"}</definedName>
    <definedName name="RPLA" localSheetId="7" hidden="1">{"'Sheet1'!$L$16"}</definedName>
    <definedName name="RPLA" localSheetId="8" hidden="1">{"'Sheet1'!$L$16"}</definedName>
    <definedName name="RPLA" hidden="1">{"'Sheet1'!$L$16"}</definedName>
    <definedName name="rps" localSheetId="8">#REF!</definedName>
    <definedName name="rps">#REF!</definedName>
    <definedName name="RSBC" localSheetId="8">#REF!</definedName>
    <definedName name="RSBC">#REF!</definedName>
    <definedName name="RSBLIF" localSheetId="8">#REF!</definedName>
    <definedName name="RSBLIF">#REF!</definedName>
    <definedName name="RSIC" localSheetId="8">#REF!</definedName>
    <definedName name="RSIC">#REF!</definedName>
    <definedName name="RSIN" localSheetId="8">#REF!</definedName>
    <definedName name="RSIN">#REF!</definedName>
    <definedName name="RSLIF" localSheetId="8">#REF!</definedName>
    <definedName name="RSLIF">#REF!</definedName>
    <definedName name="RSOM" localSheetId="8">#REF!</definedName>
    <definedName name="RSOM">#REF!</definedName>
    <definedName name="RSPI" localSheetId="8">#REF!</definedName>
    <definedName name="RSPI">#REF!</definedName>
    <definedName name="RSSC" localSheetId="8">#REF!</definedName>
    <definedName name="RSSC">#REF!</definedName>
    <definedName name="RT" localSheetId="8">#REF!</definedName>
    <definedName name="RT">#REF!</definedName>
    <definedName name="Rtd" localSheetId="8">#REF!</definedName>
    <definedName name="Rtd">#REF!</definedName>
    <definedName name="rthan" localSheetId="8">#REF!</definedName>
    <definedName name="rthan">#REF!</definedName>
    <definedName name="rtuu" localSheetId="1" hidden="1">{0}</definedName>
    <definedName name="rtuu" localSheetId="2" hidden="1">{0}</definedName>
    <definedName name="rtuu" localSheetId="4" hidden="1">{0}</definedName>
    <definedName name="rtuu" localSheetId="5" hidden="1">{0}</definedName>
    <definedName name="rtuu" localSheetId="6" hidden="1">{0}</definedName>
    <definedName name="rtuu" localSheetId="7" hidden="1">{0}</definedName>
    <definedName name="rtuu" localSheetId="8" hidden="1">{0}</definedName>
    <definedName name="rtuu" hidden="1">{0}</definedName>
    <definedName name="Ru" localSheetId="8">#REF!</definedName>
    <definedName name="Ru">#REF!</definedName>
    <definedName name="RWTPhi" localSheetId="8">#REF!</definedName>
    <definedName name="RWTPhi">#REF!</definedName>
    <definedName name="RWTPlo" localSheetId="8">#REF!</definedName>
    <definedName name="RWTPlo">#REF!</definedName>
    <definedName name="ryedfg" localSheetId="1" hidden="1">{#N/A,#N/A,FALSE,"CCTV"}</definedName>
    <definedName name="ryedfg" localSheetId="2" hidden="1">{#N/A,#N/A,FALSE,"CCTV"}</definedName>
    <definedName name="ryedfg" localSheetId="4" hidden="1">{#N/A,#N/A,FALSE,"CCTV"}</definedName>
    <definedName name="ryedfg" localSheetId="5" hidden="1">{#N/A,#N/A,FALSE,"CCTV"}</definedName>
    <definedName name="ryedfg" localSheetId="6" hidden="1">{#N/A,#N/A,FALSE,"CCTV"}</definedName>
    <definedName name="ryedfg" localSheetId="7" hidden="1">{#N/A,#N/A,FALSE,"CCTV"}</definedName>
    <definedName name="ryedfg" localSheetId="8" hidden="1">{#N/A,#N/A,FALSE,"CCTV"}</definedName>
    <definedName name="ryedfg" hidden="1">{#N/A,#N/A,FALSE,"CCTV"}</definedName>
    <definedName name="ryty" localSheetId="1" hidden="1">{0}</definedName>
    <definedName name="ryty" localSheetId="2" hidden="1">{0}</definedName>
    <definedName name="ryty" localSheetId="4" hidden="1">{0}</definedName>
    <definedName name="ryty" localSheetId="5" hidden="1">{0}</definedName>
    <definedName name="ryty" localSheetId="6" hidden="1">{0}</definedName>
    <definedName name="ryty" localSheetId="7" hidden="1">{0}</definedName>
    <definedName name="ryty" localSheetId="8" hidden="1">{0}</definedName>
    <definedName name="ryty" hidden="1">{0}</definedName>
    <definedName name="s" localSheetId="1" hidden="1">{"'Sheet1'!$L$16"}</definedName>
    <definedName name="s" localSheetId="2" hidden="1">{"'Sheet1'!$L$16"}</definedName>
    <definedName name="s" localSheetId="3">#REF!</definedName>
    <definedName name="s" localSheetId="4" hidden="1">{"'Sheet1'!$L$16"}</definedName>
    <definedName name="s" localSheetId="5" hidden="1">{"'Sheet1'!$L$16"}</definedName>
    <definedName name="s" localSheetId="6" hidden="1">{"'Sheet1'!$L$16"}</definedName>
    <definedName name="s" localSheetId="7" hidden="1">{"'Sheet1'!$L$16"}</definedName>
    <definedName name="s" localSheetId="8" hidden="1">{"'Sheet1'!$L$16"}</definedName>
    <definedName name="s" hidden="1">{"'Sheet1'!$L$16"}</definedName>
    <definedName name="s_" localSheetId="8">#REF!</definedName>
    <definedName name="s_">#REF!</definedName>
    <definedName name="s_0" localSheetId="8">#REF!</definedName>
    <definedName name="s_0">#REF!</definedName>
    <definedName name="s_0cd" localSheetId="8">#REF!</definedName>
    <definedName name="s_0cd">#REF!</definedName>
    <definedName name="S_1" localSheetId="8">#REF!</definedName>
    <definedName name="S_1">#REF!</definedName>
    <definedName name="S_2" localSheetId="8">#REF!</definedName>
    <definedName name="S_2">#REF!</definedName>
    <definedName name="s_58" localSheetId="8">#REF!</definedName>
    <definedName name="s_58">#REF!</definedName>
    <definedName name="s_58g" localSheetId="8">#REF!</definedName>
    <definedName name="s_58g">#REF!</definedName>
    <definedName name="s_59" localSheetId="8">#REF!</definedName>
    <definedName name="s_59">#REF!</definedName>
    <definedName name="s_59g" localSheetId="8">#REF!</definedName>
    <definedName name="s_59g">#REF!</definedName>
    <definedName name="s_Icd" localSheetId="8">#REF!</definedName>
    <definedName name="s_Icd">#REF!</definedName>
    <definedName name="s4_">#REF!</definedName>
    <definedName name="s75F29" localSheetId="8">#REF!</definedName>
    <definedName name="s75F29">#REF!</definedName>
    <definedName name="sa" localSheetId="1" hidden="1">{"'Sheet1'!$L$16"}</definedName>
    <definedName name="sa" localSheetId="2" hidden="1">{"'Sheet1'!$L$16"}</definedName>
    <definedName name="sa" localSheetId="4" hidden="1">{"'Sheet1'!$L$16"}</definedName>
    <definedName name="sa" localSheetId="5" hidden="1">{"'Sheet1'!$L$16"}</definedName>
    <definedName name="sa" localSheetId="6" hidden="1">{"'Sheet1'!$L$16"}</definedName>
    <definedName name="sa" localSheetId="7" hidden="1">{"'Sheet1'!$L$16"}</definedName>
    <definedName name="sa" localSheetId="8" hidden="1">{"'Sheet1'!$L$16"}</definedName>
    <definedName name="sa" hidden="1">{"'Sheet1'!$L$16"}</definedName>
    <definedName name="SAGD" localSheetId="1" hidden="1">{"'Sheet1'!$L$16"}</definedName>
    <definedName name="SAGD" localSheetId="2" hidden="1">{"'Sheet1'!$L$16"}</definedName>
    <definedName name="SAGD" localSheetId="4" hidden="1">{"'Sheet1'!$L$16"}</definedName>
    <definedName name="SAGD" localSheetId="5" hidden="1">{"'Sheet1'!$L$16"}</definedName>
    <definedName name="SAGD" localSheetId="6" hidden="1">{"'Sheet1'!$L$16"}</definedName>
    <definedName name="SAGD" localSheetId="7" hidden="1">{"'Sheet1'!$L$16"}</definedName>
    <definedName name="SAGD" localSheetId="8" hidden="1">{"'Sheet1'!$L$16"}</definedName>
    <definedName name="SAGD" hidden="1">{"'Sheet1'!$L$16"}</definedName>
    <definedName name="san" localSheetId="8">#REF!</definedName>
    <definedName name="san">#REF!</definedName>
    <definedName name="sat" localSheetId="8">#REF!</definedName>
    <definedName name="sat">#REF!</definedName>
    <definedName name="satt" localSheetId="8">#REF!</definedName>
    <definedName name="satt">#REF!</definedName>
    <definedName name="satu" localSheetId="8">#REF!</definedName>
    <definedName name="satu">#REF!</definedName>
    <definedName name="Sau" localSheetId="8">#REF!</definedName>
    <definedName name="Sau">#REF!</definedName>
    <definedName name="SB">#REF!</definedName>
    <definedName name="sb_8" localSheetId="8">#REF!</definedName>
    <definedName name="sb_8">#REF!</definedName>
    <definedName name="sb_8g" localSheetId="8">#REF!</definedName>
    <definedName name="sb_8g">#REF!</definedName>
    <definedName name="sb_9" localSheetId="8">#REF!</definedName>
    <definedName name="sb_9">#REF!</definedName>
    <definedName name="sb_9g" localSheetId="8">#REF!</definedName>
    <definedName name="sb_9g">#REF!</definedName>
    <definedName name="sbet" localSheetId="8">#REF!</definedName>
    <definedName name="sbet">#REF!</definedName>
    <definedName name="sc">#REF!</definedName>
    <definedName name="scan" localSheetId="8">#REF!</definedName>
    <definedName name="scan">#REF!</definedName>
    <definedName name="scao98" localSheetId="8">#REF!</definedName>
    <definedName name="scao98">#REF!</definedName>
    <definedName name="SCH" localSheetId="8">#REF!</definedName>
    <definedName name="SCH">#REF!</definedName>
    <definedName name="scm" localSheetId="8">#REF!</definedName>
    <definedName name="scm">#REF!</definedName>
    <definedName name="scr">#REF!</definedName>
    <definedName name="SD" localSheetId="1" hidden="1">{"'Sheet1'!$L$16"}</definedName>
    <definedName name="SD" localSheetId="2" hidden="1">{"'Sheet1'!$L$16"}</definedName>
    <definedName name="SD" localSheetId="4" hidden="1">{"'Sheet1'!$L$16"}</definedName>
    <definedName name="SD" localSheetId="5" hidden="1">{"'Sheet1'!$L$16"}</definedName>
    <definedName name="SD" localSheetId="6" hidden="1">{"'Sheet1'!$L$16"}</definedName>
    <definedName name="SD" localSheetId="7" hidden="1">{"'Sheet1'!$L$16"}</definedName>
    <definedName name="SD" localSheetId="8" hidden="1">{"'Sheet1'!$L$16"}</definedName>
    <definedName name="SD" hidden="1">{"'Sheet1'!$L$16"}</definedName>
    <definedName name="sd1p" localSheetId="8">#REF!</definedName>
    <definedName name="sd1p">#REF!</definedName>
    <definedName name="sd3p" localSheetId="8">#REF!</definedName>
    <definedName name="sd3p">#REF!</definedName>
    <definedName name="sdcsd" localSheetId="1" hidden="1">{"'Sheet1'!$L$16"}</definedName>
    <definedName name="sdcsd" localSheetId="2" hidden="1">{"'Sheet1'!$L$16"}</definedName>
    <definedName name="sdcsd" localSheetId="4" hidden="1">{"'Sheet1'!$L$16"}</definedName>
    <definedName name="sdcsd" localSheetId="5" hidden="1">{"'Sheet1'!$L$16"}</definedName>
    <definedName name="sdcsd" localSheetId="6" hidden="1">{"'Sheet1'!$L$16"}</definedName>
    <definedName name="sdcsd" localSheetId="7" hidden="1">{"'Sheet1'!$L$16"}</definedName>
    <definedName name="sdcsd" localSheetId="8" hidden="1">{"'Sheet1'!$L$16"}</definedName>
    <definedName name="sdcsd" hidden="1">{"'Sheet1'!$L$16"}</definedName>
    <definedName name="SDDL" localSheetId="8">#REF!</definedName>
    <definedName name="SDDL">#REF!</definedName>
    <definedName name="sdf" localSheetId="1" hidden="1">{"'Sheet1'!$L$16"}</definedName>
    <definedName name="sdf" localSheetId="2" hidden="1">{"'Sheet1'!$L$16"}</definedName>
    <definedName name="sdf" localSheetId="4" hidden="1">{"'Sheet1'!$L$16"}</definedName>
    <definedName name="sdf" localSheetId="5" hidden="1">{"'Sheet1'!$L$16"}</definedName>
    <definedName name="sdf" localSheetId="6" hidden="1">{"'Sheet1'!$L$16"}</definedName>
    <definedName name="sdf" localSheetId="7" hidden="1">{"'Sheet1'!$L$16"}</definedName>
    <definedName name="sdf" localSheetId="8" hidden="1">{"'Sheet1'!$L$16"}</definedName>
    <definedName name="sdf" hidden="1">{"'Sheet1'!$L$16"}</definedName>
    <definedName name="sdfa">#REF!</definedName>
    <definedName name="sdfd" localSheetId="1" hidden="1">{"'Sheet1'!$L$16"}</definedName>
    <definedName name="sdfd" localSheetId="2" hidden="1">{"'Sheet1'!$L$16"}</definedName>
    <definedName name="sdfd" localSheetId="4" hidden="1">{"'Sheet1'!$L$16"}</definedName>
    <definedName name="sdfd" localSheetId="5" hidden="1">{"'Sheet1'!$L$16"}</definedName>
    <definedName name="sdfd" localSheetId="6" hidden="1">{"'Sheet1'!$L$16"}</definedName>
    <definedName name="sdfd" localSheetId="7" hidden="1">{"'Sheet1'!$L$16"}</definedName>
    <definedName name="sdfd" localSheetId="8" hidden="1">{"'Sheet1'!$L$16"}</definedName>
    <definedName name="sdfd" hidden="1">{"'Sheet1'!$L$16"}</definedName>
    <definedName name="sdfs" localSheetId="8">#REF!</definedName>
    <definedName name="sdfs">#REF!</definedName>
    <definedName name="SDFSDFS" localSheetId="1" hidden="1">{"'Sheet1'!$L$16"}</definedName>
    <definedName name="SDFSDFS" localSheetId="2" hidden="1">{"'Sheet1'!$L$16"}</definedName>
    <definedName name="SDFSDFS" localSheetId="4" hidden="1">{"'Sheet1'!$L$16"}</definedName>
    <definedName name="SDFSDFS" localSheetId="5" hidden="1">{"'Sheet1'!$L$16"}</definedName>
    <definedName name="SDFSDFS" localSheetId="6" hidden="1">{"'Sheet1'!$L$16"}</definedName>
    <definedName name="SDFSDFS" localSheetId="7" hidden="1">{"'Sheet1'!$L$16"}</definedName>
    <definedName name="SDFSDFS" localSheetId="8" hidden="1">{"'Sheet1'!$L$16"}</definedName>
    <definedName name="SDFSDFS" hidden="1">{"'Sheet1'!$L$16"}</definedName>
    <definedName name="sdfsdfsd" localSheetId="1" hidden="1">{"'Sheet1'!$L$16"}</definedName>
    <definedName name="sdfsdfsd" localSheetId="2" hidden="1">{"'Sheet1'!$L$16"}</definedName>
    <definedName name="sdfsdfsd" localSheetId="3" hidden="1">{"'Sheet1'!$L$16"}</definedName>
    <definedName name="sdfsdfsd" localSheetId="4" hidden="1">{"'Sheet1'!$L$16"}</definedName>
    <definedName name="sdfsdfsd" localSheetId="5" hidden="1">{"'Sheet1'!$L$16"}</definedName>
    <definedName name="sdfsdfsd" localSheetId="6" hidden="1">{"'Sheet1'!$L$16"}</definedName>
    <definedName name="sdfsdfsd" localSheetId="7" hidden="1">{"'Sheet1'!$L$16"}</definedName>
    <definedName name="sdfsdfsd" localSheetId="8" hidden="1">{"'Sheet1'!$L$16"}</definedName>
    <definedName name="sdfsdfsd" hidden="1">{"'Sheet1'!$L$16"}</definedName>
    <definedName name="sdfsdfsdfsdf" localSheetId="1" hidden="1">{#N/A,#N/A,FALSE,"CCTV"}</definedName>
    <definedName name="sdfsdfsdfsdf" localSheetId="2" hidden="1">{#N/A,#N/A,FALSE,"CCTV"}</definedName>
    <definedName name="sdfsdfsdfsdf" localSheetId="4" hidden="1">{#N/A,#N/A,FALSE,"CCTV"}</definedName>
    <definedName name="sdfsdfsdfsdf" localSheetId="5" hidden="1">{#N/A,#N/A,FALSE,"CCTV"}</definedName>
    <definedName name="sdfsdfsdfsdf" localSheetId="6" hidden="1">{#N/A,#N/A,FALSE,"CCTV"}</definedName>
    <definedName name="sdfsdfsdfsdf" localSheetId="7" hidden="1">{#N/A,#N/A,FALSE,"CCTV"}</definedName>
    <definedName name="sdfsdfsdfsdf" localSheetId="8" hidden="1">{#N/A,#N/A,FALSE,"CCTV"}</definedName>
    <definedName name="sdfsdfsdfsdf" hidden="1">{#N/A,#N/A,FALSE,"CCTV"}</definedName>
    <definedName name="sdfsdfsdfsfs" localSheetId="1" hidden="1">{#N/A,#N/A,FALSE,"CCTV"}</definedName>
    <definedName name="sdfsdfsdfsfs" localSheetId="2" hidden="1">{#N/A,#N/A,FALSE,"CCTV"}</definedName>
    <definedName name="sdfsdfsdfsfs" localSheetId="4" hidden="1">{#N/A,#N/A,FALSE,"CCTV"}</definedName>
    <definedName name="sdfsdfsdfsfs" localSheetId="5" hidden="1">{#N/A,#N/A,FALSE,"CCTV"}</definedName>
    <definedName name="sdfsdfsdfsfs" localSheetId="6" hidden="1">{#N/A,#N/A,FALSE,"CCTV"}</definedName>
    <definedName name="sdfsdfsdfsfs" localSheetId="7" hidden="1">{#N/A,#N/A,FALSE,"CCTV"}</definedName>
    <definedName name="sdfsdfsdfsfs" localSheetId="8" hidden="1">{#N/A,#N/A,FALSE,"CCTV"}</definedName>
    <definedName name="sdfsdfsdfsfs" hidden="1">{#N/A,#N/A,FALSE,"CCTV"}</definedName>
    <definedName name="Sdh" localSheetId="8">#REF!</definedName>
    <definedName name="Sdh">#REF!</definedName>
    <definedName name="SDMONG" localSheetId="8">#REF!</definedName>
    <definedName name="SDMONG">#REF!</definedName>
    <definedName name="sdo" localSheetId="8">#REF!</definedName>
    <definedName name="sdo">#REF!</definedName>
    <definedName name="se">#N/A</definedName>
    <definedName name="sencount" hidden="1">2</definedName>
    <definedName name="Sensation" localSheetId="8">#REF!</definedName>
    <definedName name="Sensation">#REF!</definedName>
    <definedName name="SETVAR" localSheetId="8">#REF!</definedName>
    <definedName name="SETVAR">#REF!</definedName>
    <definedName name="setysert" localSheetId="8">#REF!</definedName>
    <definedName name="setysert">#REF!</definedName>
    <definedName name="sẻy" localSheetId="8">#REF!</definedName>
    <definedName name="sẻy">#REF!</definedName>
    <definedName name="SFADHGFD" localSheetId="1" hidden="1">{"'Sheet1'!$L$16"}</definedName>
    <definedName name="SFADHGFD" localSheetId="2" hidden="1">{"'Sheet1'!$L$16"}</definedName>
    <definedName name="SFADHGFD" localSheetId="4" hidden="1">{"'Sheet1'!$L$16"}</definedName>
    <definedName name="SFADHGFD" localSheetId="5" hidden="1">{"'Sheet1'!$L$16"}</definedName>
    <definedName name="SFADHGFD" localSheetId="6" hidden="1">{"'Sheet1'!$L$16"}</definedName>
    <definedName name="SFADHGFD" localSheetId="7" hidden="1">{"'Sheet1'!$L$16"}</definedName>
    <definedName name="SFADHGFD" localSheetId="8" hidden="1">{"'Sheet1'!$L$16"}</definedName>
    <definedName name="SFADHGFD" hidden="1">{"'Sheet1'!$L$16"}</definedName>
    <definedName name="sfsd" localSheetId="1" hidden="1">{"'Sheet1'!$L$16"}</definedName>
    <definedName name="sfsd" localSheetId="2" hidden="1">{"'Sheet1'!$L$16"}</definedName>
    <definedName name="sfsd" localSheetId="4" hidden="1">{"'Sheet1'!$L$16"}</definedName>
    <definedName name="sfsd" localSheetId="5" hidden="1">{"'Sheet1'!$L$16"}</definedName>
    <definedName name="sfsd" localSheetId="6" hidden="1">{"'Sheet1'!$L$16"}</definedName>
    <definedName name="sfsd" localSheetId="7" hidden="1">{"'Sheet1'!$L$16"}</definedName>
    <definedName name="sfsd" localSheetId="8" hidden="1">{"'Sheet1'!$L$16"}</definedName>
    <definedName name="sfsd" hidden="1">{"'Sheet1'!$L$16"}</definedName>
    <definedName name="SFX" localSheetId="8">#REF!</definedName>
    <definedName name="SFX">#REF!</definedName>
    <definedName name="SFY" localSheetId="8">#REF!</definedName>
    <definedName name="SFY">#REF!</definedName>
    <definedName name="SG">#REF!</definedName>
    <definedName name="sg1." localSheetId="8">#REF!</definedName>
    <definedName name="sg1.">#REF!</definedName>
    <definedName name="sg2." localSheetId="8">#REF!</definedName>
    <definedName name="sg2.">#REF!</definedName>
    <definedName name="sgjhk" localSheetId="1" hidden="1">{"'Sheet1'!$L$16"}</definedName>
    <definedName name="sgjhk" localSheetId="2" hidden="1">{"'Sheet1'!$L$16"}</definedName>
    <definedName name="sgjhk" localSheetId="4" hidden="1">{"'Sheet1'!$L$16"}</definedName>
    <definedName name="sgjhk" localSheetId="5" hidden="1">{"'Sheet1'!$L$16"}</definedName>
    <definedName name="sgjhk" localSheetId="6" hidden="1">{"'Sheet1'!$L$16"}</definedName>
    <definedName name="sgjhk" localSheetId="7" hidden="1">{"'Sheet1'!$L$16"}</definedName>
    <definedName name="sgjhk" localSheetId="8" hidden="1">{"'Sheet1'!$L$16"}</definedName>
    <definedName name="sgjhk" hidden="1">{"'Sheet1'!$L$16"}</definedName>
    <definedName name="sgnc" localSheetId="8">#REF!</definedName>
    <definedName name="sgnc">#REF!</definedName>
    <definedName name="sgvl" localSheetId="8">#REF!</definedName>
    <definedName name="sgvl">#REF!</definedName>
    <definedName name="sh">#REF!</definedName>
    <definedName name="Sheet1" localSheetId="8">#REF!</definedName>
    <definedName name="Sheet1">#REF!</definedName>
    <definedName name="sheet2" localSheetId="1" hidden="1">{"'Sheet1'!$L$16"}</definedName>
    <definedName name="sheet2" localSheetId="2" hidden="1">{"'Sheet1'!$L$16"}</definedName>
    <definedName name="sheet2" localSheetId="4" hidden="1">{"'Sheet1'!$L$16"}</definedName>
    <definedName name="sheet2" localSheetId="5" hidden="1">{"'Sheet1'!$L$16"}</definedName>
    <definedName name="sheet2" localSheetId="6" hidden="1">{"'Sheet1'!$L$16"}</definedName>
    <definedName name="sheet2" localSheetId="7" hidden="1">{"'Sheet1'!$L$16"}</definedName>
    <definedName name="sheet2" localSheetId="8" hidden="1">{"'Sheet1'!$L$16"}</definedName>
    <definedName name="sheet2" hidden="1">{"'Sheet1'!$L$16"}</definedName>
    <definedName name="Sheûet" localSheetId="1" hidden="1">{"'Sheet1'!$L$16"}</definedName>
    <definedName name="Sheûet" localSheetId="2" hidden="1">{"'Sheet1'!$L$16"}</definedName>
    <definedName name="Sheûet" localSheetId="4" hidden="1">{"'Sheet1'!$L$16"}</definedName>
    <definedName name="Sheûet" localSheetId="5" hidden="1">{"'Sheet1'!$L$16"}</definedName>
    <definedName name="Sheûet" localSheetId="6" hidden="1">{"'Sheet1'!$L$16"}</definedName>
    <definedName name="Sheûet" localSheetId="7" hidden="1">{"'Sheet1'!$L$16"}</definedName>
    <definedName name="Sheûet" localSheetId="8" hidden="1">{"'Sheet1'!$L$16"}</definedName>
    <definedName name="Sheûet" hidden="1">{"'Sheet1'!$L$16"}</definedName>
    <definedName name="Sheûet_1" localSheetId="1" hidden="1">{"'Sheet1'!$L$16"}</definedName>
    <definedName name="Sheûet_1" localSheetId="2" hidden="1">{"'Sheet1'!$L$16"}</definedName>
    <definedName name="Sheûet_1" localSheetId="4" hidden="1">{"'Sheet1'!$L$16"}</definedName>
    <definedName name="Sheûet_1" localSheetId="5" hidden="1">{"'Sheet1'!$L$16"}</definedName>
    <definedName name="Sheûet_1" localSheetId="6" hidden="1">{"'Sheet1'!$L$16"}</definedName>
    <definedName name="Sheûet_1" localSheetId="7" hidden="1">{"'Sheet1'!$L$16"}</definedName>
    <definedName name="Sheûet_1" localSheetId="8" hidden="1">{"'Sheet1'!$L$16"}</definedName>
    <definedName name="Sheûet_1" hidden="1">{"'Sheet1'!$L$16"}</definedName>
    <definedName name="SHGSDFH" localSheetId="1" hidden="1">{"'Sheet1'!$L$16"}</definedName>
    <definedName name="SHGSDFH" localSheetId="2" hidden="1">{"'Sheet1'!$L$16"}</definedName>
    <definedName name="SHGSDFH" localSheetId="4" hidden="1">{"'Sheet1'!$L$16"}</definedName>
    <definedName name="SHGSDFH" localSheetId="5" hidden="1">{"'Sheet1'!$L$16"}</definedName>
    <definedName name="SHGSDFH" localSheetId="6" hidden="1">{"'Sheet1'!$L$16"}</definedName>
    <definedName name="SHGSDFH" localSheetId="7" hidden="1">{"'Sheet1'!$L$16"}</definedName>
    <definedName name="SHGSDFH" localSheetId="8" hidden="1">{"'Sheet1'!$L$16"}</definedName>
    <definedName name="SHGSDFH" hidden="1">{"'Sheet1'!$L$16"}</definedName>
    <definedName name="sho" localSheetId="8">#REF!</definedName>
    <definedName name="sho">#REF!</definedName>
    <definedName name="sht" localSheetId="8">#REF!</definedName>
    <definedName name="sht">#REF!</definedName>
    <definedName name="sht1p" localSheetId="8">#REF!</definedName>
    <definedName name="sht1p">#REF!</definedName>
    <definedName name="sht3p" localSheetId="8">#REF!</definedName>
    <definedName name="sht3p">#REF!</definedName>
    <definedName name="sieucao" localSheetId="8">#REF!</definedName>
    <definedName name="sieucao">#REF!</definedName>
    <definedName name="SIGN" localSheetId="8">#REF!</definedName>
    <definedName name="SIGN">#REF!</definedName>
    <definedName name="sin">#REF!</definedName>
    <definedName name="SITE_EXPENSE" localSheetId="4" hidden="1">#REF!</definedName>
    <definedName name="SITE_EXPENSE" localSheetId="5" hidden="1">#REF!</definedName>
    <definedName name="SITE_EXPENSE" localSheetId="6" hidden="1">#REF!</definedName>
    <definedName name="SITE_EXPENSE" localSheetId="7" hidden="1">#REF!</definedName>
    <definedName name="SITE_EXPENSE" localSheetId="8" hidden="1">#REF!</definedName>
    <definedName name="SITE_EXPENSE" hidden="1">#REF!</definedName>
    <definedName name="Sixty_Fr">#REF!</definedName>
    <definedName name="Sixty_To">#REF!</definedName>
    <definedName name="SIZE" localSheetId="8">#REF!</definedName>
    <definedName name="SIZE">#REF!</definedName>
    <definedName name="skd">#REF!</definedName>
    <definedName name="SKUcoverage" localSheetId="8">#REF!</definedName>
    <definedName name="SKUcoverage">#REF!</definedName>
    <definedName name="sl">#REF!</definedName>
    <definedName name="SL_CRD" localSheetId="8">#REF!</definedName>
    <definedName name="SL_CRD">#REF!</definedName>
    <definedName name="SL_CRS" localSheetId="8">#REF!</definedName>
    <definedName name="SL_CRS">#REF!</definedName>
    <definedName name="SL_CS" localSheetId="8">#REF!</definedName>
    <definedName name="SL_CS">#REF!</definedName>
    <definedName name="SL_DD" localSheetId="8">#REF!</definedName>
    <definedName name="SL_DD">#REF!</definedName>
    <definedName name="slg" localSheetId="8">#REF!</definedName>
    <definedName name="slg">#REF!</definedName>
    <definedName name="SM" localSheetId="8">#REF!</definedName>
    <definedName name="SM">#REF!</definedName>
    <definedName name="smax" localSheetId="8">#REF!</definedName>
    <definedName name="smax">#REF!</definedName>
    <definedName name="smin" localSheetId="8">#REF!</definedName>
    <definedName name="smin">#REF!</definedName>
    <definedName name="So" localSheetId="8">IF(#REF!=0,VLOOKUP(#REF!,#REF!,3,FALSE),IF(N(ISERROR(VLOOKUP(#REF!,#REF!,2,FALSE)))&lt;&gt;1,VLOOKUP(#REF!,#REF!,2,FALSE),"-"))</definedName>
    <definedName name="So">IF(#REF!=0,VLOOKUP(#REF!,#REF!,3,FALSE),IF(N(ISERROR(VLOOKUP(#REF!,#REF!,2,FALSE)))&lt;&gt;1,VLOOKUP(#REF!,#REF!,2,FALSE),"-"))</definedName>
    <definedName name="soc3p" localSheetId="8">#REF!</definedName>
    <definedName name="soc3p">#REF!</definedName>
    <definedName name="soho" localSheetId="8">#REF!</definedName>
    <definedName name="soho">#REF!</definedName>
    <definedName name="soi" localSheetId="8">#REF!</definedName>
    <definedName name="soi">#REF!</definedName>
    <definedName name="Soi_HamYen" localSheetId="8">#REF!</definedName>
    <definedName name="Soi_HamYen">#REF!</definedName>
    <definedName name="soichon12" localSheetId="8">#REF!</definedName>
    <definedName name="soichon12">#REF!</definedName>
    <definedName name="soichon24" localSheetId="8">#REF!</definedName>
    <definedName name="soichon24">#REF!</definedName>
    <definedName name="soichon46" localSheetId="8">#REF!</definedName>
    <definedName name="soichon46">#REF!</definedName>
    <definedName name="soichon4x6" localSheetId="8">#REF!</definedName>
    <definedName name="soichon4x6">#REF!</definedName>
    <definedName name="soigai">#REF!</definedName>
    <definedName name="SoilType">#REF!</definedName>
    <definedName name="SoilType_" localSheetId="8">#REF!</definedName>
    <definedName name="SoilType_">#REF!</definedName>
    <definedName name="Solan" localSheetId="8">#REF!</definedName>
    <definedName name="Solan">#REF!</definedName>
    <definedName name="solieu" localSheetId="8">#REF!</definedName>
    <definedName name="solieu">#REF!</definedName>
    <definedName name="SOLUONG">#REF!</definedName>
    <definedName name="son" localSheetId="8">#REF!</definedName>
    <definedName name="son">#REF!</definedName>
    <definedName name="sonduong" localSheetId="8">#REF!</definedName>
    <definedName name="sonduong">#REF!</definedName>
    <definedName name="SORT" localSheetId="8">#REF!</definedName>
    <definedName name="SORT">#REF!</definedName>
    <definedName name="SORT_AREA">#REF!</definedName>
    <definedName name="Sosanh2" localSheetId="1" hidden="1">{"'Sheet1'!$L$16"}</definedName>
    <definedName name="Sosanh2" localSheetId="2" hidden="1">{"'Sheet1'!$L$16"}</definedName>
    <definedName name="Sosanh2" localSheetId="4" hidden="1">{"'Sheet1'!$L$16"}</definedName>
    <definedName name="Sosanh2" localSheetId="5" hidden="1">{"'Sheet1'!$L$16"}</definedName>
    <definedName name="Sosanh2" localSheetId="6" hidden="1">{"'Sheet1'!$L$16"}</definedName>
    <definedName name="Sosanh2" localSheetId="7" hidden="1">{"'Sheet1'!$L$16"}</definedName>
    <definedName name="Sosanh2" localSheetId="8" hidden="1">{"'Sheet1'!$L$16"}</definedName>
    <definedName name="Sosanh2" hidden="1">{"'Sheet1'!$L$16"}</definedName>
    <definedName name="Sothutu" localSheetId="8">#REF!</definedName>
    <definedName name="Sothutu">#REF!</definedName>
    <definedName name="SOTIEN" localSheetId="8">OFFSET(#REF!,COUNTA(#REF!)-1,0,1)</definedName>
    <definedName name="SOTIEN">OFFSET(#REF!,COUNTA(#REF!)-1,0,1)</definedName>
    <definedName name="SP" localSheetId="8">#REF!</definedName>
    <definedName name="SP">#REF!</definedName>
    <definedName name="sp_bq" localSheetId="8">#REF!</definedName>
    <definedName name="sp_bq">#REF!</definedName>
    <definedName name="sp_bv" localSheetId="8">#REF!</definedName>
    <definedName name="sp_bv">#REF!</definedName>
    <definedName name="sp_ck" localSheetId="8">#REF!</definedName>
    <definedName name="sp_ck">#REF!</definedName>
    <definedName name="sp_d1" localSheetId="8">#REF!</definedName>
    <definedName name="sp_d1">#REF!</definedName>
    <definedName name="sp_d2" localSheetId="8">#REF!</definedName>
    <definedName name="sp_d2">#REF!</definedName>
    <definedName name="sp_d3" localSheetId="8">#REF!</definedName>
    <definedName name="sp_d3">#REF!</definedName>
    <definedName name="sp_dl" localSheetId="8">#REF!</definedName>
    <definedName name="sp_dl">#REF!</definedName>
    <definedName name="sp_kcs" localSheetId="8">#REF!</definedName>
    <definedName name="sp_kcs">#REF!</definedName>
    <definedName name="sp_nb" localSheetId="8">#REF!</definedName>
    <definedName name="sp_nb">#REF!</definedName>
    <definedName name="sp_ngio" localSheetId="8">#REF!</definedName>
    <definedName name="sp_ngio">#REF!</definedName>
    <definedName name="sp_nv" localSheetId="8">#REF!</definedName>
    <definedName name="sp_nv">#REF!</definedName>
    <definedName name="sp_t3" localSheetId="8">#REF!</definedName>
    <definedName name="sp_t3">#REF!</definedName>
    <definedName name="sp_t4" localSheetId="8">#REF!</definedName>
    <definedName name="sp_t4">#REF!</definedName>
    <definedName name="sp_t5" localSheetId="8">#REF!</definedName>
    <definedName name="sp_t5">#REF!</definedName>
    <definedName name="sp_t6" localSheetId="8">#REF!</definedName>
    <definedName name="sp_t6">#REF!</definedName>
    <definedName name="sp_tc" localSheetId="8">#REF!</definedName>
    <definedName name="sp_tc">#REF!</definedName>
    <definedName name="sp_tm" localSheetId="8">#REF!</definedName>
    <definedName name="sp_tm">#REF!</definedName>
    <definedName name="sp_vs" localSheetId="8">#REF!</definedName>
    <definedName name="sp_vs">#REF!</definedName>
    <definedName name="sp_xh" localSheetId="8">#REF!</definedName>
    <definedName name="sp_xh">#REF!</definedName>
    <definedName name="SPAN" localSheetId="8">#REF!</definedName>
    <definedName name="SPAN">#REF!</definedName>
    <definedName name="SPAN_No" localSheetId="8">#REF!</definedName>
    <definedName name="SPAN_No">#REF!</definedName>
    <definedName name="Spanner_Auto_File">"C:\My Documents\tinh cdo.x2a"</definedName>
    <definedName name="SPEC" localSheetId="8">#REF!</definedName>
    <definedName name="SPEC">#REF!</definedName>
    <definedName name="SpecialPrice" localSheetId="3" hidden="1">#REF!</definedName>
    <definedName name="SpecialPrice" localSheetId="4" hidden="1">#REF!</definedName>
    <definedName name="SpecialPrice" localSheetId="5" hidden="1">#REF!</definedName>
    <definedName name="SpecialPrice" localSheetId="6" hidden="1">#REF!</definedName>
    <definedName name="SpecialPrice" localSheetId="7" hidden="1">#REF!</definedName>
    <definedName name="SpecialPrice" localSheetId="8" hidden="1">#REF!</definedName>
    <definedName name="SpecialPrice" hidden="1">#REF!</definedName>
    <definedName name="SPECSUMMARY" localSheetId="8">#REF!</definedName>
    <definedName name="SPECSUMMARY">#REF!</definedName>
    <definedName name="spk1p" localSheetId="8">#REF!</definedName>
    <definedName name="spk1p">#REF!</definedName>
    <definedName name="spk3p" localSheetId="8">#REF!</definedName>
    <definedName name="spk3p">#REF!</definedName>
    <definedName name="SQ" localSheetId="8">#REF!</definedName>
    <definedName name="SQ">#REF!</definedName>
    <definedName name="SRT">#REF!</definedName>
    <definedName name="SS" localSheetId="1" hidden="1">{"'Sheet1'!$L$16"}</definedName>
    <definedName name="SS" localSheetId="2" hidden="1">{"'Sheet1'!$L$16"}</definedName>
    <definedName name="SS" localSheetId="3" hidden="1">{"'Sheet1'!$L$16"}</definedName>
    <definedName name="SS" localSheetId="4" hidden="1">{"'Sheet1'!$L$16"}</definedName>
    <definedName name="SS" localSheetId="5" hidden="1">{"'Sheet1'!$L$16"}</definedName>
    <definedName name="SS" localSheetId="6" hidden="1">{"'Sheet1'!$L$16"}</definedName>
    <definedName name="SS" localSheetId="7" hidden="1">{"'Sheet1'!$L$16"}</definedName>
    <definedName name="SS" localSheetId="8" hidden="1">{"'Sheet1'!$L$16"}</definedName>
    <definedName name="SS" hidden="1">{"'Sheet1'!$L$16"}</definedName>
    <definedName name="Ssan" localSheetId="8">#REF!</definedName>
    <definedName name="Ssan">#REF!</definedName>
    <definedName name="sss" localSheetId="1" hidden="1">{"'Sheet1'!$L$16"}</definedName>
    <definedName name="sss" localSheetId="2" hidden="1">{"'Sheet1'!$L$16"}</definedName>
    <definedName name="sss" localSheetId="4" hidden="1">{"'Sheet1'!$L$16"}</definedName>
    <definedName name="sss" localSheetId="5" hidden="1">{"'Sheet1'!$L$16"}</definedName>
    <definedName name="sss" localSheetId="6" hidden="1">{"'Sheet1'!$L$16"}</definedName>
    <definedName name="sss" localSheetId="7" hidden="1">{"'Sheet1'!$L$16"}</definedName>
    <definedName name="sss" localSheetId="8" hidden="1">{"'Sheet1'!$L$16"}</definedName>
    <definedName name="sss" hidden="1">{"'Sheet1'!$L$16"}</definedName>
    <definedName name="ssssssss" localSheetId="1" hidden="1">{"Offgrid",#N/A,FALSE,"OFFGRID";"Region",#N/A,FALSE,"REGION";"Offgrid -2",#N/A,FALSE,"OFFGRID";"WTP",#N/A,FALSE,"WTP";"WTP -2",#N/A,FALSE,"WTP";"Project",#N/A,FALSE,"PROJECT";"Summary -2",#N/A,FALSE,"SUMMARY"}</definedName>
    <definedName name="ssssssss" localSheetId="2" hidden="1">{"Offgrid",#N/A,FALSE,"OFFGRID";"Region",#N/A,FALSE,"REGION";"Offgrid -2",#N/A,FALSE,"OFFGRID";"WTP",#N/A,FALSE,"WTP";"WTP -2",#N/A,FALSE,"WTP";"Project",#N/A,FALSE,"PROJECT";"Summary -2",#N/A,FALSE,"SUMMARY"}</definedName>
    <definedName name="ssssssss" localSheetId="4" hidden="1">{"Offgrid",#N/A,FALSE,"OFFGRID";"Region",#N/A,FALSE,"REGION";"Offgrid -2",#N/A,FALSE,"OFFGRID";"WTP",#N/A,FALSE,"WTP";"WTP -2",#N/A,FALSE,"WTP";"Project",#N/A,FALSE,"PROJECT";"Summary -2",#N/A,FALSE,"SUMMARY"}</definedName>
    <definedName name="ssssssss" localSheetId="5" hidden="1">{"Offgrid",#N/A,FALSE,"OFFGRID";"Region",#N/A,FALSE,"REGION";"Offgrid -2",#N/A,FALSE,"OFFGRID";"WTP",#N/A,FALSE,"WTP";"WTP -2",#N/A,FALSE,"WTP";"Project",#N/A,FALSE,"PROJECT";"Summary -2",#N/A,FALSE,"SUMMARY"}</definedName>
    <definedName name="ssssssss" localSheetId="6" hidden="1">{"Offgrid",#N/A,FALSE,"OFFGRID";"Region",#N/A,FALSE,"REGION";"Offgrid -2",#N/A,FALSE,"OFFGRID";"WTP",#N/A,FALSE,"WTP";"WTP -2",#N/A,FALSE,"WTP";"Project",#N/A,FALSE,"PROJECT";"Summary -2",#N/A,FALSE,"SUMMARY"}</definedName>
    <definedName name="ssssssss" localSheetId="7" hidden="1">{"Offgrid",#N/A,FALSE,"OFFGRID";"Region",#N/A,FALSE,"REGION";"Offgrid -2",#N/A,FALSE,"OFFGRID";"WTP",#N/A,FALSE,"WTP";"WTP -2",#N/A,FALSE,"WTP";"Project",#N/A,FALSE,"PROJECT";"Summary -2",#N/A,FALSE,"SUMMARY"}</definedName>
    <definedName name="ssssssss" localSheetId="8" hidden="1">{"Offgrid",#N/A,FALSE,"OFFGRID";"Region",#N/A,FALSE,"REGION";"Offgrid -2",#N/A,FALSE,"OFFGRID";"WTP",#N/A,FALSE,"WTP";"WTP -2",#N/A,FALSE,"WTP";"Project",#N/A,FALSE,"PROJECT";"Summary -2",#N/A,FALSE,"SUMMARY"}</definedName>
    <definedName name="ssssssss" hidden="1">{"Offgrid",#N/A,FALSE,"OFFGRID";"Region",#N/A,FALSE,"REGION";"Offgrid -2",#N/A,FALSE,"OFFGRID";"WTP",#N/A,FALSE,"WTP";"WTP -2",#N/A,FALSE,"WTP";"Project",#N/A,FALSE,"PROJECT";"Summary -2",#N/A,FALSE,"SUMMARY"}</definedName>
    <definedName name="st1p" localSheetId="8">#REF!</definedName>
    <definedName name="st1p">#REF!</definedName>
    <definedName name="st3p" localSheetId="8">#REF!</definedName>
    <definedName name="st3p">#REF!</definedName>
    <definedName name="START" localSheetId="8">#REF!</definedName>
    <definedName name="START">#REF!</definedName>
    <definedName name="Start_1" localSheetId="8">#REF!</definedName>
    <definedName name="Start_1">#REF!</definedName>
    <definedName name="Start_10" localSheetId="8">#REF!</definedName>
    <definedName name="Start_10">#REF!</definedName>
    <definedName name="Start_11" localSheetId="8">#REF!</definedName>
    <definedName name="Start_11">#REF!</definedName>
    <definedName name="Start_12" localSheetId="8">#REF!</definedName>
    <definedName name="Start_12">#REF!</definedName>
    <definedName name="Start_13" localSheetId="8">#REF!</definedName>
    <definedName name="Start_13">#REF!</definedName>
    <definedName name="Start_2" localSheetId="8">#REF!</definedName>
    <definedName name="Start_2">#REF!</definedName>
    <definedName name="Start_3" localSheetId="8">#REF!</definedName>
    <definedName name="Start_3">#REF!</definedName>
    <definedName name="Start_4" localSheetId="8">#REF!</definedName>
    <definedName name="Start_4">#REF!</definedName>
    <definedName name="Start_5" localSheetId="8">#REF!</definedName>
    <definedName name="Start_5">#REF!</definedName>
    <definedName name="Start_6" localSheetId="8">#REF!</definedName>
    <definedName name="Start_6">#REF!</definedName>
    <definedName name="Start_7" localSheetId="8">#REF!</definedName>
    <definedName name="Start_7">#REF!</definedName>
    <definedName name="Start_8" localSheetId="8">#REF!</definedName>
    <definedName name="Start_8">#REF!</definedName>
    <definedName name="Start_9" localSheetId="8">#REF!</definedName>
    <definedName name="Start_9">#REF!</definedName>
    <definedName name="Stc" localSheetId="8">#REF!</definedName>
    <definedName name="Stc">#REF!</definedName>
    <definedName name="STD" localSheetId="8">#REF!</definedName>
    <definedName name="STD">#REF!</definedName>
    <definedName name="stert" localSheetId="8">#REF!</definedName>
    <definedName name="stert">#REF!</definedName>
    <definedName name="str">#REF!</definedName>
    <definedName name="STRES_MiD" localSheetId="8">#REF!</definedName>
    <definedName name="STRES_MiD">#REF!</definedName>
    <definedName name="struc_analy">#REF!</definedName>
    <definedName name="Stt" localSheetId="8">#REF!</definedName>
    <definedName name="Stt">#REF!</definedName>
    <definedName name="SU" localSheetId="8">#REF!</definedName>
    <definedName name="SU">#REF!</definedName>
    <definedName name="SuatVonBietThu" localSheetId="8">#REF!</definedName>
    <definedName name="SuatVonBietThu">#REF!</definedName>
    <definedName name="SUL" localSheetId="8">#REF!</definedName>
    <definedName name="SUL">#REF!</definedName>
    <definedName name="SUMMARY" localSheetId="8">#REF!</definedName>
    <definedName name="SUMMARY">#REF!</definedName>
    <definedName name="SumMTC1">#REF!</definedName>
    <definedName name="SUMNC1">#REF!</definedName>
    <definedName name="sumTB" localSheetId="8">#REF!</definedName>
    <definedName name="sumTB">#REF!</definedName>
    <definedName name="SumVL">#REF!</definedName>
    <definedName name="sumXL" localSheetId="8">#REF!</definedName>
    <definedName name="sumXL">#REF!</definedName>
    <definedName name="sv" localSheetId="8">#REF!</definedName>
    <definedName name="sv">#REF!</definedName>
    <definedName name="SVC" localSheetId="8">#REF!</definedName>
    <definedName name="SVC">#REF!</definedName>
    <definedName name="svn" localSheetId="8">#REF!</definedName>
    <definedName name="svn">#REF!</definedName>
    <definedName name="SX_Lapthao_khungV_Sdao" localSheetId="8">#REF!</definedName>
    <definedName name="SX_Lapthao_khungV_Sdao">#REF!</definedName>
    <definedName name="t" localSheetId="1" hidden="1">{#N/A,#N/A,FALSE,"Chi tiÆt"}</definedName>
    <definedName name="t" localSheetId="2" hidden="1">{#N/A,#N/A,FALSE,"Chi tiÆt"}</definedName>
    <definedName name="t" localSheetId="3" hidden="1">{#N/A,#N/A,FALSE,"Chi tiÆt"}</definedName>
    <definedName name="t" localSheetId="4" hidden="1">{#N/A,#N/A,FALSE,"Chi tiÆt"}</definedName>
    <definedName name="t" localSheetId="5" hidden="1">{#N/A,#N/A,FALSE,"Chi tiÆt"}</definedName>
    <definedName name="t" localSheetId="6" hidden="1">{#N/A,#N/A,FALSE,"Chi tiÆt"}</definedName>
    <definedName name="t" localSheetId="7" hidden="1">{#N/A,#N/A,FALSE,"Chi tiÆt"}</definedName>
    <definedName name="t" localSheetId="8" hidden="1">{#N/A,#N/A,FALSE,"Chi tiÆt"}</definedName>
    <definedName name="t" hidden="1">{#N/A,#N/A,FALSE,"Chi tiÆt"}</definedName>
    <definedName name="t." localSheetId="8">#REF!</definedName>
    <definedName name="t.">#REF!</definedName>
    <definedName name="t.." localSheetId="8">#REF!</definedName>
    <definedName name="t..">#REF!</definedName>
    <definedName name="T.3" localSheetId="1" hidden="1">{"'Sheet1'!$L$16"}</definedName>
    <definedName name="T.3" localSheetId="2" hidden="1">{"'Sheet1'!$L$16"}</definedName>
    <definedName name="T.3" localSheetId="4" hidden="1">{"'Sheet1'!$L$16"}</definedName>
    <definedName name="T.3" localSheetId="5" hidden="1">{"'Sheet1'!$L$16"}</definedName>
    <definedName name="T.3" localSheetId="6" hidden="1">{"'Sheet1'!$L$16"}</definedName>
    <definedName name="T.3" localSheetId="7" hidden="1">{"'Sheet1'!$L$16"}</definedName>
    <definedName name="T.3" localSheetId="8" hidden="1">{"'Sheet1'!$L$16"}</definedName>
    <definedName name="T.3" hidden="1">{"'Sheet1'!$L$16"}</definedName>
    <definedName name="T.nhËp" localSheetId="8">#REF!</definedName>
    <definedName name="T.nhËp">#REF!</definedName>
    <definedName name="t_1" localSheetId="8">#REF!</definedName>
    <definedName name="t_1">#REF!</definedName>
    <definedName name="t101p" localSheetId="8">#REF!</definedName>
    <definedName name="t101p">#REF!</definedName>
    <definedName name="t103p" localSheetId="8">#REF!</definedName>
    <definedName name="t103p">#REF!</definedName>
    <definedName name="t105mnc" localSheetId="8">#REF!</definedName>
    <definedName name="t105mnc">#REF!</definedName>
    <definedName name="t10m" localSheetId="8">#REF!</definedName>
    <definedName name="t10m">#REF!</definedName>
    <definedName name="t10nc" localSheetId="8">#REF!</definedName>
    <definedName name="t10nc">#REF!</definedName>
    <definedName name="t10nc1p" localSheetId="8">#REF!</definedName>
    <definedName name="t10nc1p">#REF!</definedName>
    <definedName name="t10ncm" localSheetId="8">#REF!</definedName>
    <definedName name="t10ncm">#REF!</definedName>
    <definedName name="T10vc" localSheetId="8">#REF!</definedName>
    <definedName name="T10vc">#REF!</definedName>
    <definedName name="t10vl" localSheetId="8">#REF!</definedName>
    <definedName name="t10vl">#REF!</definedName>
    <definedName name="t10vl1p" localSheetId="8">#REF!</definedName>
    <definedName name="t10vl1p">#REF!</definedName>
    <definedName name="t121p" localSheetId="8">#REF!</definedName>
    <definedName name="t121p">#REF!</definedName>
    <definedName name="t123p" localSheetId="8">#REF!</definedName>
    <definedName name="t123p">#REF!</definedName>
    <definedName name="t12m" localSheetId="8">#REF!</definedName>
    <definedName name="t12m">#REF!</definedName>
    <definedName name="t12mnc" localSheetId="8">#REF!</definedName>
    <definedName name="t12mnc">#REF!</definedName>
    <definedName name="t12nc" localSheetId="8">#REF!</definedName>
    <definedName name="t12nc">#REF!</definedName>
    <definedName name="t12nc3p">#REF!</definedName>
    <definedName name="t12ncm" localSheetId="8">#REF!</definedName>
    <definedName name="t12ncm">#REF!</definedName>
    <definedName name="T12vc" localSheetId="8">#REF!</definedName>
    <definedName name="T12vc">#REF!</definedName>
    <definedName name="t12vl" localSheetId="8">#REF!</definedName>
    <definedName name="t12vl">#REF!</definedName>
    <definedName name="t12vl3p">#REF!</definedName>
    <definedName name="t141p" localSheetId="8">#REF!</definedName>
    <definedName name="t141p">#REF!</definedName>
    <definedName name="t143p" localSheetId="8">#REF!</definedName>
    <definedName name="t143p">#REF!</definedName>
    <definedName name="t14m" localSheetId="8">#REF!</definedName>
    <definedName name="t14m">#REF!</definedName>
    <definedName name="t14mnc" localSheetId="8">#REF!</definedName>
    <definedName name="t14mnc">#REF!</definedName>
    <definedName name="t14nc" localSheetId="8">#REF!</definedName>
    <definedName name="t14nc">#REF!</definedName>
    <definedName name="t14nc3p" localSheetId="8">#REF!</definedName>
    <definedName name="t14nc3p">#REF!</definedName>
    <definedName name="t14ncm" localSheetId="8">#REF!</definedName>
    <definedName name="t14ncm">#REF!</definedName>
    <definedName name="T14vc" localSheetId="8">#REF!</definedName>
    <definedName name="T14vc">#REF!</definedName>
    <definedName name="t14vl" localSheetId="8">#REF!</definedName>
    <definedName name="t14vl">#REF!</definedName>
    <definedName name="t14vl3p" localSheetId="8">#REF!</definedName>
    <definedName name="t14vl3p">#REF!</definedName>
    <definedName name="T1C.CDFD" localSheetId="8">#REF!</definedName>
    <definedName name="T1C.CDFD">#REF!</definedName>
    <definedName name="T1C.CDFDa" localSheetId="8">#REF!</definedName>
    <definedName name="T1C.CDFDa">#REF!</definedName>
    <definedName name="T1C.M14" localSheetId="8">#REF!</definedName>
    <definedName name="T1C.M14">#REF!</definedName>
    <definedName name="T1C.M14a" localSheetId="8">#REF!</definedName>
    <definedName name="T1C.M14a">#REF!</definedName>
    <definedName name="T203P" localSheetId="8">#REF!</definedName>
    <definedName name="T203P">#REF!</definedName>
    <definedName name="t20m" localSheetId="8">#REF!</definedName>
    <definedName name="t20m">#REF!</definedName>
    <definedName name="t20ncm" localSheetId="8">#REF!</definedName>
    <definedName name="t20ncm">#REF!</definedName>
    <definedName name="t7m" localSheetId="8">#REF!</definedName>
    <definedName name="t7m">#REF!</definedName>
    <definedName name="t7nc" localSheetId="8">#REF!</definedName>
    <definedName name="t7nc">#REF!</definedName>
    <definedName name="t7vl" localSheetId="8">#REF!</definedName>
    <definedName name="t7vl">#REF!</definedName>
    <definedName name="t84mnc" localSheetId="8">#REF!</definedName>
    <definedName name="t84mnc">#REF!</definedName>
    <definedName name="t8m" localSheetId="8">#REF!</definedName>
    <definedName name="t8m">#REF!</definedName>
    <definedName name="t8nc" localSheetId="8">#REF!</definedName>
    <definedName name="t8nc">#REF!</definedName>
    <definedName name="t8vl" localSheetId="8">#REF!</definedName>
    <definedName name="t8vl">#REF!</definedName>
    <definedName name="ta" localSheetId="8">#REF!</definedName>
    <definedName name="ta">#REF!</definedName>
    <definedName name="Table" localSheetId="8">#REF!</definedName>
    <definedName name="Table">#REF!</definedName>
    <definedName name="Tach_NghinTy">#REF!</definedName>
    <definedName name="tadao" localSheetId="8">#REF!</definedName>
    <definedName name="tadao">#REF!</definedName>
    <definedName name="Tai_trong" localSheetId="8">#REF!</definedName>
    <definedName name="Tai_trong">#REF!</definedName>
    <definedName name="Taikhoan" localSheetId="8">#REF!</definedName>
    <definedName name="Taikhoan">#REF!</definedName>
    <definedName name="Tam" localSheetId="8">#REF!</definedName>
    <definedName name="Tam">#REF!</definedName>
    <definedName name="tamdan" localSheetId="8">#REF!</definedName>
    <definedName name="tamdan">#REF!</definedName>
    <definedName name="Tamdao" localSheetId="1" hidden="1">{"'Sheet1'!$L$16"}</definedName>
    <definedName name="Tamdao" localSheetId="2" hidden="1">{"'Sheet1'!$L$16"}</definedName>
    <definedName name="Tamdao" localSheetId="3" hidden="1">{"'Sheet1'!$L$16"}</definedName>
    <definedName name="Tamdao" localSheetId="4" hidden="1">{"'Sheet1'!$L$16"}</definedName>
    <definedName name="Tamdao" localSheetId="5" hidden="1">{"'Sheet1'!$L$16"}</definedName>
    <definedName name="Tamdao" localSheetId="6" hidden="1">{"'Sheet1'!$L$16"}</definedName>
    <definedName name="Tamdao" localSheetId="7" hidden="1">{"'Sheet1'!$L$16"}</definedName>
    <definedName name="Tamdao" localSheetId="8" hidden="1">{"'Sheet1'!$L$16"}</definedName>
    <definedName name="Tamdao" hidden="1">{"'Sheet1'!$L$16"}</definedName>
    <definedName name="TAMTINH" localSheetId="8">#REF!</definedName>
    <definedName name="TAMTINH">#REF!</definedName>
    <definedName name="Tan" localSheetId="1" hidden="1">{"'Sheet1'!$L$16"}</definedName>
    <definedName name="Tan" localSheetId="2" hidden="1">{"'Sheet1'!$L$16"}</definedName>
    <definedName name="Tan" localSheetId="4" hidden="1">{"'Sheet1'!$L$16"}</definedName>
    <definedName name="Tan" localSheetId="5" hidden="1">{"'Sheet1'!$L$16"}</definedName>
    <definedName name="Tan" localSheetId="6" hidden="1">{"'Sheet1'!$L$16"}</definedName>
    <definedName name="Tan" localSheetId="7" hidden="1">{"'Sheet1'!$L$16"}</definedName>
    <definedName name="Tan" localSheetId="8" hidden="1">{"'Sheet1'!$L$16"}</definedName>
    <definedName name="Tan" hidden="1">{"'Sheet1'!$L$16"}</definedName>
    <definedName name="Tang" localSheetId="1" hidden="1">{"'Sheet1'!$L$16"}</definedName>
    <definedName name="Tang" localSheetId="2" hidden="1">{"'Sheet1'!$L$16"}</definedName>
    <definedName name="Tang" localSheetId="4" hidden="1">{"'Sheet1'!$L$16"}</definedName>
    <definedName name="Tang" localSheetId="5" hidden="1">{"'Sheet1'!$L$16"}</definedName>
    <definedName name="Tang" localSheetId="6" hidden="1">{"'Sheet1'!$L$16"}</definedName>
    <definedName name="Tang" localSheetId="7" hidden="1">{"'Sheet1'!$L$16"}</definedName>
    <definedName name="Tang" localSheetId="8" hidden="1">{"'Sheet1'!$L$16"}</definedName>
    <definedName name="Tang" hidden="1">{"'Sheet1'!$L$16"}</definedName>
    <definedName name="Täng_kinh_phÏ_x_y_l_p" localSheetId="8">#REF!</definedName>
    <definedName name="Täng_kinh_phÏ_x_y_l_p">#REF!</definedName>
    <definedName name="taun" localSheetId="8">#REF!</definedName>
    <definedName name="taun">#REF!</definedName>
    <definedName name="TaxTV">10%</definedName>
    <definedName name="TaxXL">5%</definedName>
    <definedName name="tb" localSheetId="8">#REF!</definedName>
    <definedName name="tb">#REF!</definedName>
    <definedName name="TB_" localSheetId="8">#REF!/10^9</definedName>
    <definedName name="TB_">#REF!/10^9</definedName>
    <definedName name="TB_CTO" localSheetId="8">#REF!</definedName>
    <definedName name="TB_CTO">#REF!</definedName>
    <definedName name="TBA" localSheetId="8">#REF!</definedName>
    <definedName name="TBA">#REF!</definedName>
    <definedName name="tbdd1p" localSheetId="8">#REF!</definedName>
    <definedName name="tbdd1p">#REF!</definedName>
    <definedName name="tbdd3p" localSheetId="8">#REF!</definedName>
    <definedName name="tbdd3p">#REF!</definedName>
    <definedName name="tbddsdl" localSheetId="8">#REF!</definedName>
    <definedName name="tbddsdl">#REF!</definedName>
    <definedName name="TBI" localSheetId="8">#REF!</definedName>
    <definedName name="TBI">#REF!</definedName>
    <definedName name="tbl_ProdInfo" localSheetId="3" hidden="1">#REF!</definedName>
    <definedName name="tbl_ProdInfo" localSheetId="4" hidden="1">#REF!</definedName>
    <definedName name="tbl_ProdInfo" localSheetId="5" hidden="1">#REF!</definedName>
    <definedName name="tbl_ProdInfo" localSheetId="6" hidden="1">#REF!</definedName>
    <definedName name="tbl_ProdInfo" localSheetId="7" hidden="1">#REF!</definedName>
    <definedName name="tbl_ProdInfo" localSheetId="8" hidden="1">#REF!</definedName>
    <definedName name="tbl_ProdInfo" hidden="1">#REF!</definedName>
    <definedName name="tbtr" localSheetId="8">#REF!</definedName>
    <definedName name="tbtr">#REF!</definedName>
    <definedName name="tbtram" localSheetId="8">#REF!</definedName>
    <definedName name="tbtram">#REF!</definedName>
    <definedName name="TBTT" localSheetId="8">#REF!</definedName>
    <definedName name="TBTT">#REF!</definedName>
    <definedName name="TC" localSheetId="8">#REF!</definedName>
    <definedName name="TC">#REF!</definedName>
    <definedName name="TC_NHANH1" localSheetId="8">#REF!</definedName>
    <definedName name="TC_NHANH1">#REF!</definedName>
    <definedName name="Tchuan" localSheetId="8">#REF!</definedName>
    <definedName name="Tchuan">#REF!</definedName>
    <definedName name="tcxxnc" localSheetId="8">#REF!</definedName>
    <definedName name="tcxxnc">#REF!</definedName>
    <definedName name="td" localSheetId="8">#REF!</definedName>
    <definedName name="td">#REF!</definedName>
    <definedName name="tđ" localSheetId="1" hidden="1">{"'Sheet1'!$L$16"}</definedName>
    <definedName name="tđ" localSheetId="2" hidden="1">{"'Sheet1'!$L$16"}</definedName>
    <definedName name="tđ" localSheetId="3" hidden="1">{"'Sheet1'!$L$16"}</definedName>
    <definedName name="tđ" localSheetId="4" hidden="1">{"'Sheet1'!$L$16"}</definedName>
    <definedName name="tđ" localSheetId="5" hidden="1">{"'Sheet1'!$L$16"}</definedName>
    <definedName name="tđ" localSheetId="6" hidden="1">{"'Sheet1'!$L$16"}</definedName>
    <definedName name="tđ" localSheetId="7" hidden="1">{"'Sheet1'!$L$16"}</definedName>
    <definedName name="tđ" localSheetId="8" hidden="1">{"'Sheet1'!$L$16"}</definedName>
    <definedName name="tđ" hidden="1">{"'Sheet1'!$L$16"}</definedName>
    <definedName name="td10vl" localSheetId="8">#REF!</definedName>
    <definedName name="td10vl">#REF!</definedName>
    <definedName name="td12nc" localSheetId="8">#REF!</definedName>
    <definedName name="td12nc">#REF!</definedName>
    <definedName name="TD12vl" localSheetId="8">#REF!</definedName>
    <definedName name="TD12vl">#REF!</definedName>
    <definedName name="td1cnc" localSheetId="8">#REF!</definedName>
    <definedName name="td1cnc">#REF!</definedName>
    <definedName name="td1cvl" localSheetId="8">#REF!</definedName>
    <definedName name="td1cvl">#REF!</definedName>
    <definedName name="td1p" localSheetId="8">#REF!</definedName>
    <definedName name="td1p">#REF!</definedName>
    <definedName name="TD1p1nc" localSheetId="8">#REF!</definedName>
    <definedName name="TD1p1nc">#REF!</definedName>
    <definedName name="td1p1vc" localSheetId="8">#REF!</definedName>
    <definedName name="td1p1vc">#REF!</definedName>
    <definedName name="TD1p1vl" localSheetId="8">#REF!</definedName>
    <definedName name="TD1p1vl">#REF!</definedName>
    <definedName name="TD1p2nc" localSheetId="8">#REF!</definedName>
    <definedName name="TD1p2nc">#REF!</definedName>
    <definedName name="TD1p2vc" localSheetId="8">#REF!</definedName>
    <definedName name="TD1p2vc">#REF!</definedName>
    <definedName name="TD1p2vl" localSheetId="8">#REF!</definedName>
    <definedName name="TD1p2vl">#REF!</definedName>
    <definedName name="TD1pnc" localSheetId="8">#REF!</definedName>
    <definedName name="TD1pnc">#REF!</definedName>
    <definedName name="TD1pvl" localSheetId="8">#REF!</definedName>
    <definedName name="TD1pvl">#REF!</definedName>
    <definedName name="td3p" localSheetId="8">#REF!</definedName>
    <definedName name="td3p">#REF!</definedName>
    <definedName name="tdc84nc" localSheetId="8">#REF!</definedName>
    <definedName name="tdc84nc">#REF!</definedName>
    <definedName name="tdcc" localSheetId="8">#REF!</definedName>
    <definedName name="tdcc">#REF!</definedName>
    <definedName name="tdcnc" localSheetId="8">#REF!</definedName>
    <definedName name="tdcnc">#REF!</definedName>
    <definedName name="TDctnc" localSheetId="8">#REF!</definedName>
    <definedName name="TDctnc">#REF!</definedName>
    <definedName name="TDctvc" localSheetId="8">#REF!</definedName>
    <definedName name="TDctvc">#REF!</definedName>
    <definedName name="TDctvl" localSheetId="8">#REF!</definedName>
    <definedName name="TDctvl">#REF!</definedName>
    <definedName name="tdgnc" localSheetId="8">#REF!</definedName>
    <definedName name="tdgnc">#REF!</definedName>
    <definedName name="tdgvl" localSheetId="8">#REF!</definedName>
    <definedName name="tdgvl">#REF!</definedName>
    <definedName name="tdhtnc" localSheetId="8">#REF!</definedName>
    <definedName name="tdhtnc">#REF!</definedName>
    <definedName name="tdhtvl" localSheetId="8">#REF!</definedName>
    <definedName name="tdhtvl">#REF!</definedName>
    <definedName name="tdia" localSheetId="8">#REF!</definedName>
    <definedName name="tdia">#REF!</definedName>
    <definedName name="TDmnc" localSheetId="8">#REF!</definedName>
    <definedName name="TDmnc">#REF!</definedName>
    <definedName name="TDmvc" localSheetId="8">#REF!</definedName>
    <definedName name="TDmvc">#REF!</definedName>
    <definedName name="TDmvl" localSheetId="8">#REF!</definedName>
    <definedName name="TDmvl">#REF!</definedName>
    <definedName name="tdnc" localSheetId="8">#REF!</definedName>
    <definedName name="tdnc">#REF!</definedName>
    <definedName name="tdnc1p" localSheetId="8">#REF!</definedName>
    <definedName name="tdnc1p">#REF!</definedName>
    <definedName name="tdnc3p">#REF!</definedName>
    <definedName name="tdo" localSheetId="8">#REF!</definedName>
    <definedName name="tdo">#REF!</definedName>
    <definedName name="TDT">#REF!</definedName>
    <definedName name="tdt1pnc" localSheetId="8">#REF!</definedName>
    <definedName name="tdt1pnc">#REF!</definedName>
    <definedName name="tdt1pvl" localSheetId="8">#REF!</definedName>
    <definedName name="tdt1pvl">#REF!</definedName>
    <definedName name="tdt2cnc" localSheetId="8">#REF!</definedName>
    <definedName name="tdt2cnc">#REF!</definedName>
    <definedName name="tdt2cvl" localSheetId="8">#REF!</definedName>
    <definedName name="tdt2cvl">#REF!</definedName>
    <definedName name="tdtr2cnc" localSheetId="8">#REF!</definedName>
    <definedName name="tdtr2cnc">#REF!</definedName>
    <definedName name="tdtr2cvl" localSheetId="8">#REF!</definedName>
    <definedName name="tdtr2cvl">#REF!</definedName>
    <definedName name="tdtrnc" localSheetId="8">#REF!</definedName>
    <definedName name="tdtrnc">#REF!</definedName>
    <definedName name="tdtrvl" localSheetId="8">#REF!</definedName>
    <definedName name="tdtrvl">#REF!</definedName>
    <definedName name="TDTT">#REF!</definedName>
    <definedName name="tdvl" localSheetId="8">#REF!</definedName>
    <definedName name="tdvl">#REF!</definedName>
    <definedName name="tdvl1p" localSheetId="8">#REF!</definedName>
    <definedName name="tdvl1p">#REF!</definedName>
    <definedName name="tdvl3p">#REF!</definedName>
    <definedName name="tem" localSheetId="1" hidden="1">{"'Sheet1'!$L$16"}</definedName>
    <definedName name="tem" localSheetId="2" hidden="1">{"'Sheet1'!$L$16"}</definedName>
    <definedName name="tem" localSheetId="3" hidden="1">{"'Sheet1'!$L$16"}</definedName>
    <definedName name="tem" localSheetId="4" hidden="1">{"'Sheet1'!$L$16"}</definedName>
    <definedName name="tem" localSheetId="5" hidden="1">{"'Sheet1'!$L$16"}</definedName>
    <definedName name="tem" localSheetId="6" hidden="1">{"'Sheet1'!$L$16"}</definedName>
    <definedName name="tem" localSheetId="7" hidden="1">{"'Sheet1'!$L$16"}</definedName>
    <definedName name="tem" localSheetId="8" hidden="1">{"'Sheet1'!$L$16"}</definedName>
    <definedName name="tem" hidden="1">{"'Sheet1'!$L$16"}</definedName>
    <definedName name="temp" localSheetId="8">#REF!</definedName>
    <definedName name="temp">#REF!</definedName>
    <definedName name="Temp_Br" localSheetId="8">#REF!</definedName>
    <definedName name="Temp_Br">#REF!</definedName>
    <definedName name="TEMPBR" localSheetId="8">#REF!</definedName>
    <definedName name="TEMPBR">#REF!</definedName>
    <definedName name="TemporaryWork" localSheetId="8">#REF!</definedName>
    <definedName name="TemporaryWork">#REF!</definedName>
    <definedName name="Ten" localSheetId="8">VLOOKUP(#REF!,#REF!,2,FALSE)</definedName>
    <definedName name="Ten">VLOOKUP(#REF!,#REF!,2,FALSE)</definedName>
    <definedName name="ten_tra_1BTN" localSheetId="8">#REF!</definedName>
    <definedName name="ten_tra_1BTN">#REF!</definedName>
    <definedName name="ten_tra_2BTN" localSheetId="8">#REF!</definedName>
    <definedName name="ten_tra_2BTN">#REF!</definedName>
    <definedName name="ten_tra_3BTN" localSheetId="8">#REF!</definedName>
    <definedName name="ten_tra_3BTN">#REF!</definedName>
    <definedName name="tenck" localSheetId="8">#REF!</definedName>
    <definedName name="tenck">#REF!</definedName>
    <definedName name="Tengoi" localSheetId="8">#REF!</definedName>
    <definedName name="Tengoi">#REF!</definedName>
    <definedName name="tenvung" localSheetId="8">#REF!</definedName>
    <definedName name="tenvung">#REF!</definedName>
    <definedName name="test1" localSheetId="8">#REF!</definedName>
    <definedName name="test1">#REF!</definedName>
    <definedName name="testing" localSheetId="4" hidden="1">#REF!</definedName>
    <definedName name="testing" localSheetId="5" hidden="1">#REF!</definedName>
    <definedName name="testing" localSheetId="6" hidden="1">#REF!</definedName>
    <definedName name="testing" localSheetId="7" hidden="1">#REF!</definedName>
    <definedName name="testing" localSheetId="8" hidden="1">#REF!</definedName>
    <definedName name="testing" hidden="1">#REF!</definedName>
    <definedName name="tet" localSheetId="1" hidden="1">{0,#NULL!,0,FALSE;0,0,0,0;0,0,0,7.29290327383173E-304;0,0,0,0;0,0,0,0;0,0,0,0;0,0,0,0}</definedName>
    <definedName name="tet" localSheetId="2" hidden="1">{0,#NULL!,0,FALSE;0,0,0,0;0,0,0,7.29290327383173E-304;0,0,0,0;0,0,0,0;0,0,0,0;0,0,0,0}</definedName>
    <definedName name="tet" localSheetId="4" hidden="1">{0,#NULL!,0,FALSE;0,0,0,0;0,0,0,7.29290327383173E-304;0,0,0,0;0,0,0,0;0,0,0,0;0,0,0,0}</definedName>
    <definedName name="tet" localSheetId="5" hidden="1">{0,#NULL!,0,FALSE;0,0,0,0;0,0,0,7.29290327383173E-304;0,0,0,0;0,0,0,0;0,0,0,0;0,0,0,0}</definedName>
    <definedName name="tet" localSheetId="6" hidden="1">{0,#NULL!,0,FALSE;0,0,0,0;0,0,0,7.29290327383173E-304;0,0,0,0;0,0,0,0;0,0,0,0;0,0,0,0}</definedName>
    <definedName name="tet" localSheetId="7" hidden="1">{0,#NULL!,0,FALSE;0,0,0,0;0,0,0,7.29290327383173E-304;0,0,0,0;0,0,0,0;0,0,0,0;0,0,0,0}</definedName>
    <definedName name="tet" localSheetId="8" hidden="1">{0,#NULL!,0,FALSE;0,0,0,0;0,0,0,7.29290327383173E-304;0,0,0,0;0,0,0,0;0,0,0,0;0,0,0,0}</definedName>
    <definedName name="tet" hidden="1">{0,#NULL!,0,FALSE;0,0,0,0;0,0,0,7.29290327383173E-304;0,0,0,0;0,0,0,0;0,0,0,0;0,0,0,0}</definedName>
    <definedName name="TextRefCopyRangeCount" hidden="1">11</definedName>
    <definedName name="TG" localSheetId="8">#REF!</definedName>
    <definedName name="TG">#REF!</definedName>
    <definedName name="TG_BB" localSheetId="8">#REF!</definedName>
    <definedName name="TG_BB">#REF!</definedName>
    <definedName name="TG_BL" localSheetId="8">#REF!</definedName>
    <definedName name="TG_BL">#REF!</definedName>
    <definedName name="TGNH" localSheetId="8">#REF!</definedName>
    <definedName name="TGNH">#REF!</definedName>
    <definedName name="th" localSheetId="1" hidden="1">{0}</definedName>
    <definedName name="th" localSheetId="2" hidden="1">{0}</definedName>
    <definedName name="TH" localSheetId="3">#REF!</definedName>
    <definedName name="th" localSheetId="4" hidden="1">{0}</definedName>
    <definedName name="th" localSheetId="5" hidden="1">{0}</definedName>
    <definedName name="th" localSheetId="6" hidden="1">{0}</definedName>
    <definedName name="th" localSheetId="7" hidden="1">{0}</definedName>
    <definedName name="th" localSheetId="8" hidden="1">{0}</definedName>
    <definedName name="th" hidden="1">{0}</definedName>
    <definedName name="th3x15" localSheetId="8">#REF!</definedName>
    <definedName name="th3x15">#REF!</definedName>
    <definedName name="tha" localSheetId="1" hidden="1">{"'Sheet1'!$L$16"}</definedName>
    <definedName name="tha" localSheetId="2" hidden="1">{"'Sheet1'!$L$16"}</definedName>
    <definedName name="tha" localSheetId="3" hidden="1">{"'Sheet1'!$L$16"}</definedName>
    <definedName name="tha" localSheetId="4" hidden="1">{"'Sheet1'!$L$16"}</definedName>
    <definedName name="tha" localSheetId="5" hidden="1">{"'Sheet1'!$L$16"}</definedName>
    <definedName name="tha" localSheetId="6" hidden="1">{"'Sheet1'!$L$16"}</definedName>
    <definedName name="tha" localSheetId="7" hidden="1">{"'Sheet1'!$L$16"}</definedName>
    <definedName name="tha" localSheetId="8" hidden="1">{"'Sheet1'!$L$16"}</definedName>
    <definedName name="tha" hidden="1">{"'Sheet1'!$L$16"}</definedName>
    <definedName name="thai" localSheetId="8">#REF!</definedName>
    <definedName name="thai">#REF!</definedName>
    <definedName name="thang" localSheetId="8">#REF!</definedName>
    <definedName name="thang">#REF!</definedName>
    <definedName name="Thang1" localSheetId="1" hidden="1">{"'Sheet1'!$L$16"}</definedName>
    <definedName name="Thang1" localSheetId="2" hidden="1">{"'Sheet1'!$L$16"}</definedName>
    <definedName name="Thang1" localSheetId="4" hidden="1">{"'Sheet1'!$L$16"}</definedName>
    <definedName name="Thang1" localSheetId="5" hidden="1">{"'Sheet1'!$L$16"}</definedName>
    <definedName name="Thang1" localSheetId="6" hidden="1">{"'Sheet1'!$L$16"}</definedName>
    <definedName name="Thang1" localSheetId="7" hidden="1">{"'Sheet1'!$L$16"}</definedName>
    <definedName name="Thang1" localSheetId="8" hidden="1">{"'Sheet1'!$L$16"}</definedName>
    <definedName name="Thang1" hidden="1">{"'Sheet1'!$L$16"}</definedName>
    <definedName name="thang10" localSheetId="1" hidden="1">{"'Sheet1'!$L$16"}</definedName>
    <definedName name="thang10" localSheetId="2" hidden="1">{"'Sheet1'!$L$16"}</definedName>
    <definedName name="thang10" localSheetId="3" hidden="1">{"'Sheet1'!$L$16"}</definedName>
    <definedName name="thang10" localSheetId="4" hidden="1">{"'Sheet1'!$L$16"}</definedName>
    <definedName name="thang10" localSheetId="5" hidden="1">{"'Sheet1'!$L$16"}</definedName>
    <definedName name="thang10" localSheetId="6" hidden="1">{"'Sheet1'!$L$16"}</definedName>
    <definedName name="thang10" localSheetId="7" hidden="1">{"'Sheet1'!$L$16"}</definedName>
    <definedName name="thang10" localSheetId="8" hidden="1">{"'Sheet1'!$L$16"}</definedName>
    <definedName name="thang10" hidden="1">{"'Sheet1'!$L$16"}</definedName>
    <definedName name="THANH" localSheetId="1" hidden="1">{"'Sheet1'!$L$16"}</definedName>
    <definedName name="THANH" localSheetId="2" hidden="1">{"'Sheet1'!$L$16"}</definedName>
    <definedName name="thanh" localSheetId="3">#REF!</definedName>
    <definedName name="THANH" localSheetId="4" hidden="1">{"'Sheet1'!$L$16"}</definedName>
    <definedName name="THANH" localSheetId="5" hidden="1">{"'Sheet1'!$L$16"}</definedName>
    <definedName name="THANH" localSheetId="6" hidden="1">{"'Sheet1'!$L$16"}</definedName>
    <definedName name="THANH" localSheetId="7" hidden="1">{"'Sheet1'!$L$16"}</definedName>
    <definedName name="THANH" localSheetId="8" hidden="1">{"'Sheet1'!$L$16"}</definedName>
    <definedName name="THANH" hidden="1">{"'Sheet1'!$L$16"}</definedName>
    <definedName name="Thanh_LC_tayvin" localSheetId="8">#REF!</definedName>
    <definedName name="Thanh_LC_tayvin">#REF!</definedName>
    <definedName name="thanhtien" localSheetId="8">#REF!</definedName>
    <definedName name="thanhtien">#REF!</definedName>
    <definedName name="Thanhtoan">#REF!</definedName>
    <definedName name="ThanhXuan110" localSheetId="8">#REF!</definedName>
    <definedName name="ThanhXuan110">#REF!</definedName>
    <definedName name="ThaoCauCu" localSheetId="8">#REF!</definedName>
    <definedName name="ThaoCauCu">#REF!</definedName>
    <definedName name="THchon" localSheetId="8">#REF!</definedName>
    <definedName name="THchon">#REF!</definedName>
    <definedName name="THDGia" localSheetId="8">#REF!</definedName>
    <definedName name="THDGia">#REF!</definedName>
    <definedName name="THDGia1" localSheetId="8">#REF!</definedName>
    <definedName name="THDGia1">#REF!</definedName>
    <definedName name="THDS" localSheetId="8">#REF!</definedName>
    <definedName name="THDS">#REF!</definedName>
    <definedName name="THDT" localSheetId="1" hidden="1">{"'Sheet1'!$L$16"}</definedName>
    <definedName name="THDT" localSheetId="2" hidden="1">{"'Sheet1'!$L$16"}</definedName>
    <definedName name="thdt" localSheetId="3">#REF!</definedName>
    <definedName name="THDT" localSheetId="4" hidden="1">{"'Sheet1'!$L$16"}</definedName>
    <definedName name="THDT" localSheetId="5" hidden="1">{"'Sheet1'!$L$16"}</definedName>
    <definedName name="THDT" localSheetId="6" hidden="1">{"'Sheet1'!$L$16"}</definedName>
    <definedName name="THDT" localSheetId="7" hidden="1">{"'Sheet1'!$L$16"}</definedName>
    <definedName name="THDT" localSheetId="8" hidden="1">{"'Sheet1'!$L$16"}</definedName>
    <definedName name="THDT" hidden="1">{"'Sheet1'!$L$16"}</definedName>
    <definedName name="THDT_CT_XOM_NOI" localSheetId="8">#REF!</definedName>
    <definedName name="THDT_CT_XOM_NOI">#REF!</definedName>
    <definedName name="THDT_HT_DAO_THUONG" localSheetId="8">#REF!</definedName>
    <definedName name="THDT_HT_DAO_THUONG">#REF!</definedName>
    <definedName name="THDT_HT_XOM_NOI" localSheetId="8">#REF!</definedName>
    <definedName name="THDT_HT_XOM_NOI">#REF!</definedName>
    <definedName name="THDT_NPP_XOM_NOI" localSheetId="8">#REF!</definedName>
    <definedName name="THDT_NPP_XOM_NOI">#REF!</definedName>
    <definedName name="THDT_TBA_XOM_NOI" localSheetId="8">#REF!</definedName>
    <definedName name="THDT_TBA_XOM_NOI">#REF!</definedName>
    <definedName name="Theonam">#REF!</definedName>
    <definedName name="thep10" localSheetId="8">#REF!</definedName>
    <definedName name="thep10">#REF!</definedName>
    <definedName name="thep18" localSheetId="8">#REF!</definedName>
    <definedName name="thep18">#REF!</definedName>
    <definedName name="thepban" localSheetId="8">#REF!</definedName>
    <definedName name="thepban">#REF!</definedName>
    <definedName name="thepbuoc">#REF!</definedName>
    <definedName name="ThepDet32x3" localSheetId="8">#REF!</definedName>
    <definedName name="ThepDet32x3">#REF!</definedName>
    <definedName name="ThepDet35x3" localSheetId="8">#REF!</definedName>
    <definedName name="ThepDet35x3">#REF!</definedName>
    <definedName name="ThepDet40x4" localSheetId="8">#REF!</definedName>
    <definedName name="ThepDet40x4">#REF!</definedName>
    <definedName name="ThepDet45x4" localSheetId="8">#REF!</definedName>
    <definedName name="ThepDet45x4">#REF!</definedName>
    <definedName name="ThepDet50x5" localSheetId="8">#REF!</definedName>
    <definedName name="ThepDet50x5">#REF!</definedName>
    <definedName name="ThepDet63x6" localSheetId="8">#REF!</definedName>
    <definedName name="ThepDet63x6">#REF!</definedName>
    <definedName name="ThepDet75x6" localSheetId="8">#REF!</definedName>
    <definedName name="ThepDet75x6">#REF!</definedName>
    <definedName name="thepDet75x7">#REF!</definedName>
    <definedName name="thepgoc25_60" localSheetId="8">#REF!</definedName>
    <definedName name="thepgoc25_60">#REF!</definedName>
    <definedName name="ThepGoc32x32x3" localSheetId="8">#REF!</definedName>
    <definedName name="ThepGoc32x32x3">#REF!</definedName>
    <definedName name="ThepGoc35x35x3" localSheetId="8">#REF!</definedName>
    <definedName name="ThepGoc35x35x3">#REF!</definedName>
    <definedName name="ThepGoc40x40x4" localSheetId="8">#REF!</definedName>
    <definedName name="ThepGoc40x40x4">#REF!</definedName>
    <definedName name="ThepGoc45x45x4" localSheetId="8">#REF!</definedName>
    <definedName name="ThepGoc45x45x4">#REF!</definedName>
    <definedName name="ThepGoc50x50x5" localSheetId="8">#REF!</definedName>
    <definedName name="ThepGoc50x50x5">#REF!</definedName>
    <definedName name="thepgoc63_75" localSheetId="8">#REF!</definedName>
    <definedName name="thepgoc63_75">#REF!</definedName>
    <definedName name="ThepGoc63x63x6" localSheetId="8">#REF!</definedName>
    <definedName name="ThepGoc63x63x6">#REF!</definedName>
    <definedName name="ThepGoc75x6">#REF!</definedName>
    <definedName name="ThepGoc75x75x6" localSheetId="8">#REF!</definedName>
    <definedName name="ThepGoc75x75x6">#REF!</definedName>
    <definedName name="thepgoc80_100" localSheetId="8">#REF!</definedName>
    <definedName name="thepgoc80_100">#REF!</definedName>
    <definedName name="thephinh">#REF!</definedName>
    <definedName name="thepnho">#REF!</definedName>
    <definedName name="theptam">#REF!</definedName>
    <definedName name="theptb">#REF!</definedName>
    <definedName name="thepto" localSheetId="8">#REF!</definedName>
    <definedName name="thepto">#REF!</definedName>
    <definedName name="theptron12" localSheetId="8">#REF!</definedName>
    <definedName name="theptron12">#REF!</definedName>
    <definedName name="theptron14_22" localSheetId="8">#REF!</definedName>
    <definedName name="theptron14_22">#REF!</definedName>
    <definedName name="theptron6_8" localSheetId="8">#REF!</definedName>
    <definedName name="theptron6_8">#REF!</definedName>
    <definedName name="ThepTronD10D18" localSheetId="8">#REF!</definedName>
    <definedName name="ThepTronD10D18">#REF!</definedName>
    <definedName name="thepU" localSheetId="8">#REF!</definedName>
    <definedName name="thepU">#REF!</definedName>
    <definedName name="thepxa">#REF!</definedName>
    <definedName name="thetichck" localSheetId="8">#REF!</definedName>
    <definedName name="thetichck">#REF!</definedName>
    <definedName name="thgian_bq" localSheetId="8">#REF!</definedName>
    <definedName name="thgian_bq">#REF!</definedName>
    <definedName name="thgian_bv" localSheetId="8">#REF!</definedName>
    <definedName name="thgian_bv">#REF!</definedName>
    <definedName name="thgian_ck" localSheetId="8">#REF!</definedName>
    <definedName name="thgian_ck">#REF!</definedName>
    <definedName name="thgian_d1" localSheetId="8">#REF!</definedName>
    <definedName name="thgian_d1">#REF!</definedName>
    <definedName name="thgian_d2" localSheetId="8">#REF!</definedName>
    <definedName name="thgian_d2">#REF!</definedName>
    <definedName name="thgian_d3" localSheetId="8">#REF!</definedName>
    <definedName name="thgian_d3">#REF!</definedName>
    <definedName name="thgian_dl" localSheetId="8">#REF!</definedName>
    <definedName name="thgian_dl">#REF!</definedName>
    <definedName name="thgian_kcs" localSheetId="8">#REF!</definedName>
    <definedName name="thgian_kcs">#REF!</definedName>
    <definedName name="thgian_nb" localSheetId="8">#REF!</definedName>
    <definedName name="thgian_nb">#REF!</definedName>
    <definedName name="thgian_ngio" localSheetId="8">#REF!</definedName>
    <definedName name="thgian_ngio">#REF!</definedName>
    <definedName name="thgian_nv" localSheetId="8">#REF!</definedName>
    <definedName name="thgian_nv">#REF!</definedName>
    <definedName name="thgian_t3" localSheetId="8">#REF!</definedName>
    <definedName name="thgian_t3">#REF!</definedName>
    <definedName name="thgian_t4" localSheetId="8">#REF!</definedName>
    <definedName name="thgian_t4">#REF!</definedName>
    <definedName name="thgian_t5" localSheetId="8">#REF!</definedName>
    <definedName name="thgian_t5">#REF!</definedName>
    <definedName name="thgian_t6" localSheetId="8">#REF!</definedName>
    <definedName name="thgian_t6">#REF!</definedName>
    <definedName name="thgian_tc" localSheetId="8">#REF!</definedName>
    <definedName name="thgian_tc">#REF!</definedName>
    <definedName name="thgian_tm" localSheetId="8">#REF!</definedName>
    <definedName name="thgian_tm">#REF!</definedName>
    <definedName name="thgian_vs" localSheetId="8">#REF!</definedName>
    <definedName name="thgian_vs">#REF!</definedName>
    <definedName name="thgian_xh" localSheetId="8">#REF!</definedName>
    <definedName name="thgian_xh">#REF!</definedName>
    <definedName name="thgio_bq" localSheetId="8">#REF!</definedName>
    <definedName name="thgio_bq">#REF!</definedName>
    <definedName name="thgio_bv" localSheetId="8">#REF!</definedName>
    <definedName name="thgio_bv">#REF!</definedName>
    <definedName name="thgio_ck" localSheetId="8">#REF!</definedName>
    <definedName name="thgio_ck">#REF!</definedName>
    <definedName name="thgio_d1" localSheetId="8">#REF!</definedName>
    <definedName name="thgio_d1">#REF!</definedName>
    <definedName name="thgio_d2" localSheetId="8">#REF!</definedName>
    <definedName name="thgio_d2">#REF!</definedName>
    <definedName name="thgio_d3" localSheetId="8">#REF!</definedName>
    <definedName name="thgio_d3">#REF!</definedName>
    <definedName name="thgio_dl" localSheetId="8">#REF!</definedName>
    <definedName name="thgio_dl">#REF!</definedName>
    <definedName name="thgio_kcs" localSheetId="8">#REF!</definedName>
    <definedName name="thgio_kcs">#REF!</definedName>
    <definedName name="thgio_nb" localSheetId="8">#REF!</definedName>
    <definedName name="thgio_nb">#REF!</definedName>
    <definedName name="thgio_ngio" localSheetId="8">#REF!</definedName>
    <definedName name="thgio_ngio">#REF!</definedName>
    <definedName name="thgio_nv" localSheetId="8">#REF!</definedName>
    <definedName name="thgio_nv">#REF!</definedName>
    <definedName name="thgio_t3" localSheetId="8">#REF!</definedName>
    <definedName name="thgio_t3">#REF!</definedName>
    <definedName name="thgio_t4" localSheetId="8">#REF!</definedName>
    <definedName name="thgio_t4">#REF!</definedName>
    <definedName name="thgio_t5" localSheetId="8">#REF!</definedName>
    <definedName name="thgio_t5">#REF!</definedName>
    <definedName name="thgio_t6" localSheetId="8">#REF!</definedName>
    <definedName name="thgio_t6">#REF!</definedName>
    <definedName name="thgio_tc" localSheetId="8">#REF!</definedName>
    <definedName name="thgio_tc">#REF!</definedName>
    <definedName name="thgio_tm" localSheetId="8">#REF!</definedName>
    <definedName name="thgio_tm">#REF!</definedName>
    <definedName name="thgio_vs" localSheetId="8">#REF!</definedName>
    <definedName name="thgio_vs">#REF!</definedName>
    <definedName name="thgio_xh" localSheetId="8">#REF!</definedName>
    <definedName name="thgio_xh">#REF!</definedName>
    <definedName name="THGO1pnc" localSheetId="8">#REF!</definedName>
    <definedName name="THGO1pnc">#REF!</definedName>
    <definedName name="thht" localSheetId="8">#REF!</definedName>
    <definedName name="thht">#REF!</definedName>
    <definedName name="THI" localSheetId="8">#REF!</definedName>
    <definedName name="THI">#REF!</definedName>
    <definedName name="Thietbi" localSheetId="1" hidden="1">{"'Sheet1'!$L$16"}</definedName>
    <definedName name="Thietbi" localSheetId="2" hidden="1">{"'Sheet1'!$L$16"}</definedName>
    <definedName name="Thietbi" localSheetId="3" hidden="1">{"'Sheet1'!$L$16"}</definedName>
    <definedName name="Thietbi" localSheetId="4" hidden="1">{"'Sheet1'!$L$16"}</definedName>
    <definedName name="Thietbi" localSheetId="5" hidden="1">{"'Sheet1'!$L$16"}</definedName>
    <definedName name="Thietbi" localSheetId="6" hidden="1">{"'Sheet1'!$L$16"}</definedName>
    <definedName name="Thietbi" localSheetId="7" hidden="1">{"'Sheet1'!$L$16"}</definedName>
    <definedName name="Thietbi" localSheetId="8" hidden="1">{"'Sheet1'!$L$16"}</definedName>
    <definedName name="Thietbi" hidden="1">{"'Sheet1'!$L$16"}</definedName>
    <definedName name="thinghiem" localSheetId="8">#REF!</definedName>
    <definedName name="thinghiem">#REF!</definedName>
    <definedName name="thinh">#REF!</definedName>
    <definedName name="Thirty_Fr">#REF!</definedName>
    <definedName name="Thirty_To">#REF!</definedName>
    <definedName name="THK" localSheetId="8">#REF!</definedName>
    <definedName name="THK">#REF!</definedName>
    <definedName name="thkl2" localSheetId="1" hidden="1">{"'Sheet1'!$L$16"}</definedName>
    <definedName name="thkl2" localSheetId="2" hidden="1">{"'Sheet1'!$L$16"}</definedName>
    <definedName name="thkl2" localSheetId="4" hidden="1">{"'Sheet1'!$L$16"}</definedName>
    <definedName name="thkl2" localSheetId="5" hidden="1">{"'Sheet1'!$L$16"}</definedName>
    <definedName name="thkl2" localSheetId="6" hidden="1">{"'Sheet1'!$L$16"}</definedName>
    <definedName name="thkl2" localSheetId="7" hidden="1">{"'Sheet1'!$L$16"}</definedName>
    <definedName name="thkl2" localSheetId="8" hidden="1">{"'Sheet1'!$L$16"}</definedName>
    <definedName name="thkl2" hidden="1">{"'Sheet1'!$L$16"}</definedName>
    <definedName name="thkl3" localSheetId="1" hidden="1">{"'Sheet1'!$L$16"}</definedName>
    <definedName name="thkl3" localSheetId="2" hidden="1">{"'Sheet1'!$L$16"}</definedName>
    <definedName name="thkl3" localSheetId="4" hidden="1">{"'Sheet1'!$L$16"}</definedName>
    <definedName name="thkl3" localSheetId="5" hidden="1">{"'Sheet1'!$L$16"}</definedName>
    <definedName name="thkl3" localSheetId="6" hidden="1">{"'Sheet1'!$L$16"}</definedName>
    <definedName name="thkl3" localSheetId="7" hidden="1">{"'Sheet1'!$L$16"}</definedName>
    <definedName name="thkl3" localSheetId="8" hidden="1">{"'Sheet1'!$L$16"}</definedName>
    <definedName name="thkl3" hidden="1">{"'Sheet1'!$L$16"}</definedName>
    <definedName name="THKLPSM" localSheetId="1" hidden="1">{"'Sheet1'!$L$16"}</definedName>
    <definedName name="THKLPSM" localSheetId="2" hidden="1">{"'Sheet1'!$L$16"}</definedName>
    <definedName name="THKLPSM" localSheetId="4" hidden="1">{"'Sheet1'!$L$16"}</definedName>
    <definedName name="THKLPSM" localSheetId="5" hidden="1">{"'Sheet1'!$L$16"}</definedName>
    <definedName name="THKLPSM" localSheetId="6" hidden="1">{"'Sheet1'!$L$16"}</definedName>
    <definedName name="THKLPSM" localSheetId="7" hidden="1">{"'Sheet1'!$L$16"}</definedName>
    <definedName name="THKLPSM" localSheetId="8" hidden="1">{"'Sheet1'!$L$16"}</definedName>
    <definedName name="THKLPSM" hidden="1">{"'Sheet1'!$L$16"}</definedName>
    <definedName name="THKP160" localSheetId="8">#REF!</definedName>
    <definedName name="THKP160">#REF!</definedName>
    <definedName name="thkp3" localSheetId="8">#REF!</definedName>
    <definedName name="thkp3">#REF!</definedName>
    <definedName name="THKP7YT" localSheetId="1" hidden="1">{"'Sheet1'!$L$16"}</definedName>
    <definedName name="THKP7YT" localSheetId="2" hidden="1">{"'Sheet1'!$L$16"}</definedName>
    <definedName name="THKP7YT" localSheetId="3" hidden="1">{"'Sheet1'!$L$16"}</definedName>
    <definedName name="THKP7YT" localSheetId="4" hidden="1">{"'Sheet1'!$L$16"}</definedName>
    <definedName name="THKP7YT" localSheetId="5" hidden="1">{"'Sheet1'!$L$16"}</definedName>
    <definedName name="THKP7YT" localSheetId="6" hidden="1">{"'Sheet1'!$L$16"}</definedName>
    <definedName name="THKP7YT" localSheetId="7" hidden="1">{"'Sheet1'!$L$16"}</definedName>
    <definedName name="THKP7YT" localSheetId="8" hidden="1">{"'Sheet1'!$L$16"}</definedName>
    <definedName name="THKP7YT" hidden="1">{"'Sheet1'!$L$16"}</definedName>
    <definedName name="thng" localSheetId="1" hidden="1">{#N/A,#N/A,FALSE,"Chi tiÆt"}</definedName>
    <definedName name="thng" localSheetId="2" hidden="1">{#N/A,#N/A,FALSE,"Chi tiÆt"}</definedName>
    <definedName name="thng" localSheetId="4" hidden="1">{#N/A,#N/A,FALSE,"Chi tiÆt"}</definedName>
    <definedName name="thng" localSheetId="5" hidden="1">{#N/A,#N/A,FALSE,"Chi tiÆt"}</definedName>
    <definedName name="thng" localSheetId="6" hidden="1">{#N/A,#N/A,FALSE,"Chi tiÆt"}</definedName>
    <definedName name="thng" localSheetId="7" hidden="1">{#N/A,#N/A,FALSE,"Chi tiÆt"}</definedName>
    <definedName name="thng" localSheetId="8" hidden="1">{#N/A,#N/A,FALSE,"Chi tiÆt"}</definedName>
    <definedName name="thng" hidden="1">{#N/A,#N/A,FALSE,"Chi tiÆt"}</definedName>
    <definedName name="Thop" localSheetId="8">#REF!</definedName>
    <definedName name="Thop">#REF!</definedName>
    <definedName name="THop2" localSheetId="8">#REF!</definedName>
    <definedName name="THop2">#REF!</definedName>
    <definedName name="thtich1" localSheetId="8">#REF!</definedName>
    <definedName name="thtich1">#REF!</definedName>
    <definedName name="thtich2" localSheetId="8">#REF!</definedName>
    <definedName name="thtich2">#REF!</definedName>
    <definedName name="thtich3" localSheetId="8">#REF!</definedName>
    <definedName name="thtich3">#REF!</definedName>
    <definedName name="thtich4" localSheetId="8">#REF!</definedName>
    <definedName name="thtich4">#REF!</definedName>
    <definedName name="thtich5" localSheetId="8">#REF!</definedName>
    <definedName name="thtich5">#REF!</definedName>
    <definedName name="thtich6" localSheetId="8">#REF!</definedName>
    <definedName name="thtich6">#REF!</definedName>
    <definedName name="THToanBo" localSheetId="8">#REF!</definedName>
    <definedName name="THToanBo">#REF!</definedName>
    <definedName name="THtoanbo2" localSheetId="8">#REF!</definedName>
    <definedName name="THtoanbo2">#REF!</definedName>
    <definedName name="thtr15" localSheetId="8">#REF!</definedName>
    <definedName name="thtr15">#REF!</definedName>
    <definedName name="thtt" localSheetId="8">#REF!</definedName>
    <definedName name="thtt">#REF!</definedName>
    <definedName name="THU" localSheetId="8">#REF!</definedName>
    <definedName name="THU">#REF!</definedName>
    <definedName name="thucthanh">#REF!</definedName>
    <definedName name="thue">6</definedName>
    <definedName name="thuevat" localSheetId="8">#REF!</definedName>
    <definedName name="thuevat">#REF!</definedName>
    <definedName name="thuy" localSheetId="1" hidden="1">{"'Sheet1'!$L$16"}</definedName>
    <definedName name="thuy" localSheetId="2" hidden="1">{"'Sheet1'!$L$16"}</definedName>
    <definedName name="thuy" localSheetId="3" hidden="1">{"'Sheet1'!$L$16"}</definedName>
    <definedName name="thuy" localSheetId="4" hidden="1">{"'Sheet1'!$L$16"}</definedName>
    <definedName name="thuy" localSheetId="5" hidden="1">{"'Sheet1'!$L$16"}</definedName>
    <definedName name="thuy" localSheetId="6" hidden="1">{"'Sheet1'!$L$16"}</definedName>
    <definedName name="thuy" localSheetId="7" hidden="1">{"'Sheet1'!$L$16"}</definedName>
    <definedName name="thuy" localSheetId="8" hidden="1">{"'Sheet1'!$L$16"}</definedName>
    <definedName name="thuy" hidden="1">{"'Sheet1'!$L$16"}</definedName>
    <definedName name="thvlmoi" localSheetId="1" hidden="1">{"'Sheet1'!$L$16"}</definedName>
    <definedName name="thvlmoi" localSheetId="2" hidden="1">{"'Sheet1'!$L$16"}</definedName>
    <definedName name="thvlmoi" localSheetId="3" hidden="1">{"'Sheet1'!$L$16"}</definedName>
    <definedName name="thvlmoi" localSheetId="4" hidden="1">{"'Sheet1'!$L$16"}</definedName>
    <definedName name="thvlmoi" localSheetId="5" hidden="1">{"'Sheet1'!$L$16"}</definedName>
    <definedName name="thvlmoi" localSheetId="6" hidden="1">{"'Sheet1'!$L$16"}</definedName>
    <definedName name="thvlmoi" localSheetId="7" hidden="1">{"'Sheet1'!$L$16"}</definedName>
    <definedName name="thvlmoi" localSheetId="8" hidden="1">{"'Sheet1'!$L$16"}</definedName>
    <definedName name="thvlmoi" hidden="1">{"'Sheet1'!$L$16"}</definedName>
    <definedName name="thvlmoimoi" localSheetId="1" hidden="1">{"'Sheet1'!$L$16"}</definedName>
    <definedName name="thvlmoimoi" localSheetId="2" hidden="1">{"'Sheet1'!$L$16"}</definedName>
    <definedName name="thvlmoimoi" localSheetId="3" hidden="1">{"'Sheet1'!$L$16"}</definedName>
    <definedName name="thvlmoimoi" localSheetId="4" hidden="1">{"'Sheet1'!$L$16"}</definedName>
    <definedName name="thvlmoimoi" localSheetId="5" hidden="1">{"'Sheet1'!$L$16"}</definedName>
    <definedName name="thvlmoimoi" localSheetId="6" hidden="1">{"'Sheet1'!$L$16"}</definedName>
    <definedName name="thvlmoimoi" localSheetId="7" hidden="1">{"'Sheet1'!$L$16"}</definedName>
    <definedName name="thvlmoimoi" localSheetId="8" hidden="1">{"'Sheet1'!$L$16"}</definedName>
    <definedName name="thvlmoimoi" hidden="1">{"'Sheet1'!$L$16"}</definedName>
    <definedName name="TI" localSheetId="8">#REF!</definedName>
    <definedName name="TI">#REF!</definedName>
    <definedName name="Tien">#REF!</definedName>
    <definedName name="Tiep_dia" localSheetId="8">#REF!</definedName>
    <definedName name="Tiep_dia">#REF!</definedName>
    <definedName name="Tiepdia">#REF!</definedName>
    <definedName name="TileStone" localSheetId="8">#REF!</definedName>
    <definedName name="TileStone">#REF!</definedName>
    <definedName name="Tim_cong" localSheetId="8">#REF!</definedName>
    <definedName name="Tim_cong">#REF!</definedName>
    <definedName name="Tim_lan_xuat_hien">#REF!</definedName>
    <definedName name="Tim_lan_xuat_hien_cong" localSheetId="8">#REF!</definedName>
    <definedName name="Tim_lan_xuat_hien_cong">#REF!</definedName>
    <definedName name="Tim_lan_xuat_hien_duong" localSheetId="8">#REF!</definedName>
    <definedName name="Tim_lan_xuat_hien_duong">#REF!</definedName>
    <definedName name="tim_tam">#REF!</definedName>
    <definedName name="tim_xuat_hien" localSheetId="8">#REF!</definedName>
    <definedName name="tim_xuat_hien">#REF!</definedName>
    <definedName name="time">#REF!</definedName>
    <definedName name="TINHTP" localSheetId="8">OFFSET(#REF!,COUNTIF(#REF!,"&lt;&gt;0")-1,0,1)</definedName>
    <definedName name="TINHTP">OFFSET(#REF!,COUNTIF(#REF!,"&lt;&gt;0")-1,0,1)</definedName>
    <definedName name="TITAN" localSheetId="8">#REF!</definedName>
    <definedName name="TITAN">#REF!</definedName>
    <definedName name="TK" localSheetId="8">#REF!</definedName>
    <definedName name="TK">#REF!</definedName>
    <definedName name="TKC" localSheetId="8">IF(#REF!=0,VLOOKUP(#REF!,#REF!,9,FALSE),IF(N(ISERROR(VLOOKUP(#REF!,#REF!,8,FALSE)))&lt;&gt;1,VLOOKUP(#REF!,#REF!,8,FALSE),"-"))</definedName>
    <definedName name="TKC">IF(#REF!=0,VLOOKUP(#REF!,#REF!,9,FALSE),IF(N(ISERROR(VLOOKUP(#REF!,#REF!,8,FALSE)))&lt;&gt;1,VLOOKUP(#REF!,#REF!,8,FALSE),"-"))</definedName>
    <definedName name="TkCto" localSheetId="8">#REF!</definedName>
    <definedName name="TkCto">#REF!</definedName>
    <definedName name="TKDD">#REF!</definedName>
    <definedName name="TKKT">#REF!</definedName>
    <definedName name="TKKTT">#REF!</definedName>
    <definedName name="TKN" localSheetId="8">IF(#REF!=0,VLOOKUP(#REF!,#REF!,8,FALSE),IF(N(ISERROR(VLOOKUP(#REF!,#REF!,7,FALSE)))&lt;&gt;1,VLOOKUP(#REF!,#REF!,7,FALSE),"-"))</definedName>
    <definedName name="TKN">IF(#REF!=0,VLOOKUP(#REF!,#REF!,8,FALSE),IF(N(ISERROR(VLOOKUP(#REF!,#REF!,7,FALSE)))&lt;&gt;1,VLOOKUP(#REF!,#REF!,7,FALSE),"-"))</definedName>
    <definedName name="TL" localSheetId="8">#REF!</definedName>
    <definedName name="TL">#REF!</definedName>
    <definedName name="TLAC120" localSheetId="8">#REF!</definedName>
    <definedName name="TLAC120">#REF!</definedName>
    <definedName name="TLAC35" localSheetId="8">#REF!</definedName>
    <definedName name="TLAC35">#REF!</definedName>
    <definedName name="TLAC50" localSheetId="8">#REF!</definedName>
    <definedName name="TLAC50">#REF!</definedName>
    <definedName name="TLAC70" localSheetId="8">#REF!</definedName>
    <definedName name="TLAC70">#REF!</definedName>
    <definedName name="TLAC95" localSheetId="8">#REF!</definedName>
    <definedName name="TLAC95">#REF!</definedName>
    <definedName name="TLDa" localSheetId="8">#REF!</definedName>
    <definedName name="TLDa">#REF!</definedName>
    <definedName name="TLdat" localSheetId="8">#REF!</definedName>
    <definedName name="TLdat">#REF!</definedName>
    <definedName name="TLDM" localSheetId="8">#REF!</definedName>
    <definedName name="TLDM">#REF!</definedName>
    <definedName name="Tle" localSheetId="8">#REF!</definedName>
    <definedName name="Tle">#REF!</definedName>
    <definedName name="TLTH" localSheetId="8">#REF!</definedName>
    <definedName name="TLTH">#REF!</definedName>
    <definedName name="TLTH1" localSheetId="8">#REF!</definedName>
    <definedName name="TLTH1">#REF!</definedName>
    <definedName name="tluong" localSheetId="8">#REF!</definedName>
    <definedName name="tluong">#REF!</definedName>
    <definedName name="TM" localSheetId="8">#REF!</definedName>
    <definedName name="TM">#REF!</definedName>
    <definedName name="TMDT_">#REF!/10^9</definedName>
    <definedName name="TMDT1" localSheetId="8">#REF!</definedName>
    <definedName name="TMDT1">#REF!</definedName>
    <definedName name="TMDT2" localSheetId="8">#REF!</definedName>
    <definedName name="TMDT2">#REF!</definedName>
    <definedName name="TMDTmoi" localSheetId="8">#REF!</definedName>
    <definedName name="TMDTmoi">#REF!</definedName>
    <definedName name="TMProtection" localSheetId="8">#REF!</definedName>
    <definedName name="TMProtection">#REF!</definedName>
    <definedName name="TN" localSheetId="8">#REF!</definedName>
    <definedName name="TN">#REF!</definedName>
    <definedName name="TN_b_qu_n" localSheetId="8">#REF!</definedName>
    <definedName name="TN_b_qu_n">#REF!</definedName>
    <definedName name="TN_CTO">#REF!</definedName>
    <definedName name="tn1pinnc" localSheetId="8">#REF!</definedName>
    <definedName name="tn1pinnc">#REF!</definedName>
    <definedName name="tn2mhnnc" localSheetId="8">#REF!</definedName>
    <definedName name="tn2mhnnc">#REF!</definedName>
    <definedName name="TNCM" localSheetId="8">#REF!</definedName>
    <definedName name="TNCM">#REF!</definedName>
    <definedName name="tnh_bq" localSheetId="8">#REF!</definedName>
    <definedName name="tnh_bq">#REF!</definedName>
    <definedName name="tnh_bv" localSheetId="8">#REF!</definedName>
    <definedName name="tnh_bv">#REF!</definedName>
    <definedName name="tnh_ck" localSheetId="8">#REF!</definedName>
    <definedName name="tnh_ck">#REF!</definedName>
    <definedName name="tnh_d1" localSheetId="8">#REF!</definedName>
    <definedName name="tnh_d1">#REF!</definedName>
    <definedName name="tnh_d2" localSheetId="8">#REF!</definedName>
    <definedName name="tnh_d2">#REF!</definedName>
    <definedName name="tnh_d3" localSheetId="8">#REF!</definedName>
    <definedName name="tnh_d3">#REF!</definedName>
    <definedName name="tnh_dl" localSheetId="8">#REF!</definedName>
    <definedName name="tnh_dl">#REF!</definedName>
    <definedName name="tnh_kcs" localSheetId="8">#REF!</definedName>
    <definedName name="tnh_kcs">#REF!</definedName>
    <definedName name="tnh_nb" localSheetId="8">#REF!</definedName>
    <definedName name="tnh_nb">#REF!</definedName>
    <definedName name="tnh_ngio" localSheetId="8">#REF!</definedName>
    <definedName name="tnh_ngio">#REF!</definedName>
    <definedName name="tnh_nv" localSheetId="8">#REF!</definedName>
    <definedName name="tnh_nv">#REF!</definedName>
    <definedName name="tnh_t3" localSheetId="8">#REF!</definedName>
    <definedName name="tnh_t3">#REF!</definedName>
    <definedName name="tnh_t4" localSheetId="8">#REF!</definedName>
    <definedName name="tnh_t4">#REF!</definedName>
    <definedName name="tnh_t5" localSheetId="8">#REF!</definedName>
    <definedName name="tnh_t5">#REF!</definedName>
    <definedName name="tnh_t6" localSheetId="8">#REF!</definedName>
    <definedName name="tnh_t6">#REF!</definedName>
    <definedName name="tnh_tc" localSheetId="8">#REF!</definedName>
    <definedName name="tnh_tc">#REF!</definedName>
    <definedName name="tnh_tm" localSheetId="8">#REF!</definedName>
    <definedName name="tnh_tm">#REF!</definedName>
    <definedName name="tnh_vs" localSheetId="8">#REF!</definedName>
    <definedName name="tnh_vs">#REF!</definedName>
    <definedName name="tnh_xh" localSheetId="8">#REF!</definedName>
    <definedName name="tnh_xh">#REF!</definedName>
    <definedName name="tnhnnc" localSheetId="8">#REF!</definedName>
    <definedName name="tnhnnc">#REF!</definedName>
    <definedName name="tnignc" localSheetId="8">#REF!</definedName>
    <definedName name="tnignc">#REF!</definedName>
    <definedName name="tnin190nc" localSheetId="8">#REF!</definedName>
    <definedName name="tnin190nc">#REF!</definedName>
    <definedName name="tnlnc" localSheetId="8">#REF!</definedName>
    <definedName name="tnlnc">#REF!</definedName>
    <definedName name="tnnnc" localSheetId="8">#REF!</definedName>
    <definedName name="tnnnc">#REF!</definedName>
    <definedName name="TNNT">#REF!</definedName>
    <definedName name="tno">#REF!</definedName>
    <definedName name="Tnuoc" localSheetId="8">#REF!</definedName>
    <definedName name="Tnuoc">#REF!</definedName>
    <definedName name="ton" localSheetId="8">#REF!</definedName>
    <definedName name="ton">#REF!</definedName>
    <definedName name="Tong_GT_AH_CT_chuaVAT" localSheetId="5">#REF!</definedName>
    <definedName name="Tong_GT_AH_CT_chuaVAT" localSheetId="6">#REF!</definedName>
    <definedName name="Tong_GT_AH_CT_chuaVAT" localSheetId="7">#REF!</definedName>
    <definedName name="Tong_GT_AH_CT_chuaVAT" localSheetId="8">#REF!</definedName>
    <definedName name="Tong_GT_AH_CT_chuaVAT">#REF!</definedName>
    <definedName name="Tong_GT_AH_CT_full" localSheetId="5">#REF!</definedName>
    <definedName name="Tong_GT_AH_CT_full" localSheetId="6">#REF!</definedName>
    <definedName name="Tong_GT_AH_CT_full" localSheetId="7">#REF!</definedName>
    <definedName name="Tong_GT_AH_CT_full" localSheetId="8">#REF!</definedName>
    <definedName name="Tong_GT_AH_CT_full">#REF!</definedName>
    <definedName name="Tổng_GT_Đất">#REF!</definedName>
    <definedName name="Tổng_GTHĐ">#REF!</definedName>
    <definedName name="Tổng_GTHĐ_ĐC">#REF!</definedName>
    <definedName name="tong2" localSheetId="1" hidden="1">{"'Sheet1'!$L$16"}</definedName>
    <definedName name="tong2" localSheetId="2" hidden="1">{"'Sheet1'!$L$16"}</definedName>
    <definedName name="tong2" localSheetId="4" hidden="1">{"'Sheet1'!$L$16"}</definedName>
    <definedName name="tong2" localSheetId="5" hidden="1">{"'Sheet1'!$L$16"}</definedName>
    <definedName name="tong2" localSheetId="6" hidden="1">{"'Sheet1'!$L$16"}</definedName>
    <definedName name="tong2" localSheetId="7" hidden="1">{"'Sheet1'!$L$16"}</definedName>
    <definedName name="tong2" localSheetId="8" hidden="1">{"'Sheet1'!$L$16"}</definedName>
    <definedName name="tong2" hidden="1">{"'Sheet1'!$L$16"}</definedName>
    <definedName name="tongbt" localSheetId="8">#REF!</definedName>
    <definedName name="tongbt">#REF!</definedName>
    <definedName name="tongcong" localSheetId="8">#REF!</definedName>
    <definedName name="tongcong">#REF!</definedName>
    <definedName name="tongct" localSheetId="8">#REF!</definedName>
    <definedName name="tongct">#REF!</definedName>
    <definedName name="tongdientich" localSheetId="8">#REF!</definedName>
    <definedName name="tongdientich">#REF!</definedName>
    <definedName name="tongdt" localSheetId="8">#REF!,#REF!</definedName>
    <definedName name="tongdt">#REF!,#REF!</definedName>
    <definedName name="TONGDUTOAN" localSheetId="8">#REF!</definedName>
    <definedName name="TONGDUTOAN">#REF!</definedName>
    <definedName name="TongGT_AH_CT_VAT" localSheetId="5">#REF!</definedName>
    <definedName name="TongGT_AH_CT_VAT" localSheetId="6">#REF!</definedName>
    <definedName name="TongGT_AH_CT_VAT" localSheetId="7">#REF!</definedName>
    <definedName name="TongGT_AH_CT_VAT" localSheetId="8">#REF!</definedName>
    <definedName name="TongGT_AH_CT_VAT">#REF!</definedName>
    <definedName name="TongGT_AH_TT_VAT" localSheetId="5">#REF!</definedName>
    <definedName name="TongGT_AH_TT_VAT" localSheetId="6">#REF!</definedName>
    <definedName name="TongGT_AH_TT_VAT" localSheetId="7">#REF!</definedName>
    <definedName name="TongGT_AH_TT_VAT" localSheetId="8">#REF!</definedName>
    <definedName name="TongGT_AH_TT_VAT">#REF!</definedName>
    <definedName name="TongGT_AH_VAT" localSheetId="5">#REF!</definedName>
    <definedName name="TongGT_AH_VAT" localSheetId="6">#REF!</definedName>
    <definedName name="TongGT_AH_VAT" localSheetId="7">#REF!</definedName>
    <definedName name="TongGT_AH_VAT" localSheetId="8">#REF!</definedName>
    <definedName name="TongGT_AH_VAT">#REF!</definedName>
    <definedName name="TongGT_GV_CT_VAT" localSheetId="5">#REF!</definedName>
    <definedName name="TongGT_GV_CT_VAT" localSheetId="6">#REF!</definedName>
    <definedName name="TongGT_GV_CT_VAT" localSheetId="7">#REF!</definedName>
    <definedName name="TongGT_GV_CT_VAT" localSheetId="8">#REF!</definedName>
    <definedName name="TongGT_GV_CT_VAT">#REF!</definedName>
    <definedName name="TongGT_GV_TT_VAT" localSheetId="5">#REF!</definedName>
    <definedName name="TongGT_GV_TT_VAT" localSheetId="6">#REF!</definedName>
    <definedName name="TongGT_GV_TT_VAT" localSheetId="7">#REF!</definedName>
    <definedName name="TongGT_GV_TT_VAT" localSheetId="8">#REF!</definedName>
    <definedName name="TongGT_GV_TT_VAT">#REF!</definedName>
    <definedName name="TongGT_GV_VAT" localSheetId="5">#REF!</definedName>
    <definedName name="TongGT_GV_VAT" localSheetId="6">#REF!</definedName>
    <definedName name="TongGT_GV_VAT" localSheetId="7">#REF!</definedName>
    <definedName name="TongGT_GV_VAT" localSheetId="8">#REF!</definedName>
    <definedName name="TongGT_GV_VAT">#REF!</definedName>
    <definedName name="TongGT_HN_VAT" localSheetId="5">#REF!</definedName>
    <definedName name="TongGT_HN_VAT" localSheetId="6">#REF!</definedName>
    <definedName name="TongGT_HN_VAT" localSheetId="7">#REF!</definedName>
    <definedName name="TongGT_HN_VAT" localSheetId="8">#REF!</definedName>
    <definedName name="TongGT_HN_VAT">#REF!</definedName>
    <definedName name="Tonghop">#REF!</definedName>
    <definedName name="tongkt" localSheetId="8">#REF!</definedName>
    <definedName name="tongkt">#REF!</definedName>
    <definedName name="tongthep" localSheetId="8">#REF!</definedName>
    <definedName name="tongthep">#REF!</definedName>
    <definedName name="tongthetich" localSheetId="8">#REF!</definedName>
    <definedName name="tongthetich">#REF!</definedName>
    <definedName name="tØnho" localSheetId="8">#REF!</definedName>
    <definedName name="tØnho">#REF!</definedName>
    <definedName name="Tonmai" localSheetId="8">#REF!</definedName>
    <definedName name="Tonmai">#REF!</definedName>
    <definedName name="TOP" localSheetId="8">#REF!</definedName>
    <definedName name="TOP">#REF!</definedName>
    <definedName name="total_feuille_moyenne">#REF!</definedName>
    <definedName name="totb" localSheetId="8">#REF!</definedName>
    <definedName name="totb">#REF!</definedName>
    <definedName name="totb1" localSheetId="8">#REF!</definedName>
    <definedName name="totb1">#REF!</definedName>
    <definedName name="totb2" localSheetId="8">#REF!</definedName>
    <definedName name="totb2">#REF!</definedName>
    <definedName name="totb3" localSheetId="8">#REF!</definedName>
    <definedName name="totb3">#REF!</definedName>
    <definedName name="totb4" localSheetId="8">#REF!</definedName>
    <definedName name="totb4">#REF!</definedName>
    <definedName name="totb5" localSheetId="8">#REF!</definedName>
    <definedName name="totb5">#REF!</definedName>
    <definedName name="totb6" localSheetId="8">#REF!</definedName>
    <definedName name="totb6">#REF!</definedName>
    <definedName name="totbtoi" localSheetId="8">#REF!</definedName>
    <definedName name="totbtoi">#REF!</definedName>
    <definedName name="TOYOTA" localSheetId="8">#REF!</definedName>
    <definedName name="TOYOTA">#REF!</definedName>
    <definedName name="tp" localSheetId="8">#REF!</definedName>
    <definedName name="tp">#REF!</definedName>
    <definedName name="TPLRP" localSheetId="8">#REF!</definedName>
    <definedName name="TPLRP">#REF!</definedName>
    <definedName name="TR15HT" localSheetId="8">#REF!</definedName>
    <definedName name="TR15HT">#REF!</definedName>
    <definedName name="TR16HT" localSheetId="8">#REF!</definedName>
    <definedName name="TR16HT">#REF!</definedName>
    <definedName name="TR19HT" localSheetId="8">#REF!</definedName>
    <definedName name="TR19HT">#REF!</definedName>
    <definedName name="tr1x15" localSheetId="8">#REF!</definedName>
    <definedName name="tr1x15">#REF!</definedName>
    <definedName name="TR20HT" localSheetId="8">#REF!</definedName>
    <definedName name="TR20HT">#REF!</definedName>
    <definedName name="tr3x100" localSheetId="8">#REF!</definedName>
    <definedName name="tr3x100">#REF!</definedName>
    <definedName name="Tra_Cot" localSheetId="8">#REF!</definedName>
    <definedName name="Tra_Cot">#REF!</definedName>
    <definedName name="Tra_DM_su_dung" localSheetId="8">#REF!</definedName>
    <definedName name="Tra_DM_su_dung">#REF!</definedName>
    <definedName name="Tra_DM_su_dung_cau" localSheetId="8">#REF!</definedName>
    <definedName name="Tra_DM_su_dung_cau">#REF!</definedName>
    <definedName name="tra_don_gia">#REF!</definedName>
    <definedName name="Tra_don_gia_KS" localSheetId="8">#REF!</definedName>
    <definedName name="Tra_don_gia_KS">#REF!</definedName>
    <definedName name="Tra_DTCT" localSheetId="8">#REF!</definedName>
    <definedName name="Tra_DTCT">#REF!</definedName>
    <definedName name="Tra_gia" localSheetId="8">#REF!</definedName>
    <definedName name="Tra_gia">#REF!</definedName>
    <definedName name="Tra_gia_KS">#REF!</definedName>
    <definedName name="Tra_gia_VLKS">#REF!</definedName>
    <definedName name="Tra_gtxl_cong" localSheetId="8">#REF!</definedName>
    <definedName name="Tra_gtxl_cong">#REF!</definedName>
    <definedName name="Tra_GTXLST">#REF!</definedName>
    <definedName name="Tra_KS">#REF!</definedName>
    <definedName name="Tra_phan_tram" localSheetId="8">#REF!</definedName>
    <definedName name="Tra_phan_tram">#REF!</definedName>
    <definedName name="Tra_ten_cong" localSheetId="8">#REF!</definedName>
    <definedName name="Tra_ten_cong">#REF!</definedName>
    <definedName name="Tra_tim_hang_mucPT_trung" localSheetId="8">#REF!</definedName>
    <definedName name="Tra_tim_hang_mucPT_trung">#REF!</definedName>
    <definedName name="Tra_TL" localSheetId="8">#REF!</definedName>
    <definedName name="Tra_TL">#REF!</definedName>
    <definedName name="Tra_TT" localSheetId="8">#REF!</definedName>
    <definedName name="Tra_TT">#REF!</definedName>
    <definedName name="Tra_ty_le" localSheetId="8">#REF!</definedName>
    <definedName name="Tra_ty_le">#REF!</definedName>
    <definedName name="Tra_ty_le2" localSheetId="8">#REF!</definedName>
    <definedName name="Tra_ty_le2">#REF!</definedName>
    <definedName name="Tra_ty_le3" localSheetId="8">#REF!</definedName>
    <definedName name="Tra_ty_le3">#REF!</definedName>
    <definedName name="Tra_ty_le4" localSheetId="8">#REF!</definedName>
    <definedName name="Tra_ty_le4">#REF!</definedName>
    <definedName name="Tra_ty_le5" localSheetId="8">#REF!</definedName>
    <definedName name="Tra_ty_le5">#REF!</definedName>
    <definedName name="TRA_VAT_LIEU" localSheetId="8">#REF!</definedName>
    <definedName name="TRA_VAT_LIEU">#REF!</definedName>
    <definedName name="tra_vat_lieu1">#REF!</definedName>
    <definedName name="TRA_VL" localSheetId="8">#REF!</definedName>
    <definedName name="TRA_VL">#REF!</definedName>
    <definedName name="tra_VL_1">#REF!</definedName>
    <definedName name="tra_xlbtn" localSheetId="8">#REF!</definedName>
    <definedName name="tra_xlbtn">#REF!</definedName>
    <definedName name="traA103" localSheetId="8">#REF!</definedName>
    <definedName name="traA103">#REF!</definedName>
    <definedName name="trab" localSheetId="8">#REF!</definedName>
    <definedName name="trab">#REF!</definedName>
    <definedName name="trabtn" localSheetId="8">#REF!</definedName>
    <definedName name="trabtn">#REF!</definedName>
    <definedName name="TraDAH_H" localSheetId="8">#REF!</definedName>
    <definedName name="TraDAH_H">#REF!</definedName>
    <definedName name="TRADE2" localSheetId="8">#REF!</definedName>
    <definedName name="TRADE2">#REF!</definedName>
    <definedName name="TRAM" localSheetId="8">#REF!</definedName>
    <definedName name="TRAM">#REF!</definedName>
    <definedName name="tram100" localSheetId="8">#REF!</definedName>
    <definedName name="tram100">#REF!</definedName>
    <definedName name="tram1x25" localSheetId="8">#REF!</definedName>
    <definedName name="tram1x25">#REF!</definedName>
    <definedName name="tramatcong1" localSheetId="8">#REF!</definedName>
    <definedName name="tramatcong1">#REF!</definedName>
    <definedName name="tramatcong2" localSheetId="8">#REF!</definedName>
    <definedName name="tramatcong2">#REF!</definedName>
    <definedName name="tramtbtn25" localSheetId="8">#REF!</definedName>
    <definedName name="tramtbtn25">#REF!</definedName>
    <definedName name="tramtbtn30" localSheetId="8">#REF!</definedName>
    <definedName name="tramtbtn30">#REF!</definedName>
    <definedName name="tramtbtn40" localSheetId="8">#REF!</definedName>
    <definedName name="tramtbtn40">#REF!</definedName>
    <definedName name="tramtbtn50" localSheetId="8">#REF!</definedName>
    <definedName name="tramtbtn50">#REF!</definedName>
    <definedName name="tramtbtn60" localSheetId="8">#REF!</definedName>
    <definedName name="tramtbtn60">#REF!</definedName>
    <definedName name="tramtbtn80" localSheetId="8">#REF!</definedName>
    <definedName name="tramtbtn80">#REF!</definedName>
    <definedName name="tranhietdo" localSheetId="8">#REF!</definedName>
    <definedName name="tranhietdo">#REF!</definedName>
    <definedName name="TRANSFORMER" localSheetId="8">#REF!</definedName>
    <definedName name="TRANSFORMER">#REF!</definedName>
    <definedName name="TransSize">#REF!</definedName>
    <definedName name="TraQ">#REF!</definedName>
    <definedName name="TraTH">#REF!</definedName>
    <definedName name="Trave">#REF!</definedName>
    <definedName name="TRAvH" localSheetId="8">#REF!</definedName>
    <definedName name="TRAvH">#REF!</definedName>
    <definedName name="TRAVL" localSheetId="8">#REF!</definedName>
    <definedName name="TRAVL">#REF!</definedName>
    <definedName name="trgy" localSheetId="1" hidden="1">{"'Sheet1'!$L$16"}</definedName>
    <definedName name="trgy" localSheetId="2" hidden="1">{"'Sheet1'!$L$16"}</definedName>
    <definedName name="trgy" localSheetId="4" hidden="1">{"'Sheet1'!$L$16"}</definedName>
    <definedName name="trgy" localSheetId="5" hidden="1">{"'Sheet1'!$L$16"}</definedName>
    <definedName name="trgy" localSheetId="6" hidden="1">{"'Sheet1'!$L$16"}</definedName>
    <definedName name="trgy" localSheetId="7" hidden="1">{"'Sheet1'!$L$16"}</definedName>
    <definedName name="trgy" localSheetId="8" hidden="1">{"'Sheet1'!$L$16"}</definedName>
    <definedName name="trgy" hidden="1">{"'Sheet1'!$L$16"}</definedName>
    <definedName name="tronbetong100" localSheetId="8">#REF!</definedName>
    <definedName name="tronbetong100">#REF!</definedName>
    <definedName name="tronbetong1150" localSheetId="8">#REF!</definedName>
    <definedName name="tronbetong1150">#REF!</definedName>
    <definedName name="tronbetong150" localSheetId="8">#REF!</definedName>
    <definedName name="tronbetong150">#REF!</definedName>
    <definedName name="tronbetong1600" localSheetId="8">#REF!</definedName>
    <definedName name="tronbetong1600">#REF!</definedName>
    <definedName name="tronbetong200" localSheetId="8">#REF!</definedName>
    <definedName name="tronbetong200">#REF!</definedName>
    <definedName name="tronbetong250" localSheetId="8">#REF!</definedName>
    <definedName name="tronbetong250">#REF!</definedName>
    <definedName name="tronbetong425" localSheetId="8">#REF!</definedName>
    <definedName name="tronbetong425">#REF!</definedName>
    <definedName name="tronbetong500" localSheetId="8">#REF!</definedName>
    <definedName name="tronbetong500">#REF!</definedName>
    <definedName name="tronbetong800" localSheetId="8">#REF!</definedName>
    <definedName name="tronbetong800">#REF!</definedName>
    <definedName name="TronD10D18">#REF!</definedName>
    <definedName name="TronD6D8">#REF!</definedName>
    <definedName name="tronvua110" localSheetId="8">#REF!</definedName>
    <definedName name="tronvua110">#REF!</definedName>
    <definedName name="tronvua150" localSheetId="8">#REF!</definedName>
    <definedName name="tronvua150">#REF!</definedName>
    <definedName name="tronvua200" localSheetId="8">#REF!</definedName>
    <definedName name="tronvua200">#REF!</definedName>
    <definedName name="tronvua250" localSheetId="8">#REF!</definedName>
    <definedName name="tronvua250">#REF!</definedName>
    <definedName name="tronvua325" localSheetId="8">#REF!</definedName>
    <definedName name="tronvua325">#REF!</definedName>
    <definedName name="trt" localSheetId="8">#REF!</definedName>
    <definedName name="trt">#REF!</definedName>
    <definedName name="tru_can" localSheetId="8">#REF!</definedName>
    <definedName name="tru_can">#REF!</definedName>
    <definedName name="tru10mtc" localSheetId="8">#REF!</definedName>
    <definedName name="tru10mtc">#REF!</definedName>
    <definedName name="tru8mtc" localSheetId="8">#REF!</definedName>
    <definedName name="tru8mtc">#REF!</definedName>
    <definedName name="trytryu" localSheetId="1" hidden="1">{0}</definedName>
    <definedName name="trytryu" localSheetId="2" hidden="1">{0}</definedName>
    <definedName name="trytryu" localSheetId="4" hidden="1">{0}</definedName>
    <definedName name="trytryu" localSheetId="5" hidden="1">{0}</definedName>
    <definedName name="trytryu" localSheetId="6" hidden="1">{0}</definedName>
    <definedName name="trytryu" localSheetId="7" hidden="1">{0}</definedName>
    <definedName name="trytryu" localSheetId="8" hidden="1">{0}</definedName>
    <definedName name="trytryu" hidden="1">{0}</definedName>
    <definedName name="ts" localSheetId="8">#REF!</definedName>
    <definedName name="ts">#REF!</definedName>
    <definedName name="tsI" localSheetId="8">#REF!</definedName>
    <definedName name="tsI">#REF!</definedName>
    <definedName name="tt" localSheetId="1" hidden="1">{"'Sheet1'!$L$16"}</definedName>
    <definedName name="tt" localSheetId="2" hidden="1">{"'Sheet1'!$L$16"}</definedName>
    <definedName name="tt" localSheetId="3" hidden="1">{"'Sheet1'!$L$16"}</definedName>
    <definedName name="tt" localSheetId="4" hidden="1">{"'Sheet1'!$L$16"}</definedName>
    <definedName name="tt" localSheetId="5" hidden="1">{"'Sheet1'!$L$16"}</definedName>
    <definedName name="tt" localSheetId="6" hidden="1">{"'Sheet1'!$L$16"}</definedName>
    <definedName name="tt" localSheetId="7" hidden="1">{"'Sheet1'!$L$16"}</definedName>
    <definedName name="tt" localSheetId="8" hidden="1">{"'Sheet1'!$L$16"}</definedName>
    <definedName name="tt" hidden="1">{"'Sheet1'!$L$16"}</definedName>
    <definedName name="TT_1P" localSheetId="8">#REF!</definedName>
    <definedName name="TT_1P">#REF!</definedName>
    <definedName name="TT_3p" localSheetId="8">#REF!</definedName>
    <definedName name="TT_3p">#REF!</definedName>
    <definedName name="tt1pnc" localSheetId="8">#REF!</definedName>
    <definedName name="tt1pnc">#REF!</definedName>
    <definedName name="tt1pvl" localSheetId="8">#REF!</definedName>
    <definedName name="tt1pvl">#REF!</definedName>
    <definedName name="tt3pnc" localSheetId="8">#REF!</definedName>
    <definedName name="tt3pnc">#REF!</definedName>
    <definedName name="tt3pvl" localSheetId="8">#REF!</definedName>
    <definedName name="tt3pvl">#REF!</definedName>
    <definedName name="ttam" localSheetId="8">#REF!</definedName>
    <definedName name="ttam">#REF!</definedName>
    <definedName name="ttao" localSheetId="8">#REF!</definedName>
    <definedName name="ttao">#REF!</definedName>
    <definedName name="ttbt" localSheetId="8">#REF!</definedName>
    <definedName name="ttbt">#REF!</definedName>
    <definedName name="TTC" localSheetId="8">#REF!</definedName>
    <definedName name="TTC">#REF!</definedName>
    <definedName name="TTCa" localSheetId="8">#REF!</definedName>
    <definedName name="TTCa">#REF!</definedName>
    <definedName name="TTCto" localSheetId="8">#REF!</definedName>
    <definedName name="TTCto">#REF!</definedName>
    <definedName name="TTDD" localSheetId="8">#REF!+#REF!+#REF!</definedName>
    <definedName name="TTDD">#REF!+#REF!+#REF!</definedName>
    <definedName name="TTDD1P" localSheetId="8">#REF!</definedName>
    <definedName name="TTDD1P">#REF!</definedName>
    <definedName name="TTDD3P" localSheetId="8">#REF!</definedName>
    <definedName name="TTDD3P">#REF!</definedName>
    <definedName name="ttdd3pct">#REF!</definedName>
    <definedName name="TTDDCT3p" localSheetId="8">#REF!</definedName>
    <definedName name="TTDDCT3p">#REF!</definedName>
    <definedName name="TTDKKH" localSheetId="8">#REF!</definedName>
    <definedName name="TTDKKH">#REF!</definedName>
    <definedName name="TTDZ" localSheetId="8">#REF!</definedName>
    <definedName name="TTDZ">#REF!</definedName>
    <definedName name="TTDZ04" localSheetId="8">#REF!</definedName>
    <definedName name="TTDZ04">#REF!</definedName>
    <definedName name="tthi" localSheetId="8">#REF!</definedName>
    <definedName name="tthi">#REF!</definedName>
    <definedName name="tthqda">#REF!</definedName>
    <definedName name="TTK3p">#REF!</definedName>
    <definedName name="TTLo62">#REF!</definedName>
    <definedName name="tto" localSheetId="8">#REF!</definedName>
    <definedName name="tto">#REF!</definedName>
    <definedName name="ttop">#REF!</definedName>
    <definedName name="ttoxtp" localSheetId="8">#REF!</definedName>
    <definedName name="ttoxtp">#REF!</definedName>
    <definedName name="ttronmk" localSheetId="8">#REF!</definedName>
    <definedName name="ttronmk">#REF!</definedName>
    <definedName name="ttt">#REF!</definedName>
    <definedName name="tttb">#REF!</definedName>
    <definedName name="TTTR" localSheetId="8">#REF!</definedName>
    <definedName name="TTTR">#REF!</definedName>
    <definedName name="tttt" localSheetId="8">#REF!</definedName>
    <definedName name="tttt">#REF!</definedName>
    <definedName name="TTVAn5" localSheetId="8">#REF!</definedName>
    <definedName name="TTVAn5">#REF!</definedName>
    <definedName name="TuanGiao" localSheetId="8">#REF!</definedName>
    <definedName name="TuanGiao">#REF!</definedName>
    <definedName name="Tuong_chan" localSheetId="8">#REF!</definedName>
    <definedName name="Tuong_chan">#REF!</definedName>
    <definedName name="TuVan" localSheetId="8">#REF!</definedName>
    <definedName name="TuVan">#REF!</definedName>
    <definedName name="tuy" localSheetId="1" hidden="1">{"'Sheet1'!$L$16"}</definedName>
    <definedName name="tuy" localSheetId="2" hidden="1">{"'Sheet1'!$L$16"}</definedName>
    <definedName name="tuy" localSheetId="4" hidden="1">{"'Sheet1'!$L$16"}</definedName>
    <definedName name="tuy" localSheetId="5" hidden="1">{"'Sheet1'!$L$16"}</definedName>
    <definedName name="tuy" localSheetId="6" hidden="1">{"'Sheet1'!$L$16"}</definedName>
    <definedName name="tuy" localSheetId="7" hidden="1">{"'Sheet1'!$L$16"}</definedName>
    <definedName name="tuy" localSheetId="8" hidden="1">{"'Sheet1'!$L$16"}</definedName>
    <definedName name="tuy" hidden="1">{"'Sheet1'!$L$16"}</definedName>
    <definedName name="tuyen" localSheetId="1" hidden="1">{"'Sheet1'!$L$16"}</definedName>
    <definedName name="tuyen" localSheetId="2" hidden="1">{"'Sheet1'!$L$16"}</definedName>
    <definedName name="tuyen" localSheetId="4" hidden="1">{"'Sheet1'!$L$16"}</definedName>
    <definedName name="tuyen" localSheetId="5" hidden="1">{"'Sheet1'!$L$16"}</definedName>
    <definedName name="tuyen" localSheetId="6" hidden="1">{"'Sheet1'!$L$16"}</definedName>
    <definedName name="tuyen" localSheetId="7" hidden="1">{"'Sheet1'!$L$16"}</definedName>
    <definedName name="tuyen" localSheetId="8" hidden="1">{"'Sheet1'!$L$16"}</definedName>
    <definedName name="tuyen" hidden="1">{"'Sheet1'!$L$16"}</definedName>
    <definedName name="tuyennhanh" localSheetId="1" hidden="1">{"'Sheet1'!$L$16"}</definedName>
    <definedName name="tuyennhanh" localSheetId="2" hidden="1">{"'Sheet1'!$L$16"}</definedName>
    <definedName name="tuyennhanh" localSheetId="4" hidden="1">{"'Sheet1'!$L$16"}</definedName>
    <definedName name="tuyennhanh" localSheetId="5" hidden="1">{"'Sheet1'!$L$16"}</definedName>
    <definedName name="tuyennhanh" localSheetId="6" hidden="1">{"'Sheet1'!$L$16"}</definedName>
    <definedName name="tuyennhanh" localSheetId="7" hidden="1">{"'Sheet1'!$L$16"}</definedName>
    <definedName name="tuyennhanh" localSheetId="8" hidden="1">{"'Sheet1'!$L$16"}</definedName>
    <definedName name="tuyennhanh" hidden="1">{"'Sheet1'!$L$16"}</definedName>
    <definedName name="tuynen" localSheetId="1" hidden="1">{"'Sheet1'!$L$16"}</definedName>
    <definedName name="tuynen" localSheetId="2" hidden="1">{"'Sheet1'!$L$16"}</definedName>
    <definedName name="tuynen" localSheetId="4" hidden="1">{"'Sheet1'!$L$16"}</definedName>
    <definedName name="tuynen" localSheetId="5" hidden="1">{"'Sheet1'!$L$16"}</definedName>
    <definedName name="tuynen" localSheetId="6" hidden="1">{"'Sheet1'!$L$16"}</definedName>
    <definedName name="tuynen" localSheetId="7" hidden="1">{"'Sheet1'!$L$16"}</definedName>
    <definedName name="tuynen" localSheetId="8" hidden="1">{"'Sheet1'!$L$16"}</definedName>
    <definedName name="tuynen" hidden="1">{"'Sheet1'!$L$16"}</definedName>
    <definedName name="TV" localSheetId="8">#REF!</definedName>
    <definedName name="TV">#REF!</definedName>
    <definedName name="tv75nc" localSheetId="8">#REF!</definedName>
    <definedName name="tv75nc">#REF!</definedName>
    <definedName name="tv75vl" localSheetId="8">#REF!</definedName>
    <definedName name="tv75vl">#REF!</definedName>
    <definedName name="Twister" localSheetId="8">#REF!</definedName>
    <definedName name="Twister">#REF!</definedName>
    <definedName name="TX" localSheetId="8">#REF!</definedName>
    <definedName name="TX">#REF!</definedName>
    <definedName name="tx1pignc" localSheetId="8">#REF!</definedName>
    <definedName name="tx1pignc">#REF!</definedName>
    <definedName name="tx1pindnc" localSheetId="8">#REF!</definedName>
    <definedName name="tx1pindnc">#REF!</definedName>
    <definedName name="tx1pingnc" localSheetId="8">#REF!</definedName>
    <definedName name="tx1pingnc">#REF!</definedName>
    <definedName name="tx1pintnc" localSheetId="8">#REF!</definedName>
    <definedName name="tx1pintnc">#REF!</definedName>
    <definedName name="tx1pitnc" localSheetId="8">#REF!</definedName>
    <definedName name="tx1pitnc">#REF!</definedName>
    <definedName name="tx2mhnnc" localSheetId="8">#REF!</definedName>
    <definedName name="tx2mhnnc">#REF!</definedName>
    <definedName name="tx2mitnc" localSheetId="8">#REF!</definedName>
    <definedName name="tx2mitnc">#REF!</definedName>
    <definedName name="txhnnc" localSheetId="8">#REF!</definedName>
    <definedName name="txhnnc">#REF!</definedName>
    <definedName name="txig1nc" localSheetId="8">#REF!</definedName>
    <definedName name="txig1nc">#REF!</definedName>
    <definedName name="txin190nc" localSheetId="8">#REF!</definedName>
    <definedName name="txin190nc">#REF!</definedName>
    <definedName name="txinnc" localSheetId="8">#REF!</definedName>
    <definedName name="txinnc">#REF!</definedName>
    <definedName name="txit1nc" localSheetId="8">#REF!</definedName>
    <definedName name="txit1nc">#REF!</definedName>
    <definedName name="TY" localSheetId="8">#REF!</definedName>
    <definedName name="TY">#REF!</definedName>
    <definedName name="Ty_gia">#REF!</definedName>
    <definedName name="ty_le" localSheetId="8">#REF!</definedName>
    <definedName name="ty_le">#REF!</definedName>
    <definedName name="Ty_Le_1" localSheetId="8">#REF!</definedName>
    <definedName name="Ty_Le_1">#REF!</definedName>
    <definedName name="ty_le_2" localSheetId="8">#REF!</definedName>
    <definedName name="ty_le_2">#REF!</definedName>
    <definedName name="ty_le_3" localSheetId="8">#REF!</definedName>
    <definedName name="ty_le_3">#REF!</definedName>
    <definedName name="ty_le_BTN" localSheetId="8">#REF!</definedName>
    <definedName name="ty_le_BTN">#REF!</definedName>
    <definedName name="Ty_le1" localSheetId="8">#REF!</definedName>
    <definedName name="Ty_le1">#REF!</definedName>
    <definedName name="TYERT" localSheetId="1" hidden="1">{#N/A,#N/A,FALSE,"Chi tiÆt"}</definedName>
    <definedName name="TYERT" localSheetId="2" hidden="1">{#N/A,#N/A,FALSE,"Chi tiÆt"}</definedName>
    <definedName name="TYERT" localSheetId="4" hidden="1">{#N/A,#N/A,FALSE,"Chi tiÆt"}</definedName>
    <definedName name="TYERT" localSheetId="5" hidden="1">{#N/A,#N/A,FALSE,"Chi tiÆt"}</definedName>
    <definedName name="TYERT" localSheetId="6" hidden="1">{#N/A,#N/A,FALSE,"Chi tiÆt"}</definedName>
    <definedName name="TYERT" localSheetId="7" hidden="1">{#N/A,#N/A,FALSE,"Chi tiÆt"}</definedName>
    <definedName name="TYERT" localSheetId="8" hidden="1">{#N/A,#N/A,FALSE,"Chi tiÆt"}</definedName>
    <definedName name="TYERT" hidden="1">{#N/A,#N/A,FALSE,"Chi tiÆt"}</definedName>
    <definedName name="tyiyui" localSheetId="1" hidden="1">{0}</definedName>
    <definedName name="tyiyui" localSheetId="2" hidden="1">{0}</definedName>
    <definedName name="tyiyui" localSheetId="4" hidden="1">{0}</definedName>
    <definedName name="tyiyui" localSheetId="5" hidden="1">{0}</definedName>
    <definedName name="tyiyui" localSheetId="6" hidden="1">{0}</definedName>
    <definedName name="tyiyui" localSheetId="7" hidden="1">{0}</definedName>
    <definedName name="tyiyui" localSheetId="8" hidden="1">{0}</definedName>
    <definedName name="tyiyui" hidden="1">{0}</definedName>
    <definedName name="Type_1" localSheetId="8">#REF!</definedName>
    <definedName name="Type_1">#REF!</definedName>
    <definedName name="Type_2" localSheetId="8">#REF!</definedName>
    <definedName name="Type_2">#REF!</definedName>
    <definedName name="u" localSheetId="8">#REF!</definedName>
    <definedName name="u">#REF!</definedName>
    <definedName name="U_tien" localSheetId="8">#REF!</definedName>
    <definedName name="U_tien">#REF!</definedName>
    <definedName name="Ud" localSheetId="4" hidden="1">#REF!</definedName>
    <definedName name="Ud" localSheetId="5" hidden="1">#REF!</definedName>
    <definedName name="Ud" localSheetId="6" hidden="1">#REF!</definedName>
    <definedName name="Ud" localSheetId="7" hidden="1">#REF!</definedName>
    <definedName name="Ud" localSheetId="8" hidden="1">#REF!</definedName>
    <definedName name="Ud" hidden="1">#REF!</definedName>
    <definedName name="ƯEWWRDƯ" localSheetId="8">#REF!</definedName>
    <definedName name="ƯEWWRDƯ">#REF!</definedName>
    <definedName name="ui">#REF!</definedName>
    <definedName name="ukluy" localSheetId="1" hidden="1">{"'Sheet1'!$L$16"}</definedName>
    <definedName name="ukluy" localSheetId="2" hidden="1">{"'Sheet1'!$L$16"}</definedName>
    <definedName name="ukluy" localSheetId="4" hidden="1">{"'Sheet1'!$L$16"}</definedName>
    <definedName name="ukluy" localSheetId="5" hidden="1">{"'Sheet1'!$L$16"}</definedName>
    <definedName name="ukluy" localSheetId="6" hidden="1">{"'Sheet1'!$L$16"}</definedName>
    <definedName name="ukluy" localSheetId="7" hidden="1">{"'Sheet1'!$L$16"}</definedName>
    <definedName name="ukluy" localSheetId="8" hidden="1">{"'Sheet1'!$L$16"}</definedName>
    <definedName name="ukluy" hidden="1">{"'Sheet1'!$L$16"}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L" localSheetId="8">#REF!</definedName>
    <definedName name="UNL">#REF!</definedName>
    <definedName name="upnoc" localSheetId="8">#REF!</definedName>
    <definedName name="upnoc">#REF!</definedName>
    <definedName name="us" localSheetId="8">#REF!</definedName>
    <definedName name="us">#REF!</definedName>
    <definedName name="USD" localSheetId="8">#REF!</definedName>
    <definedName name="USD">#REF!</definedName>
    <definedName name="USD_VND" localSheetId="5">#REF!</definedName>
    <definedName name="USD_VND" localSheetId="6">#REF!</definedName>
    <definedName name="USD_VND" localSheetId="7">#REF!</definedName>
    <definedName name="USD_VND" localSheetId="8">#REF!</definedName>
    <definedName name="USD_VND">#REF!</definedName>
    <definedName name="ut" localSheetId="8">#REF!</definedName>
    <definedName name="ut">#REF!</definedName>
    <definedName name="UT_1" localSheetId="8">#REF!</definedName>
    <definedName name="UT_1">#REF!</definedName>
    <definedName name="UT1_373" localSheetId="8">#REF!</definedName>
    <definedName name="UT1_373">#REF!</definedName>
    <definedName name="Uy" localSheetId="4" hidden="1">#REF!</definedName>
    <definedName name="Uy" localSheetId="5" hidden="1">#REF!</definedName>
    <definedName name="Uy" localSheetId="6" hidden="1">#REF!</definedName>
    <definedName name="Uy" localSheetId="7" hidden="1">#REF!</definedName>
    <definedName name="Uy" localSheetId="8" hidden="1">#REF!</definedName>
    <definedName name="Uy" hidden="1">#REF!</definedName>
    <definedName name="v">#REF!</definedName>
    <definedName name="V.1" localSheetId="8">#REF!</definedName>
    <definedName name="V.1">#REF!</definedName>
    <definedName name="V.10" localSheetId="8">#REF!</definedName>
    <definedName name="V.10">#REF!</definedName>
    <definedName name="V.11" localSheetId="8">#REF!</definedName>
    <definedName name="V.11">#REF!</definedName>
    <definedName name="V.12" localSheetId="8">#REF!</definedName>
    <definedName name="V.12">#REF!</definedName>
    <definedName name="V.13" localSheetId="8">#REF!</definedName>
    <definedName name="V.13">#REF!</definedName>
    <definedName name="V.14" localSheetId="8">#REF!</definedName>
    <definedName name="V.14">#REF!</definedName>
    <definedName name="V.15" localSheetId="8">#REF!</definedName>
    <definedName name="V.15">#REF!</definedName>
    <definedName name="V.16" localSheetId="8">#REF!</definedName>
    <definedName name="V.16">#REF!</definedName>
    <definedName name="V.17" localSheetId="8">#REF!</definedName>
    <definedName name="V.17">#REF!</definedName>
    <definedName name="V.18" localSheetId="8">#REF!</definedName>
    <definedName name="V.18">#REF!</definedName>
    <definedName name="V.2" localSheetId="8">#REF!</definedName>
    <definedName name="V.2">#REF!</definedName>
    <definedName name="V.3" localSheetId="8">#REF!</definedName>
    <definedName name="V.3">#REF!</definedName>
    <definedName name="V.4" localSheetId="8">#REF!</definedName>
    <definedName name="V.4">#REF!</definedName>
    <definedName name="V.5" localSheetId="8">#REF!</definedName>
    <definedName name="V.5">#REF!</definedName>
    <definedName name="V.6" localSheetId="8">#REF!</definedName>
    <definedName name="V.6">#REF!</definedName>
    <definedName name="V.7" localSheetId="8">#REF!</definedName>
    <definedName name="V.7">#REF!</definedName>
    <definedName name="V.8" localSheetId="8">#REF!</definedName>
    <definedName name="V.8">#REF!</definedName>
    <definedName name="V.9" localSheetId="8">#REF!</definedName>
    <definedName name="V.9">#REF!</definedName>
    <definedName name="V_1" localSheetId="8">#REF!</definedName>
    <definedName name="V_1">#REF!</definedName>
    <definedName name="V_2" localSheetId="8">#REF!</definedName>
    <definedName name="V_2">#REF!</definedName>
    <definedName name="v_25">#REF!</definedName>
    <definedName name="V_3" localSheetId="8">#REF!</definedName>
    <definedName name="V_3">#REF!</definedName>
    <definedName name="V_4" localSheetId="8">#REF!</definedName>
    <definedName name="V_4">#REF!</definedName>
    <definedName name="V_a_b__t_ng_M200____1x2">#N/A</definedName>
    <definedName name="V_chuyen" localSheetId="8">#REF!</definedName>
    <definedName name="V_chuyen">#REF!</definedName>
    <definedName name="V_i_ni_l_ng" localSheetId="8">#REF!</definedName>
    <definedName name="V_i_ni_l_ng">#REF!</definedName>
    <definedName name="V_t_tõ" localSheetId="8">#REF!</definedName>
    <definedName name="V_t_tõ">#REF!</definedName>
    <definedName name="V0" localSheetId="8">#REF!</definedName>
    <definedName name="V0">#REF!</definedName>
    <definedName name="VA" localSheetId="8">#REF!</definedName>
    <definedName name="VA">#REF!</definedName>
    <definedName name="Vach" localSheetId="1" hidden="1">{"'Sheet1'!$L$16"}</definedName>
    <definedName name="Vach" localSheetId="2" hidden="1">{"'Sheet1'!$L$16"}</definedName>
    <definedName name="Vach" localSheetId="4" hidden="1">{"'Sheet1'!$L$16"}</definedName>
    <definedName name="Vach" localSheetId="5" hidden="1">{"'Sheet1'!$L$16"}</definedName>
    <definedName name="Vach" localSheetId="6" hidden="1">{"'Sheet1'!$L$16"}</definedName>
    <definedName name="Vach" localSheetId="7" hidden="1">{"'Sheet1'!$L$16"}</definedName>
    <definedName name="Vach" localSheetId="8" hidden="1">{"'Sheet1'!$L$16"}</definedName>
    <definedName name="Vach" hidden="1">{"'Sheet1'!$L$16"}</definedName>
    <definedName name="Value0" localSheetId="8">#REF!</definedName>
    <definedName name="Value0">#REF!</definedName>
    <definedName name="Value1" localSheetId="8">#REF!</definedName>
    <definedName name="Value1">#REF!</definedName>
    <definedName name="Value10" localSheetId="8">#REF!</definedName>
    <definedName name="Value10">#REF!</definedName>
    <definedName name="Value11" localSheetId="8">#REF!</definedName>
    <definedName name="Value11">#REF!</definedName>
    <definedName name="Value12" localSheetId="8">#REF!</definedName>
    <definedName name="Value12">#REF!</definedName>
    <definedName name="Value13" localSheetId="8">#REF!</definedName>
    <definedName name="Value13">#REF!</definedName>
    <definedName name="Value14" localSheetId="8">#REF!</definedName>
    <definedName name="Value14">#REF!</definedName>
    <definedName name="Value15" localSheetId="8">#REF!</definedName>
    <definedName name="Value15">#REF!</definedName>
    <definedName name="Value16" localSheetId="8">#REF!</definedName>
    <definedName name="Value16">#REF!</definedName>
    <definedName name="Value17" localSheetId="8">#REF!</definedName>
    <definedName name="Value17">#REF!</definedName>
    <definedName name="Value18" localSheetId="8">#REF!</definedName>
    <definedName name="Value18">#REF!</definedName>
    <definedName name="Value19" localSheetId="8">#REF!</definedName>
    <definedName name="Value19">#REF!</definedName>
    <definedName name="Value2" localSheetId="8">#REF!</definedName>
    <definedName name="Value2">#REF!</definedName>
    <definedName name="Value20" localSheetId="8">#REF!</definedName>
    <definedName name="Value20">#REF!</definedName>
    <definedName name="Value21" localSheetId="8">#REF!</definedName>
    <definedName name="Value21">#REF!</definedName>
    <definedName name="Value22" localSheetId="8">#REF!</definedName>
    <definedName name="Value22">#REF!</definedName>
    <definedName name="Value23" localSheetId="8">#REF!</definedName>
    <definedName name="Value23">#REF!</definedName>
    <definedName name="Value24" localSheetId="8">#REF!</definedName>
    <definedName name="Value24">#REF!</definedName>
    <definedName name="Value25" localSheetId="8">#REF!</definedName>
    <definedName name="Value25">#REF!</definedName>
    <definedName name="Value26" localSheetId="8">#REF!</definedName>
    <definedName name="Value26">#REF!</definedName>
    <definedName name="Value27" localSheetId="8">#REF!</definedName>
    <definedName name="Value27">#REF!</definedName>
    <definedName name="Value28" localSheetId="8">#REF!</definedName>
    <definedName name="Value28">#REF!</definedName>
    <definedName name="Value29" localSheetId="8">#REF!</definedName>
    <definedName name="Value29">#REF!</definedName>
    <definedName name="Value3" localSheetId="8">#REF!</definedName>
    <definedName name="Value3">#REF!</definedName>
    <definedName name="Value30" localSheetId="8">#REF!</definedName>
    <definedName name="Value30">#REF!</definedName>
    <definedName name="Value31" localSheetId="8">#REF!</definedName>
    <definedName name="Value31">#REF!</definedName>
    <definedName name="Value32" localSheetId="8">#REF!</definedName>
    <definedName name="Value32">#REF!</definedName>
    <definedName name="Value33" localSheetId="8">#REF!</definedName>
    <definedName name="Value33">#REF!</definedName>
    <definedName name="Value34" localSheetId="8">#REF!</definedName>
    <definedName name="Value34">#REF!</definedName>
    <definedName name="Value35" localSheetId="8">#REF!</definedName>
    <definedName name="Value35">#REF!</definedName>
    <definedName name="Value36" localSheetId="8">#REF!</definedName>
    <definedName name="Value36">#REF!</definedName>
    <definedName name="Value37" localSheetId="8">#REF!</definedName>
    <definedName name="Value37">#REF!</definedName>
    <definedName name="Value38" localSheetId="8">#REF!</definedName>
    <definedName name="Value38">#REF!</definedName>
    <definedName name="Value39" localSheetId="8">#REF!</definedName>
    <definedName name="Value39">#REF!</definedName>
    <definedName name="Value4" localSheetId="8">#REF!</definedName>
    <definedName name="Value4">#REF!</definedName>
    <definedName name="Value40" localSheetId="8">#REF!</definedName>
    <definedName name="Value40">#REF!</definedName>
    <definedName name="Value41" localSheetId="8">#REF!</definedName>
    <definedName name="Value41">#REF!</definedName>
    <definedName name="Value42" localSheetId="8">#REF!</definedName>
    <definedName name="Value42">#REF!</definedName>
    <definedName name="Value43" localSheetId="8">#REF!</definedName>
    <definedName name="Value43">#REF!</definedName>
    <definedName name="Value44" localSheetId="8">#REF!</definedName>
    <definedName name="Value44">#REF!</definedName>
    <definedName name="Value45" localSheetId="8">#REF!</definedName>
    <definedName name="Value45">#REF!</definedName>
    <definedName name="Value46" localSheetId="8">#REF!</definedName>
    <definedName name="Value46">#REF!</definedName>
    <definedName name="Value47" localSheetId="8">#REF!</definedName>
    <definedName name="Value47">#REF!</definedName>
    <definedName name="Value48" localSheetId="8">#REF!</definedName>
    <definedName name="Value48">#REF!</definedName>
    <definedName name="Value49" localSheetId="8">#REF!</definedName>
    <definedName name="Value49">#REF!</definedName>
    <definedName name="Value5" localSheetId="8">#REF!</definedName>
    <definedName name="Value5">#REF!</definedName>
    <definedName name="Value50" localSheetId="8">#REF!</definedName>
    <definedName name="Value50">#REF!</definedName>
    <definedName name="Value51" localSheetId="8">#REF!</definedName>
    <definedName name="Value51">#REF!</definedName>
    <definedName name="Value52" localSheetId="8">#REF!</definedName>
    <definedName name="Value52">#REF!</definedName>
    <definedName name="Value53" localSheetId="8">#REF!</definedName>
    <definedName name="Value53">#REF!</definedName>
    <definedName name="Value54" localSheetId="8">#REF!</definedName>
    <definedName name="Value54">#REF!</definedName>
    <definedName name="Value55" localSheetId="8">#REF!</definedName>
    <definedName name="Value55">#REF!</definedName>
    <definedName name="Value6" localSheetId="8">#REF!</definedName>
    <definedName name="Value6">#REF!</definedName>
    <definedName name="Value7" localSheetId="8">#REF!</definedName>
    <definedName name="Value7">#REF!</definedName>
    <definedName name="Value8" localSheetId="8">#REF!</definedName>
    <definedName name="Value8">#REF!</definedName>
    <definedName name="Value9" localSheetId="8">#REF!</definedName>
    <definedName name="Value9">#REF!</definedName>
    <definedName name="VAN" localSheetId="8">#REF!</definedName>
    <definedName name="VAN">#REF!</definedName>
    <definedName name="vanchuyencoc">#REF!</definedName>
    <definedName name="VanChuyenDam" localSheetId="8">#REF!</definedName>
    <definedName name="VanChuyenDam">#REF!</definedName>
    <definedName name="vankhuon">#REF!</definedName>
    <definedName name="VARIINST" localSheetId="8">#REF!</definedName>
    <definedName name="VARIINST">#REF!</definedName>
    <definedName name="VARIPURC" localSheetId="8">#REF!</definedName>
    <definedName name="VARIPURC">#REF!</definedName>
    <definedName name="VAT">#REF!</definedName>
    <definedName name="VATdahoan">#REF!</definedName>
    <definedName name="vatkientruc" localSheetId="8">#REF!</definedName>
    <definedName name="vatkientruc">#REF!</definedName>
    <definedName name="VATM" localSheetId="1" hidden="1">{"'Sheet1'!$L$16"}</definedName>
    <definedName name="VATM" localSheetId="2" hidden="1">{"'Sheet1'!$L$16"}</definedName>
    <definedName name="VATM" localSheetId="3" hidden="1">{"'Sheet1'!$L$16"}</definedName>
    <definedName name="VATM" localSheetId="4" hidden="1">{"'Sheet1'!$L$16"}</definedName>
    <definedName name="VATM" localSheetId="5" hidden="1">{"'Sheet1'!$L$16"}</definedName>
    <definedName name="VATM" localSheetId="6" hidden="1">{"'Sheet1'!$L$16"}</definedName>
    <definedName name="VATM" localSheetId="7" hidden="1">{"'Sheet1'!$L$16"}</definedName>
    <definedName name="VATM" localSheetId="8" hidden="1">{"'Sheet1'!$L$16"}</definedName>
    <definedName name="VATM" hidden="1">{"'Sheet1'!$L$16"}</definedName>
    <definedName name="VB" localSheetId="8">#REF!</definedName>
    <definedName name="VB">#REF!</definedName>
    <definedName name="vbtchongnuocm300" localSheetId="8">#REF!</definedName>
    <definedName name="vbtchongnuocm300">#REF!</definedName>
    <definedName name="vbtm150" localSheetId="8">#REF!</definedName>
    <definedName name="vbtm150">#REF!</definedName>
    <definedName name="vbtm300" localSheetId="8">#REF!</definedName>
    <definedName name="vbtm300">#REF!</definedName>
    <definedName name="vbtm400" localSheetId="8">#REF!</definedName>
    <definedName name="vbtm400">#REF!</definedName>
    <definedName name="vc" localSheetId="8">#REF!</definedName>
    <definedName name="vc">#REF!</definedName>
    <definedName name="vc3." localSheetId="8">#REF!</definedName>
    <definedName name="vc3.">#REF!</definedName>
    <definedName name="vca" localSheetId="8">#REF!</definedName>
    <definedName name="vca">#REF!</definedName>
    <definedName name="VCC" localSheetId="8">#REF!</definedName>
    <definedName name="VCC">#REF!</definedName>
    <definedName name="vccat">#REF!</definedName>
    <definedName name="vccat0.4" localSheetId="8">#REF!</definedName>
    <definedName name="vccat0.4">#REF!</definedName>
    <definedName name="vccot" localSheetId="8">#REF!</definedName>
    <definedName name="vccot">#REF!</definedName>
    <definedName name="vccot." localSheetId="8">#REF!</definedName>
    <definedName name="vccot.">#REF!</definedName>
    <definedName name="vccot0.4" localSheetId="8">#REF!</definedName>
    <definedName name="vccot0.4">#REF!</definedName>
    <definedName name="vccot35" localSheetId="8">#REF!</definedName>
    <definedName name="vccot35">#REF!</definedName>
    <definedName name="VCD" localSheetId="8">#REF!</definedName>
    <definedName name="VCD">#REF!</definedName>
    <definedName name="vcda">#REF!</definedName>
    <definedName name="vcda0.4" localSheetId="8">#REF!</definedName>
    <definedName name="vcda0.4">#REF!</definedName>
    <definedName name="vcday">#REF!</definedName>
    <definedName name="vcdbt">#REF!</definedName>
    <definedName name="vcdc" localSheetId="8">#REF!</definedName>
    <definedName name="vcdc">#REF!</definedName>
    <definedName name="vcdc." localSheetId="8">#REF!</definedName>
    <definedName name="vcdc.">#REF!</definedName>
    <definedName name="VCDC400" localSheetId="8">#REF!</definedName>
    <definedName name="VCDC400">#REF!</definedName>
    <definedName name="vcdd">#REF!</definedName>
    <definedName name="VCDD1P" localSheetId="8">#REF!</definedName>
    <definedName name="VCDD1P">#REF!</definedName>
    <definedName name="VCDD3p" localSheetId="8">#REF!</definedName>
    <definedName name="VCDD3p">#REF!</definedName>
    <definedName name="VCDDCT3p" localSheetId="8">#REF!</definedName>
    <definedName name="VCDDCT3p">#REF!</definedName>
    <definedName name="VCDDMBA" localSheetId="8">#REF!</definedName>
    <definedName name="VCDDMBA">#REF!</definedName>
    <definedName name="vcdt">#REF!</definedName>
    <definedName name="vcdtb">#REF!</definedName>
    <definedName name="vcdungcu">#REF!</definedName>
    <definedName name="vcdungcu0.4" localSheetId="8">#REF!</definedName>
    <definedName name="vcdungcu0.4">#REF!</definedName>
    <definedName name="vcdungcu35" localSheetId="8">#REF!</definedName>
    <definedName name="vcdungcu35">#REF!</definedName>
    <definedName name="vcgo">#REF!</definedName>
    <definedName name="vcgo0.4" localSheetId="8">#REF!</definedName>
    <definedName name="vcgo0.4">#REF!</definedName>
    <definedName name="VCHT" localSheetId="8">#REF!</definedName>
    <definedName name="VCHT">#REF!</definedName>
    <definedName name="Vci" localSheetId="8">#REF!</definedName>
    <definedName name="Vci">#REF!</definedName>
    <definedName name="vcn" localSheetId="8">#REF!</definedName>
    <definedName name="vcn">#REF!</definedName>
    <definedName name="vcnuoc">#REF!</definedName>
    <definedName name="vcnuoc0.4" localSheetId="8">#REF!</definedName>
    <definedName name="vcnuoc0.4">#REF!</definedName>
    <definedName name="vcoto" localSheetId="1" hidden="1">{"'Sheet1'!$L$16"}</definedName>
    <definedName name="vcoto" localSheetId="2" hidden="1">{"'Sheet1'!$L$16"}</definedName>
    <definedName name="vcoto" localSheetId="3" hidden="1">{"'Sheet1'!$L$16"}</definedName>
    <definedName name="vcoto" localSheetId="4" hidden="1">{"'Sheet1'!$L$16"}</definedName>
    <definedName name="vcoto" localSheetId="5" hidden="1">{"'Sheet1'!$L$16"}</definedName>
    <definedName name="vcoto" localSheetId="6" hidden="1">{"'Sheet1'!$L$16"}</definedName>
    <definedName name="vcoto" localSheetId="7" hidden="1">{"'Sheet1'!$L$16"}</definedName>
    <definedName name="vcoto" localSheetId="8" hidden="1">{"'Sheet1'!$L$16"}</definedName>
    <definedName name="vcoto" hidden="1">{"'Sheet1'!$L$16"}</definedName>
    <definedName name="vcphukien">#REF!</definedName>
    <definedName name="VCPK4" localSheetId="8">#REF!</definedName>
    <definedName name="VCPK4">#REF!</definedName>
    <definedName name="VCS" localSheetId="8">#REF!</definedName>
    <definedName name="VCS">#REF!</definedName>
    <definedName name="vcsat0.4" localSheetId="8">#REF!</definedName>
    <definedName name="vcsat0.4">#REF!</definedName>
    <definedName name="vcsat35" localSheetId="8">#REF!</definedName>
    <definedName name="vcsat35">#REF!</definedName>
    <definedName name="vcsu">#REF!</definedName>
    <definedName name="vct" localSheetId="8">#REF!</definedName>
    <definedName name="vct">#REF!</definedName>
    <definedName name="vctb" localSheetId="8">#REF!</definedName>
    <definedName name="vctb">#REF!</definedName>
    <definedName name="vctre" localSheetId="8">#REF!</definedName>
    <definedName name="vctre">#REF!</definedName>
    <definedName name="VCTT" localSheetId="8">#REF!</definedName>
    <definedName name="VCTT">#REF!</definedName>
    <definedName name="VCVBT1">#REF!</definedName>
    <definedName name="VCVBT2">#REF!</definedName>
    <definedName name="Vcw" localSheetId="8">#REF!</definedName>
    <definedName name="Vcw">#REF!</definedName>
    <definedName name="vcxa">#REF!</definedName>
    <definedName name="vcxi" localSheetId="8">#REF!</definedName>
    <definedName name="vcxi">#REF!</definedName>
    <definedName name="vcxm">#REF!</definedName>
    <definedName name="vcxm0.4" localSheetId="8">#REF!</definedName>
    <definedName name="vcxm0.4">#REF!</definedName>
    <definedName name="vd" localSheetId="8">#REF!</definedName>
    <definedName name="vd">#REF!</definedName>
    <definedName name="vd3p" localSheetId="8">#REF!</definedName>
    <definedName name="vd3p">#REF!</definedName>
    <definedName name="VDCLY" localSheetId="8">#REF!</definedName>
    <definedName name="VDCLY">#REF!</definedName>
    <definedName name="vdkt">#REF!</definedName>
    <definedName name="VDZ" localSheetId="8">#REF!</definedName>
    <definedName name="VDZ">#REF!</definedName>
    <definedName name="Vf" localSheetId="8">#REF!</definedName>
    <definedName name="Vf">#REF!</definedName>
    <definedName name="vgio">#REF!</definedName>
    <definedName name="vi">#REF!</definedName>
    <definedName name="VIEW" localSheetId="8">#REF!</definedName>
    <definedName name="VIEW">#REF!</definedName>
    <definedName name="vk" localSheetId="8">#REF!</definedName>
    <definedName name="vk">#REF!</definedName>
    <definedName name="vkbt" localSheetId="8">#REF!</definedName>
    <definedName name="vkbt">#REF!</definedName>
    <definedName name="vkcauthang" localSheetId="8">#REF!</definedName>
    <definedName name="vkcauthang">#REF!</definedName>
    <definedName name="vkds" localSheetId="8">#REF!</definedName>
    <definedName name="vkds">#REF!</definedName>
    <definedName name="vksan" localSheetId="8">#REF!</definedName>
    <definedName name="vksan">#REF!</definedName>
    <definedName name="vktc" localSheetId="8">#REF!</definedName>
    <definedName name="vktc">#REF!</definedName>
    <definedName name="vktca" localSheetId="8">#REF!</definedName>
    <definedName name="vktca">#REF!</definedName>
    <definedName name="vktcb" localSheetId="8">#REF!</definedName>
    <definedName name="vktcb">#REF!</definedName>
    <definedName name="VL" localSheetId="8">#REF!*#REF!</definedName>
    <definedName name="VL">#REF!*#REF!</definedName>
    <definedName name="VL.DMC" localSheetId="8">#REF!</definedName>
    <definedName name="VL.DMC">#REF!</definedName>
    <definedName name="VL.GTTMC" localSheetId="8">#REF!</definedName>
    <definedName name="VL.GTTMC">#REF!</definedName>
    <definedName name="VL.M14.1" localSheetId="8">#REF!</definedName>
    <definedName name="VL.M14.1">#REF!</definedName>
    <definedName name="VL.M14.2" localSheetId="8">#REF!</definedName>
    <definedName name="VL.M14.2">#REF!</definedName>
    <definedName name="VL.MTCat" localSheetId="8">#REF!</definedName>
    <definedName name="VL.MTCat">#REF!</definedName>
    <definedName name="VL.T1C.CDFD" localSheetId="8">#REF!</definedName>
    <definedName name="VL.T1C.CDFD">#REF!</definedName>
    <definedName name="VL.T1C.M14" localSheetId="8">#REF!</definedName>
    <definedName name="VL.T1C.M14">#REF!</definedName>
    <definedName name="VL.TTC" localSheetId="8">#REF!</definedName>
    <definedName name="VL.TTC">#REF!</definedName>
    <definedName name="VL.X.CSV" localSheetId="8">#REF!</definedName>
    <definedName name="VL.X.CSV">#REF!</definedName>
    <definedName name="VL.XL" localSheetId="8">#REF!</definedName>
    <definedName name="VL.XL">#REF!</definedName>
    <definedName name="VL_cau">#REF!</definedName>
    <definedName name="VL_RC1">#REF!</definedName>
    <definedName name="VL_RC2">#REF!</definedName>
    <definedName name="VL_RS">#REF!</definedName>
    <definedName name="vl1p" localSheetId="8">#REF!</definedName>
    <definedName name="vl1p">#REF!</definedName>
    <definedName name="vl3p" localSheetId="8">#REF!</definedName>
    <definedName name="vl3p">#REF!</definedName>
    <definedName name="vlc" localSheetId="8">#REF!</definedName>
    <definedName name="vlc">#REF!</definedName>
    <definedName name="Vlcap0.7" localSheetId="8">#REF!</definedName>
    <definedName name="Vlcap0.7">#REF!</definedName>
    <definedName name="VLcap1" localSheetId="8">#REF!</definedName>
    <definedName name="VLcap1">#REF!</definedName>
    <definedName name="vlcau">#REF!</definedName>
    <definedName name="vlct" localSheetId="1" hidden="1">{"'Sheet1'!$L$16"}</definedName>
    <definedName name="vlct" localSheetId="2" hidden="1">{"'Sheet1'!$L$16"}</definedName>
    <definedName name="vlct" localSheetId="4" hidden="1">{"'Sheet1'!$L$16"}</definedName>
    <definedName name="vlct" localSheetId="5" hidden="1">{"'Sheet1'!$L$16"}</definedName>
    <definedName name="vlct" localSheetId="6" hidden="1">{"'Sheet1'!$L$16"}</definedName>
    <definedName name="vlct" localSheetId="7" hidden="1">{"'Sheet1'!$L$16"}</definedName>
    <definedName name="vlct" localSheetId="8" hidden="1">{"'Sheet1'!$L$16"}</definedName>
    <definedName name="vlct" hidden="1">{"'Sheet1'!$L$16"}</definedName>
    <definedName name="VLCT3p" localSheetId="8">#REF!</definedName>
    <definedName name="VLCT3p">#REF!</definedName>
    <definedName name="vlctbb" localSheetId="8">#REF!</definedName>
    <definedName name="vlctbb">#REF!</definedName>
    <definedName name="vld">#REF!</definedName>
    <definedName name="vldd" localSheetId="8">#REF!</definedName>
    <definedName name="vldd">#REF!</definedName>
    <definedName name="vldn400" localSheetId="8">#REF!</definedName>
    <definedName name="vldn400">#REF!</definedName>
    <definedName name="vldn600" localSheetId="8">#REF!</definedName>
    <definedName name="vldn600">#REF!</definedName>
    <definedName name="VLHC">#REF!</definedName>
    <definedName name="VLKhac">#REF!</definedName>
    <definedName name="vlo">#REF!</definedName>
    <definedName name="vlp">#REF!</definedName>
    <definedName name="vltr" localSheetId="8">#REF!</definedName>
    <definedName name="vltr">#REF!</definedName>
    <definedName name="vltram" localSheetId="8">#REF!</definedName>
    <definedName name="vltram">#REF!</definedName>
    <definedName name="vltt">#REF!</definedName>
    <definedName name="vm" localSheetId="8">#REF!</definedName>
    <definedName name="vm">#REF!</definedName>
    <definedName name="vm1." localSheetId="8">#REF!</definedName>
    <definedName name="vm1.">#REF!</definedName>
    <definedName name="vm2." localSheetId="8">#REF!</definedName>
    <definedName name="vm2.">#REF!</definedName>
    <definedName name="vn1." localSheetId="8">#REF!</definedName>
    <definedName name="vn1.">#REF!</definedName>
    <definedName name="vn2." localSheetId="8">#REF!</definedName>
    <definedName name="vn2.">#REF!</definedName>
    <definedName name="VND_USD">#REF!</definedName>
    <definedName name="VNDFX">#REF!</definedName>
    <definedName name="VNM">#REF!</definedName>
    <definedName name="voi" localSheetId="8">#REF!</definedName>
    <definedName name="voi">#REF!</definedName>
    <definedName name="Vp" localSheetId="8">#REF!</definedName>
    <definedName name="Vp">#REF!</definedName>
    <definedName name="Vr">#REF!</definedName>
    <definedName name="vr3p" localSheetId="8">#REF!</definedName>
    <definedName name="vr3p">#REF!</definedName>
    <definedName name="Vs" localSheetId="8">#REF!</definedName>
    <definedName name="Vs">#REF!</definedName>
    <definedName name="vt">#REF!</definedName>
    <definedName name="vt1pbs" localSheetId="8">#REF!</definedName>
    <definedName name="vt1pbs">#REF!</definedName>
    <definedName name="vtbs" localSheetId="8">#REF!</definedName>
    <definedName name="vtbs">#REF!</definedName>
    <definedName name="vtu" localSheetId="8">#REF!</definedName>
    <definedName name="vtu">#REF!</definedName>
    <definedName name="VÙ" localSheetId="8">#REF!</definedName>
    <definedName name="VÙ">#REF!</definedName>
    <definedName name="vua_75" localSheetId="8">#REF!</definedName>
    <definedName name="vua_75">#REF!</definedName>
    <definedName name="vung" localSheetId="8">#REF!</definedName>
    <definedName name="vung">#REF!</definedName>
    <definedName name="VUNGTB" localSheetId="1" hidden="1">{"'Sheet1'!$L$16"}</definedName>
    <definedName name="VUNGTB" localSheetId="2" hidden="1">{"'Sheet1'!$L$16"}</definedName>
    <definedName name="VUNGTB" localSheetId="4" hidden="1">{"'Sheet1'!$L$16"}</definedName>
    <definedName name="VUNGTB" localSheetId="5" hidden="1">{"'Sheet1'!$L$16"}</definedName>
    <definedName name="VUNGTB" localSheetId="6" hidden="1">{"'Sheet1'!$L$16"}</definedName>
    <definedName name="VUNGTB" localSheetId="7" hidden="1">{"'Sheet1'!$L$16"}</definedName>
    <definedName name="VUNGTB" localSheetId="8" hidden="1">{"'Sheet1'!$L$16"}</definedName>
    <definedName name="VUNGTB" hidden="1">{"'Sheet1'!$L$16"}</definedName>
    <definedName name="vvv" localSheetId="1" hidden="1">{"'Sheet1'!$L$16"}</definedName>
    <definedName name="vvv" localSheetId="2" hidden="1">{"'Sheet1'!$L$16"}</definedName>
    <definedName name="vvv" localSheetId="4" hidden="1">{"'Sheet1'!$L$16"}</definedName>
    <definedName name="vvv" localSheetId="5" hidden="1">{"'Sheet1'!$L$16"}</definedName>
    <definedName name="vvv" localSheetId="6" hidden="1">{"'Sheet1'!$L$16"}</definedName>
    <definedName name="vvv" localSheetId="7" hidden="1">{"'Sheet1'!$L$16"}</definedName>
    <definedName name="vvv" localSheetId="8" hidden="1">{"'Sheet1'!$L$16"}</definedName>
    <definedName name="vvv" hidden="1">{"'Sheet1'!$L$16"}</definedName>
    <definedName name="vvvvvvv" localSheetId="1" hidden="1">{#N/A,#N/A,FALSE,"Chi tiÆt"}</definedName>
    <definedName name="vvvvvvv" localSheetId="2" hidden="1">{#N/A,#N/A,FALSE,"Chi tiÆt"}</definedName>
    <definedName name="vvvvvvv" localSheetId="4" hidden="1">{#N/A,#N/A,FALSE,"Chi tiÆt"}</definedName>
    <definedName name="vvvvvvv" localSheetId="5" hidden="1">{#N/A,#N/A,FALSE,"Chi tiÆt"}</definedName>
    <definedName name="vvvvvvv" localSheetId="6" hidden="1">{#N/A,#N/A,FALSE,"Chi tiÆt"}</definedName>
    <definedName name="vvvvvvv" localSheetId="7" hidden="1">{#N/A,#N/A,FALSE,"Chi tiÆt"}</definedName>
    <definedName name="vvvvvvv" localSheetId="8" hidden="1">{#N/A,#N/A,FALSE,"Chi tiÆt"}</definedName>
    <definedName name="vvvvvvv" hidden="1">{#N/A,#N/A,FALSE,"Chi tiÆt"}</definedName>
    <definedName name="VX" localSheetId="8">#REF!</definedName>
    <definedName name="VX">#REF!</definedName>
    <definedName name="vxuan" localSheetId="8">#REF!</definedName>
    <definedName name="vxuan">#REF!</definedName>
    <definedName name="W" localSheetId="8">#REF!</definedName>
    <definedName name="W">#REF!</definedName>
    <definedName name="walkway" localSheetId="1" hidden="1">{"'Sheet1'!$L$16"}</definedName>
    <definedName name="walkway" localSheetId="2" hidden="1">{"'Sheet1'!$L$16"}</definedName>
    <definedName name="walkway" localSheetId="4" hidden="1">{"'Sheet1'!$L$16"}</definedName>
    <definedName name="walkway" localSheetId="5" hidden="1">{"'Sheet1'!$L$16"}</definedName>
    <definedName name="walkway" localSheetId="6" hidden="1">{"'Sheet1'!$L$16"}</definedName>
    <definedName name="walkway" localSheetId="7" hidden="1">{"'Sheet1'!$L$16"}</definedName>
    <definedName name="walkway" localSheetId="8" hidden="1">{"'Sheet1'!$L$16"}</definedName>
    <definedName name="walkway" hidden="1">{"'Sheet1'!$L$16"}</definedName>
    <definedName name="wat">#REF!</definedName>
    <definedName name="watin">#REF!</definedName>
    <definedName name="Wb">#REF!</definedName>
    <definedName name="wbe">#REF!</definedName>
    <definedName name="Wc" localSheetId="8">#REF!</definedName>
    <definedName name="Wc">#REF!</definedName>
    <definedName name="WC3_A">#REF!</definedName>
    <definedName name="WC3_B">#REF!</definedName>
    <definedName name="WC3_C">#REF!</definedName>
    <definedName name="WC3_D">#REF!</definedName>
    <definedName name="WC3_E">#REF!</definedName>
    <definedName name="WC4_1">#REF!</definedName>
    <definedName name="WC4_2">#REF!</definedName>
    <definedName name="WC4_3">#REF!</definedName>
    <definedName name="WC4_4">#REF!</definedName>
    <definedName name="WC4_5">#REF!</definedName>
    <definedName name="WC4_6">#REF!</definedName>
    <definedName name="WC4_7">#REF!</definedName>
    <definedName name="wcip">#REF!</definedName>
    <definedName name="wcipin">#REF!</definedName>
    <definedName name="wct" localSheetId="8">#REF!</definedName>
    <definedName name="wct">#REF!</definedName>
    <definedName name="wcurb">#REF!</definedName>
    <definedName name="WEEKNUM">#REF!</definedName>
    <definedName name="werar" localSheetId="1" hidden="1">{"'Sheet1'!$L$16"}</definedName>
    <definedName name="werar" localSheetId="2" hidden="1">{"'Sheet1'!$L$16"}</definedName>
    <definedName name="werar" localSheetId="4" hidden="1">{"'Sheet1'!$L$16"}</definedName>
    <definedName name="werar" localSheetId="5" hidden="1">{"'Sheet1'!$L$16"}</definedName>
    <definedName name="werar" localSheetId="6" hidden="1">{"'Sheet1'!$L$16"}</definedName>
    <definedName name="werar" localSheetId="7" hidden="1">{"'Sheet1'!$L$16"}</definedName>
    <definedName name="werar" localSheetId="8" hidden="1">{"'Sheet1'!$L$16"}</definedName>
    <definedName name="werar" hidden="1">{"'Sheet1'!$L$16"}</definedName>
    <definedName name="WLL" localSheetId="8">#REF!</definedName>
    <definedName name="WLL">#REF!</definedName>
    <definedName name="WLX" localSheetId="8">#REF!</definedName>
    <definedName name="WLX">#REF!</definedName>
    <definedName name="WLY" localSheetId="8">#REF!</definedName>
    <definedName name="WLY">#REF!</definedName>
    <definedName name="WOT" localSheetId="8">#REF!</definedName>
    <definedName name="WOT">#REF!</definedName>
    <definedName name="wpav">#REF!</definedName>
    <definedName name="Wpavin">#REF!</definedName>
    <definedName name="WPX" localSheetId="8">#REF!</definedName>
    <definedName name="WPX">#REF!</definedName>
    <definedName name="WPY" localSheetId="8">#REF!</definedName>
    <definedName name="WPY">#REF!</definedName>
    <definedName name="wrail">#REF!</definedName>
    <definedName name="WRITE" localSheetId="1" hidden="1">{#N/A,#N/A,FALSE,"CCTV"}</definedName>
    <definedName name="WRITE" localSheetId="2" hidden="1">{#N/A,#N/A,FALSE,"CCTV"}</definedName>
    <definedName name="WRITE" localSheetId="4" hidden="1">{#N/A,#N/A,FALSE,"CCTV"}</definedName>
    <definedName name="WRITE" localSheetId="5" hidden="1">{#N/A,#N/A,FALSE,"CCTV"}</definedName>
    <definedName name="WRITE" localSheetId="6" hidden="1">{#N/A,#N/A,FALSE,"CCTV"}</definedName>
    <definedName name="WRITE" localSheetId="7" hidden="1">{#N/A,#N/A,FALSE,"CCTV"}</definedName>
    <definedName name="WRITE" localSheetId="8" hidden="1">{#N/A,#N/A,FALSE,"CCTV"}</definedName>
    <definedName name="WRITE" hidden="1">{#N/A,#N/A,FALSE,"CCTV"}</definedName>
    <definedName name="WRN" localSheetId="1" hidden="1">{#N/A,#N/A,FALSE,"CCTV"}</definedName>
    <definedName name="WRN" localSheetId="2" hidden="1">{#N/A,#N/A,FALSE,"CCTV"}</definedName>
    <definedName name="WRN" localSheetId="4" hidden="1">{#N/A,#N/A,FALSE,"CCTV"}</definedName>
    <definedName name="WRN" localSheetId="5" hidden="1">{#N/A,#N/A,FALSE,"CCTV"}</definedName>
    <definedName name="WRN" localSheetId="6" hidden="1">{#N/A,#N/A,FALSE,"CCTV"}</definedName>
    <definedName name="WRN" localSheetId="7" hidden="1">{#N/A,#N/A,FALSE,"CCTV"}</definedName>
    <definedName name="WRN" localSheetId="8" hidden="1">{#N/A,#N/A,FALSE,"CCTV"}</definedName>
    <definedName name="WRN" hidden="1">{#N/A,#N/A,FALSE,"CCTV"}</definedName>
    <definedName name="wrn.aaa." localSheetId="1" hidden="1">{#N/A,#N/A,FALSE,"Sheet1";#N/A,#N/A,FALSE,"Sheet1";#N/A,#N/A,FALSE,"Sheet1"}</definedName>
    <definedName name="wrn.aaa." localSheetId="2" hidden="1">{#N/A,#N/A,FALSE,"Sheet1";#N/A,#N/A,FALSE,"Sheet1";#N/A,#N/A,FALSE,"Sheet1"}</definedName>
    <definedName name="wrn.aaa." localSheetId="3" hidden="1">{#N/A,#N/A,FALSE,"Sheet1";#N/A,#N/A,FALSE,"Sheet1";#N/A,#N/A,FALSE,"Sheet1"}</definedName>
    <definedName name="wrn.aaa." localSheetId="4" hidden="1">{#N/A,#N/A,FALSE,"Sheet1";#N/A,#N/A,FALSE,"Sheet1";#N/A,#N/A,FALSE,"Sheet1"}</definedName>
    <definedName name="wrn.aaa." localSheetId="5" hidden="1">{#N/A,#N/A,FALSE,"Sheet1";#N/A,#N/A,FALSE,"Sheet1";#N/A,#N/A,FALSE,"Sheet1"}</definedName>
    <definedName name="wrn.aaa." localSheetId="6" hidden="1">{#N/A,#N/A,FALSE,"Sheet1";#N/A,#N/A,FALSE,"Sheet1";#N/A,#N/A,FALSE,"Sheet1"}</definedName>
    <definedName name="wrn.aaa." localSheetId="7" hidden="1">{#N/A,#N/A,FALSE,"Sheet1";#N/A,#N/A,FALSE,"Sheet1";#N/A,#N/A,FALSE,"Sheet1"}</definedName>
    <definedName name="wrn.aaa." localSheetId="8" hidden="1">{#N/A,#N/A,FALSE,"Sheet1";#N/A,#N/A,FALSE,"Sheet1";#N/A,#N/A,FALSE,"Sheet1"}</definedName>
    <definedName name="wrn.aaa." hidden="1">{#N/A,#N/A,FALSE,"Sheet1";#N/A,#N/A,FALSE,"Sheet1";#N/A,#N/A,FALSE,"Sheet1"}</definedName>
    <definedName name="wrn.BM." localSheetId="1" hidden="1">{#N/A,#N/A,FALSE,"CCTV"}</definedName>
    <definedName name="wrn.BM." localSheetId="2" hidden="1">{#N/A,#N/A,FALSE,"CCTV"}</definedName>
    <definedName name="wrn.BM." localSheetId="4" hidden="1">{#N/A,#N/A,FALSE,"CCTV"}</definedName>
    <definedName name="wrn.BM." localSheetId="5" hidden="1">{#N/A,#N/A,FALSE,"CCTV"}</definedName>
    <definedName name="wrn.BM." localSheetId="6" hidden="1">{#N/A,#N/A,FALSE,"CCTV"}</definedName>
    <definedName name="wrn.BM." localSheetId="7" hidden="1">{#N/A,#N/A,FALSE,"CCTV"}</definedName>
    <definedName name="wrn.BM." localSheetId="8" hidden="1">{#N/A,#N/A,FALSE,"CCTV"}</definedName>
    <definedName name="wrn.BM." hidden="1">{#N/A,#N/A,FALSE,"CCTV"}</definedName>
    <definedName name="wrn.chi._.tiÆt." localSheetId="1" hidden="1">{#N/A,#N/A,FALSE,"Chi tiÆt"}</definedName>
    <definedName name="wrn.chi._.tiÆt." localSheetId="2" hidden="1">{#N/A,#N/A,FALSE,"Chi tiÆt"}</definedName>
    <definedName name="wrn.chi._.tiÆt." localSheetId="3" hidden="1">{#N/A,#N/A,FALSE,"Chi tiÆt"}</definedName>
    <definedName name="wrn.chi._.tiÆt." localSheetId="4" hidden="1">{#N/A,#N/A,FALSE,"Chi tiÆt"}</definedName>
    <definedName name="wrn.chi._.tiÆt." localSheetId="5" hidden="1">{#N/A,#N/A,FALSE,"Chi tiÆt"}</definedName>
    <definedName name="wrn.chi._.tiÆt." localSheetId="6" hidden="1">{#N/A,#N/A,FALSE,"Chi tiÆt"}</definedName>
    <definedName name="wrn.chi._.tiÆt." localSheetId="7" hidden="1">{#N/A,#N/A,FALSE,"Chi tiÆt"}</definedName>
    <definedName name="wrn.chi._.tiÆt." localSheetId="8" hidden="1">{#N/A,#N/A,FALSE,"Chi tiÆt"}</definedName>
    <definedName name="wrn.chi._.tiÆt." hidden="1">{#N/A,#N/A,FALSE,"Chi tiÆt"}</definedName>
    <definedName name="wrn.cong." localSheetId="1" hidden="1">{#N/A,#N/A,FALSE,"Sheet1"}</definedName>
    <definedName name="wrn.cong." localSheetId="2" hidden="1">{#N/A,#N/A,FALSE,"Sheet1"}</definedName>
    <definedName name="wrn.cong." localSheetId="3" hidden="1">{#N/A,#N/A,FALSE,"Sheet1"}</definedName>
    <definedName name="wrn.cong." localSheetId="4" hidden="1">{#N/A,#N/A,FALSE,"Sheet1"}</definedName>
    <definedName name="wrn.cong." localSheetId="5" hidden="1">{#N/A,#N/A,FALSE,"Sheet1"}</definedName>
    <definedName name="wrn.cong." localSheetId="6" hidden="1">{#N/A,#N/A,FALSE,"Sheet1"}</definedName>
    <definedName name="wrn.cong." localSheetId="7" hidden="1">{#N/A,#N/A,FALSE,"Sheet1"}</definedName>
    <definedName name="wrn.cong." localSheetId="8" hidden="1">{#N/A,#N/A,FALSE,"Sheet1"}</definedName>
    <definedName name="wrn.cong." hidden="1">{#N/A,#N/A,FALSE,"Sheet1"}</definedName>
    <definedName name="wrn.Monthly._.Statement." localSheetId="1" hidden="1">{#N/A,#N/A,FALSE,"Tabelle2";#N/A,#N/A,FALSE,"Tabelle1"}</definedName>
    <definedName name="wrn.Monthly._.Statement." localSheetId="2" hidden="1">{#N/A,#N/A,FALSE,"Tabelle2";#N/A,#N/A,FALSE,"Tabelle1"}</definedName>
    <definedName name="wrn.Monthly._.Statement." localSheetId="3" hidden="1">{#N/A,#N/A,FALSE,"Tabelle2";#N/A,#N/A,FALSE,"Tabelle1"}</definedName>
    <definedName name="wrn.Monthly._.Statement." localSheetId="4" hidden="1">{#N/A,#N/A,FALSE,"Tabelle2";#N/A,#N/A,FALSE,"Tabelle1"}</definedName>
    <definedName name="wrn.Monthly._.Statement." localSheetId="5" hidden="1">{#N/A,#N/A,FALSE,"Tabelle2";#N/A,#N/A,FALSE,"Tabelle1"}</definedName>
    <definedName name="wrn.Monthly._.Statement." localSheetId="6" hidden="1">{#N/A,#N/A,FALSE,"Tabelle2";#N/A,#N/A,FALSE,"Tabelle1"}</definedName>
    <definedName name="wrn.Monthly._.Statement." localSheetId="7" hidden="1">{#N/A,#N/A,FALSE,"Tabelle2";#N/A,#N/A,FALSE,"Tabelle1"}</definedName>
    <definedName name="wrn.Monthly._.Statement." localSheetId="8" hidden="1">{#N/A,#N/A,FALSE,"Tabelle2";#N/A,#N/A,FALSE,"Tabelle1"}</definedName>
    <definedName name="wrn.Monthly._.Statement." hidden="1">{#N/A,#N/A,FALSE,"Tabelle2";#N/A,#N/A,FALSE,"Tabelle1"}</definedName>
    <definedName name="wrn.Report." localSheetId="1" hidden="1">{"Offgrid",#N/A,FALSE,"OFFGRID";"Region",#N/A,FALSE,"REGION";"Offgrid -2",#N/A,FALSE,"OFFGRID";"WTP",#N/A,FALSE,"WTP";"WTP -2",#N/A,FALSE,"WTP";"Project",#N/A,FALSE,"PROJECT";"Summary -2",#N/A,FALSE,"SUMMARY"}</definedName>
    <definedName name="wrn.Report." localSheetId="2" hidden="1">{"Offgrid",#N/A,FALSE,"OFFGRID";"Region",#N/A,FALSE,"REGION";"Offgrid -2",#N/A,FALSE,"OFFGRID";"WTP",#N/A,FALSE,"WTP";"WTP -2",#N/A,FALSE,"WTP";"Project",#N/A,FALSE,"PROJECT";"Summary -2",#N/A,FALSE,"SUMMARY"}</definedName>
    <definedName name="wrn.Report." localSheetId="3" hidden="1">{"Offgrid",#N/A,FALSE,"OFFGRID";"Region",#N/A,FALSE,"REGION";"Offgrid -2",#N/A,FALSE,"OFFGRID";"WTP",#N/A,FALSE,"WTP";"WTP -2",#N/A,FALSE,"WTP";"Project",#N/A,FALSE,"PROJECT";"Summary -2",#N/A,FALSE,"SUMMARY"}</definedName>
    <definedName name="wrn.Report." localSheetId="4" hidden="1">{"Offgrid",#N/A,FALSE,"OFFGRID";"Region",#N/A,FALSE,"REGION";"Offgrid -2",#N/A,FALSE,"OFFGRID";"WTP",#N/A,FALSE,"WTP";"WTP -2",#N/A,FALSE,"WTP";"Project",#N/A,FALSE,"PROJECT";"Summary -2",#N/A,FALSE,"SUMMARY"}</definedName>
    <definedName name="wrn.Report." localSheetId="5" hidden="1">{"Offgrid",#N/A,FALSE,"OFFGRID";"Region",#N/A,FALSE,"REGION";"Offgrid -2",#N/A,FALSE,"OFFGRID";"WTP",#N/A,FALSE,"WTP";"WTP -2",#N/A,FALSE,"WTP";"Project",#N/A,FALSE,"PROJECT";"Summary -2",#N/A,FALSE,"SUMMARY"}</definedName>
    <definedName name="wrn.Report." localSheetId="6" hidden="1">{"Offgrid",#N/A,FALSE,"OFFGRID";"Region",#N/A,FALSE,"REGION";"Offgrid -2",#N/A,FALSE,"OFFGRID";"WTP",#N/A,FALSE,"WTP";"WTP -2",#N/A,FALSE,"WTP";"Project",#N/A,FALSE,"PROJECT";"Summary -2",#N/A,FALSE,"SUMMARY"}</definedName>
    <definedName name="wrn.Report." localSheetId="7" hidden="1">{"Offgrid",#N/A,FALSE,"OFFGRID";"Region",#N/A,FALSE,"REGION";"Offgrid -2",#N/A,FALSE,"OFFGRID";"WTP",#N/A,FALSE,"WTP";"WTP -2",#N/A,FALSE,"WTP";"Project",#N/A,FALSE,"PROJECT";"Summary -2",#N/A,FALSE,"SUMMARY"}</definedName>
    <definedName name="wrn.Report." localSheetId="8" hidden="1">{"Offgrid",#N/A,FALSE,"OFFGRID";"Region",#N/A,FALSE,"REGION";"Offgrid -2",#N/A,FALSE,"OFFGRID";"WTP",#N/A,FALSE,"WTP";"WTP -2",#N/A,FALSE,"WTP";"Project",#N/A,FALSE,"PROJECT";"Summary -2",#N/A,FALSE,"SUMMARY"}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vd." localSheetId="1" hidden="1">{#N/A,#N/A,TRUE,"BT M200 da 10x20"}</definedName>
    <definedName name="wrn.vd." localSheetId="2" hidden="1">{#N/A,#N/A,TRUE,"BT M200 da 10x20"}</definedName>
    <definedName name="wrn.vd." localSheetId="3" hidden="1">{#N/A,#N/A,TRUE,"BT M200 da 10x20"}</definedName>
    <definedName name="wrn.vd." localSheetId="4" hidden="1">{#N/A,#N/A,TRUE,"BT M200 da 10x20"}</definedName>
    <definedName name="wrn.vd." localSheetId="5" hidden="1">{#N/A,#N/A,TRUE,"BT M200 da 10x20"}</definedName>
    <definedName name="wrn.vd." localSheetId="6" hidden="1">{#N/A,#N/A,TRUE,"BT M200 da 10x20"}</definedName>
    <definedName name="wrn.vd." localSheetId="7" hidden="1">{#N/A,#N/A,TRUE,"BT M200 da 10x20"}</definedName>
    <definedName name="wrn.vd." localSheetId="8" hidden="1">{#N/A,#N/A,TRUE,"BT M200 da 10x20"}</definedName>
    <definedName name="wrn.vd." hidden="1">{#N/A,#N/A,TRUE,"BT M200 da 10x20"}</definedName>
    <definedName name="wrnf.report" localSheetId="1" hidden="1">{"Offgrid",#N/A,FALSE,"OFFGRID";"Region",#N/A,FALSE,"REGION";"Offgrid -2",#N/A,FALSE,"OFFGRID";"WTP",#N/A,FALSE,"WTP";"WTP -2",#N/A,FALSE,"WTP";"Project",#N/A,FALSE,"PROJECT";"Summary -2",#N/A,FALSE,"SUMMARY"}</definedName>
    <definedName name="wrnf.report" localSheetId="2" hidden="1">{"Offgrid",#N/A,FALSE,"OFFGRID";"Region",#N/A,FALSE,"REGION";"Offgrid -2",#N/A,FALSE,"OFFGRID";"WTP",#N/A,FALSE,"WTP";"WTP -2",#N/A,FALSE,"WTP";"Project",#N/A,FALSE,"PROJECT";"Summary -2",#N/A,FALSE,"SUMMARY"}</definedName>
    <definedName name="wrnf.report" localSheetId="3" hidden="1">{"Offgrid",#N/A,FALSE,"OFFGRID";"Region",#N/A,FALSE,"REGION";"Offgrid -2",#N/A,FALSE,"OFFGRID";"WTP",#N/A,FALSE,"WTP";"WTP -2",#N/A,FALSE,"WTP";"Project",#N/A,FALSE,"PROJECT";"Summary -2",#N/A,FALSE,"SUMMARY"}</definedName>
    <definedName name="wrnf.report" localSheetId="4" hidden="1">{"Offgrid",#N/A,FALSE,"OFFGRID";"Region",#N/A,FALSE,"REGION";"Offgrid -2",#N/A,FALSE,"OFFGRID";"WTP",#N/A,FALSE,"WTP";"WTP -2",#N/A,FALSE,"WTP";"Project",#N/A,FALSE,"PROJECT";"Summary -2",#N/A,FALSE,"SUMMARY"}</definedName>
    <definedName name="wrnf.report" localSheetId="5" hidden="1">{"Offgrid",#N/A,FALSE,"OFFGRID";"Region",#N/A,FALSE,"REGION";"Offgrid -2",#N/A,FALSE,"OFFGRID";"WTP",#N/A,FALSE,"WTP";"WTP -2",#N/A,FALSE,"WTP";"Project",#N/A,FALSE,"PROJECT";"Summary -2",#N/A,FALSE,"SUMMARY"}</definedName>
    <definedName name="wrnf.report" localSheetId="6" hidden="1">{"Offgrid",#N/A,FALSE,"OFFGRID";"Region",#N/A,FALSE,"REGION";"Offgrid -2",#N/A,FALSE,"OFFGRID";"WTP",#N/A,FALSE,"WTP";"WTP -2",#N/A,FALSE,"WTP";"Project",#N/A,FALSE,"PROJECT";"Summary -2",#N/A,FALSE,"SUMMARY"}</definedName>
    <definedName name="wrnf.report" localSheetId="7" hidden="1">{"Offgrid",#N/A,FALSE,"OFFGRID";"Region",#N/A,FALSE,"REGION";"Offgrid -2",#N/A,FALSE,"OFFGRID";"WTP",#N/A,FALSE,"WTP";"WTP -2",#N/A,FALSE,"WTP";"Project",#N/A,FALSE,"PROJECT";"Summary -2",#N/A,FALSE,"SUMMARY"}</definedName>
    <definedName name="wrnf.report" localSheetId="8" hidden="1">{"Offgrid",#N/A,FALSE,"OFFGRID";"Region",#N/A,FALSE,"REGION";"Offgrid -2",#N/A,FALSE,"OFFGRID";"WTP",#N/A,FALSE,"WTP";"WTP -2",#N/A,FALSE,"WTP";"Project",#N/A,FALSE,"PROJECT";"Summary -2",#N/A,FALSE,"SUMMARY"}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sel" localSheetId="8">#REF!</definedName>
    <definedName name="wsel">#REF!</definedName>
    <definedName name="Wt" localSheetId="8">#REF!</definedName>
    <definedName name="Wt">#REF!</definedName>
    <definedName name="wtn" localSheetId="8">#REF!</definedName>
    <definedName name="wtn">#REF!</definedName>
    <definedName name="wtru" localSheetId="8">#REF!</definedName>
    <definedName name="wtru">#REF!</definedName>
    <definedName name="wup" localSheetId="8">#REF!</definedName>
    <definedName name="wup">#REF!</definedName>
    <definedName name="wwwwwww" localSheetId="1" hidden="1">{"Offgrid",#N/A,FALSE,"OFFGRID";"Region",#N/A,FALSE,"REGION";"Offgrid -2",#N/A,FALSE,"OFFGRID";"WTP",#N/A,FALSE,"WTP";"WTP -2",#N/A,FALSE,"WTP";"Project",#N/A,FALSE,"PROJECT";"Summary -2",#N/A,FALSE,"SUMMARY"}</definedName>
    <definedName name="wwwwwww" localSheetId="2" hidden="1">{"Offgrid",#N/A,FALSE,"OFFGRID";"Region",#N/A,FALSE,"REGION";"Offgrid -2",#N/A,FALSE,"OFFGRID";"WTP",#N/A,FALSE,"WTP";"WTP -2",#N/A,FALSE,"WTP";"Project",#N/A,FALSE,"PROJECT";"Summary -2",#N/A,FALSE,"SUMMARY"}</definedName>
    <definedName name="wwwwwww" localSheetId="4" hidden="1">{"Offgrid",#N/A,FALSE,"OFFGRID";"Region",#N/A,FALSE,"REGION";"Offgrid -2",#N/A,FALSE,"OFFGRID";"WTP",#N/A,FALSE,"WTP";"WTP -2",#N/A,FALSE,"WTP";"Project",#N/A,FALSE,"PROJECT";"Summary -2",#N/A,FALSE,"SUMMARY"}</definedName>
    <definedName name="wwwwwww" localSheetId="5" hidden="1">{"Offgrid",#N/A,FALSE,"OFFGRID";"Region",#N/A,FALSE,"REGION";"Offgrid -2",#N/A,FALSE,"OFFGRID";"WTP",#N/A,FALSE,"WTP";"WTP -2",#N/A,FALSE,"WTP";"Project",#N/A,FALSE,"PROJECT";"Summary -2",#N/A,FALSE,"SUMMARY"}</definedName>
    <definedName name="wwwwwww" localSheetId="6" hidden="1">{"Offgrid",#N/A,FALSE,"OFFGRID";"Region",#N/A,FALSE,"REGION";"Offgrid -2",#N/A,FALSE,"OFFGRID";"WTP",#N/A,FALSE,"WTP";"WTP -2",#N/A,FALSE,"WTP";"Project",#N/A,FALSE,"PROJECT";"Summary -2",#N/A,FALSE,"SUMMARY"}</definedName>
    <definedName name="wwwwwww" localSheetId="7" hidden="1">{"Offgrid",#N/A,FALSE,"OFFGRID";"Region",#N/A,FALSE,"REGION";"Offgrid -2",#N/A,FALSE,"OFFGRID";"WTP",#N/A,FALSE,"WTP";"WTP -2",#N/A,FALSE,"WTP";"Project",#N/A,FALSE,"PROJECT";"Summary -2",#N/A,FALSE,"SUMMARY"}</definedName>
    <definedName name="wwwwwww" localSheetId="8" hidden="1">{"Offgrid",#N/A,FALSE,"OFFGRID";"Region",#N/A,FALSE,"REGION";"Offgrid -2",#N/A,FALSE,"OFFGRID";"WTP",#N/A,FALSE,"WTP";"WTP -2",#N/A,FALSE,"WTP";"Project",#N/A,FALSE,"PROJECT";"Summary -2",#N/A,FALSE,"SUMMARY"}</definedName>
    <definedName name="wwwwwww" hidden="1">{"Offgrid",#N/A,FALSE,"OFFGRID";"Region",#N/A,FALSE,"REGION";"Offgrid -2",#N/A,FALSE,"OFFGRID";"WTP",#N/A,FALSE,"WTP";"WTP -2",#N/A,FALSE,"WTP";"Project",#N/A,FALSE,"PROJECT";"Summary -2",#N/A,FALSE,"SUMMARY"}</definedName>
    <definedName name="WX" localSheetId="8">#REF!</definedName>
    <definedName name="WX">#REF!</definedName>
    <definedName name="WY" localSheetId="8">#REF!</definedName>
    <definedName name="WY">#REF!</definedName>
    <definedName name="X" localSheetId="8">#REF!</definedName>
    <definedName name="X">#REF!</definedName>
    <definedName name="X.CSV" localSheetId="8">#REF!</definedName>
    <definedName name="X.CSV">#REF!</definedName>
    <definedName name="X.CSVa" localSheetId="8">#REF!</definedName>
    <definedName name="X.CSVa">#REF!</definedName>
    <definedName name="x_1" localSheetId="8">#REF!</definedName>
    <definedName name="x_1">#REF!</definedName>
    <definedName name="x_2" localSheetId="8">#REF!</definedName>
    <definedName name="x_2">#REF!</definedName>
    <definedName name="x_3" localSheetId="8">#REF!</definedName>
    <definedName name="x_3">#REF!</definedName>
    <definedName name="x_4" localSheetId="8">#REF!</definedName>
    <definedName name="x_4">#REF!</definedName>
    <definedName name="x_8I" localSheetId="8">#REF!</definedName>
    <definedName name="x_8I">#REF!</definedName>
    <definedName name="x_8IV" localSheetId="8">#REF!</definedName>
    <definedName name="x_8IV">#REF!</definedName>
    <definedName name="x_9I" localSheetId="8">#REF!</definedName>
    <definedName name="x_9I">#REF!</definedName>
    <definedName name="x_9IV" localSheetId="8">#REF!</definedName>
    <definedName name="x_9IV">#REF!</definedName>
    <definedName name="X_hien">#REF!</definedName>
    <definedName name="x_list">#REF!</definedName>
    <definedName name="X_ng">#REF!</definedName>
    <definedName name="X0.4" localSheetId="8">#REF!</definedName>
    <definedName name="X0.4">#REF!</definedName>
    <definedName name="x1_" localSheetId="8">#REF!</definedName>
    <definedName name="x1_">#REF!</definedName>
    <definedName name="x17dnc" localSheetId="8">#REF!</definedName>
    <definedName name="x17dnc">#REF!</definedName>
    <definedName name="x17dvl" localSheetId="8">#REF!</definedName>
    <definedName name="x17dvl">#REF!</definedName>
    <definedName name="x17knc" localSheetId="8">#REF!</definedName>
    <definedName name="x17knc">#REF!</definedName>
    <definedName name="x17kvl" localSheetId="8">#REF!</definedName>
    <definedName name="x17kvl">#REF!</definedName>
    <definedName name="X1pFCOnc" localSheetId="8">#REF!</definedName>
    <definedName name="X1pFCOnc">#REF!</definedName>
    <definedName name="X1pFCOvc" localSheetId="8">#REF!</definedName>
    <definedName name="X1pFCOvc">#REF!</definedName>
    <definedName name="X1pFCOvl" localSheetId="8">#REF!</definedName>
    <definedName name="X1pFCOvl">#REF!</definedName>
    <definedName name="x1pignc" localSheetId="8">#REF!</definedName>
    <definedName name="x1pignc">#REF!</definedName>
    <definedName name="X1pIGvc" localSheetId="8">#REF!</definedName>
    <definedName name="X1pIGvc">#REF!</definedName>
    <definedName name="x1pigvl" localSheetId="8">#REF!</definedName>
    <definedName name="x1pigvl">#REF!</definedName>
    <definedName name="x1pind" localSheetId="8">#REF!</definedName>
    <definedName name="x1pind">#REF!</definedName>
    <definedName name="x1pindnc" localSheetId="8">#REF!</definedName>
    <definedName name="x1pindnc">#REF!</definedName>
    <definedName name="X1pINDvc" localSheetId="8">#REF!</definedName>
    <definedName name="X1pINDvc">#REF!</definedName>
    <definedName name="x1pindvl" localSheetId="8">#REF!</definedName>
    <definedName name="x1pindvl">#REF!</definedName>
    <definedName name="x1ping" localSheetId="8">#REF!</definedName>
    <definedName name="x1ping">#REF!</definedName>
    <definedName name="x1pingnc" localSheetId="8">#REF!</definedName>
    <definedName name="x1pingnc">#REF!</definedName>
    <definedName name="X1pINGvc" localSheetId="8">#REF!</definedName>
    <definedName name="X1pINGvc">#REF!</definedName>
    <definedName name="x1pingvl" localSheetId="8">#REF!</definedName>
    <definedName name="x1pingvl">#REF!</definedName>
    <definedName name="x1pint" localSheetId="8">#REF!</definedName>
    <definedName name="x1pint">#REF!</definedName>
    <definedName name="x1pintnc" localSheetId="8">#REF!</definedName>
    <definedName name="x1pintnc">#REF!</definedName>
    <definedName name="X1pINTvc" localSheetId="8">#REF!</definedName>
    <definedName name="X1pINTvc">#REF!</definedName>
    <definedName name="x1pintvl" localSheetId="8">#REF!</definedName>
    <definedName name="x1pintvl">#REF!</definedName>
    <definedName name="x1pitnc" localSheetId="8">#REF!</definedName>
    <definedName name="x1pitnc">#REF!</definedName>
    <definedName name="X1pITvc" localSheetId="8">#REF!</definedName>
    <definedName name="X1pITvc">#REF!</definedName>
    <definedName name="x1pitvl" localSheetId="8">#REF!</definedName>
    <definedName name="x1pitvl">#REF!</definedName>
    <definedName name="x2_" localSheetId="8">#REF!</definedName>
    <definedName name="x2_">#REF!</definedName>
    <definedName name="x20knc" localSheetId="8">#REF!</definedName>
    <definedName name="x20knc">#REF!</definedName>
    <definedName name="x20kvl" localSheetId="8">#REF!</definedName>
    <definedName name="x20kvl">#REF!</definedName>
    <definedName name="x22knc" localSheetId="8">#REF!</definedName>
    <definedName name="x22knc">#REF!</definedName>
    <definedName name="x22kvl" localSheetId="8">#REF!</definedName>
    <definedName name="x22kvl">#REF!</definedName>
    <definedName name="x2mig1nc" localSheetId="8">#REF!</definedName>
    <definedName name="x2mig1nc">#REF!</definedName>
    <definedName name="x2mig1vl" localSheetId="8">#REF!</definedName>
    <definedName name="x2mig1vl">#REF!</definedName>
    <definedName name="x2min1nc" localSheetId="8">#REF!</definedName>
    <definedName name="x2min1nc">#REF!</definedName>
    <definedName name="x2min1vl" localSheetId="8">#REF!</definedName>
    <definedName name="x2min1vl">#REF!</definedName>
    <definedName name="x2mit1vl" localSheetId="8">#REF!</definedName>
    <definedName name="x2mit1vl">#REF!</definedName>
    <definedName name="x2mitnc" localSheetId="8">#REF!</definedName>
    <definedName name="x2mitnc">#REF!</definedName>
    <definedName name="x4.1.1">#REF!</definedName>
    <definedName name="x4.3.21">#REF!</definedName>
    <definedName name="x4.3.22">#REF!</definedName>
    <definedName name="Xa" localSheetId="8">#REF!</definedName>
    <definedName name="Xa">#REF!</definedName>
    <definedName name="Xang">#REF!</definedName>
    <definedName name="xat" localSheetId="8">#REF!</definedName>
    <definedName name="xat">#REF!</definedName>
    <definedName name="xaydung">#REF!</definedName>
    <definedName name="XB_80" localSheetId="8">#REF!</definedName>
    <definedName name="XB_80">#REF!</definedName>
    <definedName name="xbt" localSheetId="8">#REF!</definedName>
    <definedName name="xbt">#REF!</definedName>
    <definedName name="XCCT">0.5</definedName>
    <definedName name="xcp">#REF!</definedName>
    <definedName name="xct" localSheetId="8">#REF!</definedName>
    <definedName name="xct">#REF!</definedName>
    <definedName name="XD_">#REF!/10^9</definedName>
    <definedName name="xd0.6" localSheetId="8">#REF!</definedName>
    <definedName name="xd0.6">#REF!</definedName>
    <definedName name="xd1.3" localSheetId="8">#REF!</definedName>
    <definedName name="xd1.3">#REF!</definedName>
    <definedName name="xd1.5" localSheetId="8">#REF!</definedName>
    <definedName name="xd1.5">#REF!</definedName>
    <definedName name="xddddd" localSheetId="1" hidden="1">{"'Sheet1'!$L$16"}</definedName>
    <definedName name="xddddd" localSheetId="2" hidden="1">{"'Sheet1'!$L$16"}</definedName>
    <definedName name="xddddd" localSheetId="4" hidden="1">{"'Sheet1'!$L$16"}</definedName>
    <definedName name="xddddd" localSheetId="5" hidden="1">{"'Sheet1'!$L$16"}</definedName>
    <definedName name="xddddd" localSheetId="6" hidden="1">{"'Sheet1'!$L$16"}</definedName>
    <definedName name="xddddd" localSheetId="7" hidden="1">{"'Sheet1'!$L$16"}</definedName>
    <definedName name="xddddd" localSheetId="8" hidden="1">{"'Sheet1'!$L$16"}</definedName>
    <definedName name="xddddd" hidden="1">{"'Sheet1'!$L$16"}</definedName>
    <definedName name="xdra" localSheetId="8">#REF!</definedName>
    <definedName name="xdra">#REF!</definedName>
    <definedName name="xdsnc" localSheetId="8">#REF!</definedName>
    <definedName name="xdsnc">#REF!</definedName>
    <definedName name="xdsvl" localSheetId="8">#REF!</definedName>
    <definedName name="xdsvl">#REF!</definedName>
    <definedName name="XDTT" localSheetId="8">#REF!</definedName>
    <definedName name="XDTT">#REF!</definedName>
    <definedName name="xe" localSheetId="8">#REF!</definedName>
    <definedName name="xe">#REF!</definedName>
    <definedName name="xetuoinhua190" localSheetId="8">#REF!</definedName>
    <definedName name="xetuoinhua190">#REF!</definedName>
    <definedName name="xfco" localSheetId="8">#REF!</definedName>
    <definedName name="xfco">#REF!</definedName>
    <definedName name="xfco3p" localSheetId="8">#REF!</definedName>
    <definedName name="xfco3p">#REF!</definedName>
    <definedName name="xfconc" localSheetId="8">#REF!</definedName>
    <definedName name="xfconc">#REF!</definedName>
    <definedName name="xfconc3p">#REF!</definedName>
    <definedName name="xfcotnc" localSheetId="8">#REF!</definedName>
    <definedName name="xfcotnc">#REF!</definedName>
    <definedName name="xfcotvl" localSheetId="8">#REF!</definedName>
    <definedName name="xfcotvl">#REF!</definedName>
    <definedName name="XFCOvc" localSheetId="8">#REF!</definedName>
    <definedName name="XFCOvc">#REF!</definedName>
    <definedName name="xfcovl" localSheetId="8">#REF!</definedName>
    <definedName name="xfcovl">#REF!</definedName>
    <definedName name="xfcovl3p">#REF!</definedName>
    <definedName name="xfnc" localSheetId="8">#REF!</definedName>
    <definedName name="xfnc">#REF!</definedName>
    <definedName name="xfvl" localSheetId="8">#REF!</definedName>
    <definedName name="xfvl">#REF!</definedName>
    <definedName name="xgc100" localSheetId="8">#REF!</definedName>
    <definedName name="xgc100">#REF!</definedName>
    <definedName name="xgc150" localSheetId="8">#REF!</definedName>
    <definedName name="xgc150">#REF!</definedName>
    <definedName name="xgc200" localSheetId="8">#REF!</definedName>
    <definedName name="xgc200">#REF!</definedName>
    <definedName name="xh" localSheetId="8">#REF!</definedName>
    <definedName name="xh">#REF!</definedName>
    <definedName name="xh_bq" localSheetId="8">#REF!</definedName>
    <definedName name="xh_bq">#REF!</definedName>
    <definedName name="xh_bv" localSheetId="8">#REF!</definedName>
    <definedName name="xh_bv">#REF!</definedName>
    <definedName name="xh_ck" localSheetId="8">#REF!</definedName>
    <definedName name="xh_ck">#REF!</definedName>
    <definedName name="xh_d1" localSheetId="8">#REF!</definedName>
    <definedName name="xh_d1">#REF!</definedName>
    <definedName name="xh_d2" localSheetId="8">#REF!</definedName>
    <definedName name="xh_d2">#REF!</definedName>
    <definedName name="xh_d3" localSheetId="8">#REF!</definedName>
    <definedName name="xh_d3">#REF!</definedName>
    <definedName name="xh_dl" localSheetId="8">#REF!</definedName>
    <definedName name="xh_dl">#REF!</definedName>
    <definedName name="xh_kcs" localSheetId="8">#REF!</definedName>
    <definedName name="xh_kcs">#REF!</definedName>
    <definedName name="xh_nb" localSheetId="8">#REF!</definedName>
    <definedName name="xh_nb">#REF!</definedName>
    <definedName name="xh_ngio" localSheetId="8">#REF!</definedName>
    <definedName name="xh_ngio">#REF!</definedName>
    <definedName name="xh_nv" localSheetId="8">#REF!</definedName>
    <definedName name="xh_nv">#REF!</definedName>
    <definedName name="xh_t3" localSheetId="8">#REF!</definedName>
    <definedName name="xh_t3">#REF!</definedName>
    <definedName name="xh_t4" localSheetId="8">#REF!</definedName>
    <definedName name="xh_t4">#REF!</definedName>
    <definedName name="xh_t5" localSheetId="8">#REF!</definedName>
    <definedName name="xh_t5">#REF!</definedName>
    <definedName name="xh_t6" localSheetId="8">#REF!</definedName>
    <definedName name="xh_t6">#REF!</definedName>
    <definedName name="xh_tc" localSheetId="8">#REF!</definedName>
    <definedName name="xh_tc">#REF!</definedName>
    <definedName name="xh_tm" localSheetId="8">#REF!</definedName>
    <definedName name="xh_tm">#REF!</definedName>
    <definedName name="xh_vs" localSheetId="8">#REF!</definedName>
    <definedName name="xh_vs">#REF!</definedName>
    <definedName name="xh_xh" localSheetId="8">#REF!</definedName>
    <definedName name="xh_xh">#REF!</definedName>
    <definedName name="xhn" localSheetId="8">#REF!</definedName>
    <definedName name="xhn">#REF!</definedName>
    <definedName name="xhnnc" localSheetId="8">#REF!</definedName>
    <definedName name="xhnnc">#REF!</definedName>
    <definedName name="xhnvl" localSheetId="8">#REF!</definedName>
    <definedName name="xhnvl">#REF!</definedName>
    <definedName name="xi" localSheetId="8">#REF!</definedName>
    <definedName name="xi">#REF!</definedName>
    <definedName name="xig" localSheetId="8">#REF!</definedName>
    <definedName name="xig">#REF!</definedName>
    <definedName name="xig1" localSheetId="8">#REF!</definedName>
    <definedName name="xig1">#REF!</definedName>
    <definedName name="xig1nc" localSheetId="8">#REF!</definedName>
    <definedName name="xig1nc">#REF!</definedName>
    <definedName name="xig1p" localSheetId="8">#REF!</definedName>
    <definedName name="xig1p">#REF!</definedName>
    <definedName name="xig1pnc" localSheetId="8">#REF!</definedName>
    <definedName name="xig1pnc">#REF!</definedName>
    <definedName name="xig1pvl" localSheetId="8">#REF!</definedName>
    <definedName name="xig1pvl">#REF!</definedName>
    <definedName name="xig1vl" localSheetId="8">#REF!</definedName>
    <definedName name="xig1vl">#REF!</definedName>
    <definedName name="xig2nc" localSheetId="8">#REF!</definedName>
    <definedName name="xig2nc">#REF!</definedName>
    <definedName name="xig2vl" localSheetId="8">#REF!</definedName>
    <definedName name="xig2vl">#REF!</definedName>
    <definedName name="xig3p" localSheetId="8">#REF!</definedName>
    <definedName name="xig3p">#REF!</definedName>
    <definedName name="xiggnc">#REF!</definedName>
    <definedName name="xiggvl">#REF!</definedName>
    <definedName name="xignc" localSheetId="8">#REF!</definedName>
    <definedName name="xignc">#REF!</definedName>
    <definedName name="xignc3p" localSheetId="8">#REF!</definedName>
    <definedName name="xignc3p">#REF!</definedName>
    <definedName name="XIGvc" localSheetId="8">#REF!</definedName>
    <definedName name="XIGvc">#REF!</definedName>
    <definedName name="xigvl" localSheetId="8">#REF!</definedName>
    <definedName name="xigvl">#REF!</definedName>
    <definedName name="xigvl3p" localSheetId="8">#REF!</definedName>
    <definedName name="xigvl3p">#REF!</definedName>
    <definedName name="XII200" localSheetId="8">#REF!</definedName>
    <definedName name="XII200">#REF!</definedName>
    <definedName name="Xim_ng_PC40">#REF!</definedName>
    <definedName name="ximang">#REF!</definedName>
    <definedName name="XiMangPCB30" localSheetId="8">#REF!</definedName>
    <definedName name="XiMangPCB30">#REF!</definedName>
    <definedName name="xin" localSheetId="8">#REF!</definedName>
    <definedName name="xin">#REF!</definedName>
    <definedName name="xin190" localSheetId="8">#REF!</definedName>
    <definedName name="xin190">#REF!</definedName>
    <definedName name="xin1903p" localSheetId="8">#REF!</definedName>
    <definedName name="xin1903p">#REF!</definedName>
    <definedName name="xin190nc" localSheetId="8">#REF!</definedName>
    <definedName name="xin190nc">#REF!</definedName>
    <definedName name="xin190nc3p">#REF!</definedName>
    <definedName name="XIN190vc" localSheetId="8">#REF!</definedName>
    <definedName name="XIN190vc">#REF!</definedName>
    <definedName name="xin190vl" localSheetId="8">#REF!</definedName>
    <definedName name="xin190vl">#REF!</definedName>
    <definedName name="xin190vl3p">#REF!</definedName>
    <definedName name="xin2903p" localSheetId="8">#REF!</definedName>
    <definedName name="xin2903p">#REF!</definedName>
    <definedName name="xin290nc3p" localSheetId="8">#REF!</definedName>
    <definedName name="xin290nc3p">#REF!</definedName>
    <definedName name="xin290vl3p" localSheetId="8">#REF!</definedName>
    <definedName name="xin290vl3p">#REF!</definedName>
    <definedName name="xin3p" localSheetId="8">#REF!</definedName>
    <definedName name="xin3p">#REF!</definedName>
    <definedName name="xin901nc" localSheetId="8">#REF!</definedName>
    <definedName name="xin901nc">#REF!</definedName>
    <definedName name="xin901vl" localSheetId="8">#REF!</definedName>
    <definedName name="xin901vl">#REF!</definedName>
    <definedName name="xind" localSheetId="8">#REF!</definedName>
    <definedName name="xind">#REF!</definedName>
    <definedName name="xind1p" localSheetId="8">#REF!</definedName>
    <definedName name="xind1p">#REF!</definedName>
    <definedName name="xind1pnc" localSheetId="8">#REF!</definedName>
    <definedName name="xind1pnc">#REF!</definedName>
    <definedName name="xind1pvl" localSheetId="8">#REF!</definedName>
    <definedName name="xind1pvl">#REF!</definedName>
    <definedName name="xind3p" localSheetId="8">#REF!</definedName>
    <definedName name="xind3p">#REF!</definedName>
    <definedName name="xindnc" localSheetId="8">#REF!</definedName>
    <definedName name="xindnc">#REF!</definedName>
    <definedName name="xindnc1p" localSheetId="8">#REF!</definedName>
    <definedName name="xindnc1p">#REF!</definedName>
    <definedName name="xindnc3p">#REF!</definedName>
    <definedName name="XINDvc" localSheetId="8">#REF!</definedName>
    <definedName name="XINDvc">#REF!</definedName>
    <definedName name="xindvl" localSheetId="8">#REF!</definedName>
    <definedName name="xindvl">#REF!</definedName>
    <definedName name="xindvl1p" localSheetId="8">#REF!</definedName>
    <definedName name="xindvl1p">#REF!</definedName>
    <definedName name="xindvl3p">#REF!</definedName>
    <definedName name="xing1p" localSheetId="8">#REF!</definedName>
    <definedName name="xing1p">#REF!</definedName>
    <definedName name="xing1pnc" localSheetId="8">#REF!</definedName>
    <definedName name="xing1pnc">#REF!</definedName>
    <definedName name="xing1pvl" localSheetId="8">#REF!</definedName>
    <definedName name="xing1pvl">#REF!</definedName>
    <definedName name="xingnc1p" localSheetId="8">#REF!</definedName>
    <definedName name="xingnc1p">#REF!</definedName>
    <definedName name="xingvl1p" localSheetId="8">#REF!</definedName>
    <definedName name="xingvl1p">#REF!</definedName>
    <definedName name="xinnc" localSheetId="8">#REF!</definedName>
    <definedName name="xinnc">#REF!</definedName>
    <definedName name="xinnc3p" localSheetId="8">#REF!</definedName>
    <definedName name="xinnc3p">#REF!</definedName>
    <definedName name="xint1p" localSheetId="8">#REF!</definedName>
    <definedName name="xint1p">#REF!</definedName>
    <definedName name="xintien">#REF!</definedName>
    <definedName name="XINvc" localSheetId="8">#REF!</definedName>
    <definedName name="XINvc">#REF!</definedName>
    <definedName name="xinvl" localSheetId="8">#REF!</definedName>
    <definedName name="xinvl">#REF!</definedName>
    <definedName name="xinvl3p" localSheetId="8">#REF!</definedName>
    <definedName name="xinvl3p">#REF!</definedName>
    <definedName name="xit" localSheetId="8">#REF!</definedName>
    <definedName name="xit">#REF!</definedName>
    <definedName name="xit1" localSheetId="8">#REF!</definedName>
    <definedName name="xit1">#REF!</definedName>
    <definedName name="xit1nc" localSheetId="8">#REF!</definedName>
    <definedName name="xit1nc">#REF!</definedName>
    <definedName name="xit1p" localSheetId="8">#REF!</definedName>
    <definedName name="xit1p">#REF!</definedName>
    <definedName name="xit1pnc" localSheetId="8">#REF!</definedName>
    <definedName name="xit1pnc">#REF!</definedName>
    <definedName name="xit1pvl" localSheetId="8">#REF!</definedName>
    <definedName name="xit1pvl">#REF!</definedName>
    <definedName name="xit1vl" localSheetId="8">#REF!</definedName>
    <definedName name="xit1vl">#REF!</definedName>
    <definedName name="xit2nc" localSheetId="8">#REF!</definedName>
    <definedName name="xit2nc">#REF!</definedName>
    <definedName name="xit2nc3p" localSheetId="8">#REF!</definedName>
    <definedName name="xit2nc3p">#REF!</definedName>
    <definedName name="xit2vl" localSheetId="8">#REF!</definedName>
    <definedName name="xit2vl">#REF!</definedName>
    <definedName name="xit2vl3p" localSheetId="8">#REF!</definedName>
    <definedName name="xit2vl3p">#REF!</definedName>
    <definedName name="xit3p" localSheetId="8">#REF!</definedName>
    <definedName name="xit3p">#REF!</definedName>
    <definedName name="xitnc" localSheetId="8">#REF!</definedName>
    <definedName name="xitnc">#REF!</definedName>
    <definedName name="xitnc3p" localSheetId="8">#REF!</definedName>
    <definedName name="xitnc3p">#REF!</definedName>
    <definedName name="xittnc">#REF!</definedName>
    <definedName name="xittvl">#REF!</definedName>
    <definedName name="XITvc" localSheetId="8">#REF!</definedName>
    <definedName name="XITvc">#REF!</definedName>
    <definedName name="xitvl" localSheetId="8">#REF!</definedName>
    <definedName name="xitvl">#REF!</definedName>
    <definedName name="xitvl3p" localSheetId="8">#REF!</definedName>
    <definedName name="xitvl3p">#REF!</definedName>
    <definedName name="xk">#REF!</definedName>
    <definedName name="xk0.6" localSheetId="8">#REF!</definedName>
    <definedName name="xk0.6">#REF!</definedName>
    <definedName name="xk1.3" localSheetId="8">#REF!</definedName>
    <definedName name="xk1.3">#REF!</definedName>
    <definedName name="xk1.5" localSheetId="8">#REF!</definedName>
    <definedName name="xk1.5">#REF!</definedName>
    <definedName name="XL" localSheetId="8">#REF!</definedName>
    <definedName name="XL">#REF!</definedName>
    <definedName name="Xl_CTO">#REF!</definedName>
    <definedName name="XLa" localSheetId="8">#REF!</definedName>
    <definedName name="XLa">#REF!</definedName>
    <definedName name="xlc" localSheetId="8">#REF!</definedName>
    <definedName name="xlc">#REF!</definedName>
    <definedName name="xld1.4" localSheetId="8">#REF!</definedName>
    <definedName name="xld1.4">#REF!</definedName>
    <definedName name="xlk" localSheetId="8">#REF!</definedName>
    <definedName name="xlk">#REF!</definedName>
    <definedName name="xlk1.4" localSheetId="8">#REF!</definedName>
    <definedName name="xlk1.4">#REF!</definedName>
    <definedName name="XLP" localSheetId="8">#REF!</definedName>
    <definedName name="XLP">#REF!</definedName>
    <definedName name="xlttbninh" localSheetId="1" hidden="1">{"'Sheet1'!$L$16"}</definedName>
    <definedName name="xlttbninh" localSheetId="2" hidden="1">{"'Sheet1'!$L$16"}</definedName>
    <definedName name="xlttbninh" localSheetId="3" hidden="1">{"'Sheet1'!$L$16"}</definedName>
    <definedName name="xlttbninh" localSheetId="4" hidden="1">{"'Sheet1'!$L$16"}</definedName>
    <definedName name="xlttbninh" localSheetId="5" hidden="1">{"'Sheet1'!$L$16"}</definedName>
    <definedName name="xlttbninh" localSheetId="6" hidden="1">{"'Sheet1'!$L$16"}</definedName>
    <definedName name="xlttbninh" localSheetId="7" hidden="1">{"'Sheet1'!$L$16"}</definedName>
    <definedName name="xlttbninh" localSheetId="8" hidden="1">{"'Sheet1'!$L$16"}</definedName>
    <definedName name="xlttbninh" hidden="1">{"'Sheet1'!$L$16"}</definedName>
    <definedName name="xm">#REF!</definedName>
    <definedName name="XM.M14.1" localSheetId="8">#REF!</definedName>
    <definedName name="XM.M14.1">#REF!</definedName>
    <definedName name="XM.M14.2" localSheetId="8">#REF!</definedName>
    <definedName name="XM.M14.2">#REF!</definedName>
    <definedName name="XM.MTCat" localSheetId="8">#REF!</definedName>
    <definedName name="XM.MTCat">#REF!</definedName>
    <definedName name="XMAX" localSheetId="8">#REF!</definedName>
    <definedName name="XMAX">#REF!</definedName>
    <definedName name="XMcatden50">#REF!</definedName>
    <definedName name="XMcatden75">#REF!</definedName>
    <definedName name="xmcatvang100">#REF!</definedName>
    <definedName name="XMcatvang50">#REF!</definedName>
    <definedName name="XMcatvang75">#REF!</definedName>
    <definedName name="xmcax" localSheetId="8">#REF!</definedName>
    <definedName name="xmcax">#REF!</definedName>
    <definedName name="XMIN" localSheetId="8">#REF!</definedName>
    <definedName name="XMIN">#REF!</definedName>
    <definedName name="xmp40" localSheetId="8">#REF!</definedName>
    <definedName name="xmp40">#REF!</definedName>
    <definedName name="xmtrang">#REF!</definedName>
    <definedName name="xn" localSheetId="8">#REF!</definedName>
    <definedName name="xn">#REF!</definedName>
    <definedName name="XN908nam2003" localSheetId="1" hidden="1">{"'Sheet1'!$L$16"}</definedName>
    <definedName name="XN908nam2003" localSheetId="2" hidden="1">{"'Sheet1'!$L$16"}</definedName>
    <definedName name="XN908nam2003" localSheetId="3" hidden="1">{"'Sheet1'!$L$16"}</definedName>
    <definedName name="XN908nam2003" localSheetId="4" hidden="1">{"'Sheet1'!$L$16"}</definedName>
    <definedName name="XN908nam2003" localSheetId="5" hidden="1">{"'Sheet1'!$L$16"}</definedName>
    <definedName name="XN908nam2003" localSheetId="6" hidden="1">{"'Sheet1'!$L$16"}</definedName>
    <definedName name="XN908nam2003" localSheetId="7" hidden="1">{"'Sheet1'!$L$16"}</definedName>
    <definedName name="XN908nam2003" localSheetId="8" hidden="1">{"'Sheet1'!$L$16"}</definedName>
    <definedName name="XN908nam2003" hidden="1">{"'Sheet1'!$L$16"}</definedName>
    <definedName name="xoa1" localSheetId="1" hidden="1">{"'Sheet1'!$L$16"}</definedName>
    <definedName name="xoa1" localSheetId="2" hidden="1">{"'Sheet1'!$L$16"}</definedName>
    <definedName name="xoa1" localSheetId="3" hidden="1">{"'Sheet1'!$L$16"}</definedName>
    <definedName name="xoa1" localSheetId="4" hidden="1">{"'Sheet1'!$L$16"}</definedName>
    <definedName name="xoa1" localSheetId="5" hidden="1">{"'Sheet1'!$L$16"}</definedName>
    <definedName name="xoa1" localSheetId="6" hidden="1">{"'Sheet1'!$L$16"}</definedName>
    <definedName name="xoa1" localSheetId="7" hidden="1">{"'Sheet1'!$L$16"}</definedName>
    <definedName name="xoa1" localSheetId="8" hidden="1">{"'Sheet1'!$L$16"}</definedName>
    <definedName name="xoa1" hidden="1">{"'Sheet1'!$L$16"}</definedName>
    <definedName name="xoa2" localSheetId="1" hidden="1">{#N/A,#N/A,FALSE,"Chi tiÆt"}</definedName>
    <definedName name="xoa2" localSheetId="2" hidden="1">{#N/A,#N/A,FALSE,"Chi tiÆt"}</definedName>
    <definedName name="xoa2" localSheetId="3" hidden="1">{#N/A,#N/A,FALSE,"Chi tiÆt"}</definedName>
    <definedName name="xoa2" localSheetId="4" hidden="1">{#N/A,#N/A,FALSE,"Chi tiÆt"}</definedName>
    <definedName name="xoa2" localSheetId="5" hidden="1">{#N/A,#N/A,FALSE,"Chi tiÆt"}</definedName>
    <definedName name="xoa2" localSheetId="6" hidden="1">{#N/A,#N/A,FALSE,"Chi tiÆt"}</definedName>
    <definedName name="xoa2" localSheetId="7" hidden="1">{#N/A,#N/A,FALSE,"Chi tiÆt"}</definedName>
    <definedName name="xoa2" localSheetId="8" hidden="1">{#N/A,#N/A,FALSE,"Chi tiÆt"}</definedName>
    <definedName name="xoa2" hidden="1">{#N/A,#N/A,FALSE,"Chi tiÆt"}</definedName>
    <definedName name="xoa3" localSheetId="1" hidden="1">{"Offgrid",#N/A,FALSE,"OFFGRID";"Region",#N/A,FALSE,"REGION";"Offgrid -2",#N/A,FALSE,"OFFGRID";"WTP",#N/A,FALSE,"WTP";"WTP -2",#N/A,FALSE,"WTP";"Project",#N/A,FALSE,"PROJECT";"Summary -2",#N/A,FALSE,"SUMMARY"}</definedName>
    <definedName name="xoa3" localSheetId="2" hidden="1">{"Offgrid",#N/A,FALSE,"OFFGRID";"Region",#N/A,FALSE,"REGION";"Offgrid -2",#N/A,FALSE,"OFFGRID";"WTP",#N/A,FALSE,"WTP";"WTP -2",#N/A,FALSE,"WTP";"Project",#N/A,FALSE,"PROJECT";"Summary -2",#N/A,FALSE,"SUMMARY"}</definedName>
    <definedName name="xoa3" localSheetId="3" hidden="1">{"Offgrid",#N/A,FALSE,"OFFGRID";"Region",#N/A,FALSE,"REGION";"Offgrid -2",#N/A,FALSE,"OFFGRID";"WTP",#N/A,FALSE,"WTP";"WTP -2",#N/A,FALSE,"WTP";"Project",#N/A,FALSE,"PROJECT";"Summary -2",#N/A,FALSE,"SUMMARY"}</definedName>
    <definedName name="xoa3" localSheetId="4" hidden="1">{"Offgrid",#N/A,FALSE,"OFFGRID";"Region",#N/A,FALSE,"REGION";"Offgrid -2",#N/A,FALSE,"OFFGRID";"WTP",#N/A,FALSE,"WTP";"WTP -2",#N/A,FALSE,"WTP";"Project",#N/A,FALSE,"PROJECT";"Summary -2",#N/A,FALSE,"SUMMARY"}</definedName>
    <definedName name="xoa3" localSheetId="5" hidden="1">{"Offgrid",#N/A,FALSE,"OFFGRID";"Region",#N/A,FALSE,"REGION";"Offgrid -2",#N/A,FALSE,"OFFGRID";"WTP",#N/A,FALSE,"WTP";"WTP -2",#N/A,FALSE,"WTP";"Project",#N/A,FALSE,"PROJECT";"Summary -2",#N/A,FALSE,"SUMMARY"}</definedName>
    <definedName name="xoa3" localSheetId="6" hidden="1">{"Offgrid",#N/A,FALSE,"OFFGRID";"Region",#N/A,FALSE,"REGION";"Offgrid -2",#N/A,FALSE,"OFFGRID";"WTP",#N/A,FALSE,"WTP";"WTP -2",#N/A,FALSE,"WTP";"Project",#N/A,FALSE,"PROJECT";"Summary -2",#N/A,FALSE,"SUMMARY"}</definedName>
    <definedName name="xoa3" localSheetId="7" hidden="1">{"Offgrid",#N/A,FALSE,"OFFGRID";"Region",#N/A,FALSE,"REGION";"Offgrid -2",#N/A,FALSE,"OFFGRID";"WTP",#N/A,FALSE,"WTP";"WTP -2",#N/A,FALSE,"WTP";"Project",#N/A,FALSE,"PROJECT";"Summary -2",#N/A,FALSE,"SUMMARY"}</definedName>
    <definedName name="xoa3" localSheetId="8" hidden="1">{"Offgrid",#N/A,FALSE,"OFFGRID";"Region",#N/A,FALSE,"REGION";"Offgrid -2",#N/A,FALSE,"OFFGRID";"WTP",#N/A,FALSE,"WTP";"WTP -2",#N/A,FALSE,"WTP";"Project",#N/A,FALSE,"PROJECT";"Summary -2",#N/A,FALSE,"SUMMARY"}</definedName>
    <definedName name="xoa3" hidden="1">{"Offgrid",#N/A,FALSE,"OFFGRID";"Region",#N/A,FALSE,"REGION";"Offgrid -2",#N/A,FALSE,"OFFGRID";"WTP",#N/A,FALSE,"WTP";"WTP -2",#N/A,FALSE,"WTP";"Project",#N/A,FALSE,"PROJECT";"Summary -2",#N/A,FALSE,"SUMMARY"}</definedName>
    <definedName name="xoa4" localSheetId="1" hidden="1">{"Offgrid",#N/A,FALSE,"OFFGRID";"Region",#N/A,FALSE,"REGION";"Offgrid -2",#N/A,FALSE,"OFFGRID";"WTP",#N/A,FALSE,"WTP";"WTP -2",#N/A,FALSE,"WTP";"Project",#N/A,FALSE,"PROJECT";"Summary -2",#N/A,FALSE,"SUMMARY"}</definedName>
    <definedName name="xoa4" localSheetId="2" hidden="1">{"Offgrid",#N/A,FALSE,"OFFGRID";"Region",#N/A,FALSE,"REGION";"Offgrid -2",#N/A,FALSE,"OFFGRID";"WTP",#N/A,FALSE,"WTP";"WTP -2",#N/A,FALSE,"WTP";"Project",#N/A,FALSE,"PROJECT";"Summary -2",#N/A,FALSE,"SUMMARY"}</definedName>
    <definedName name="xoa4" localSheetId="3" hidden="1">{"Offgrid",#N/A,FALSE,"OFFGRID";"Region",#N/A,FALSE,"REGION";"Offgrid -2",#N/A,FALSE,"OFFGRID";"WTP",#N/A,FALSE,"WTP";"WTP -2",#N/A,FALSE,"WTP";"Project",#N/A,FALSE,"PROJECT";"Summary -2",#N/A,FALSE,"SUMMARY"}</definedName>
    <definedName name="xoa4" localSheetId="4" hidden="1">{"Offgrid",#N/A,FALSE,"OFFGRID";"Region",#N/A,FALSE,"REGION";"Offgrid -2",#N/A,FALSE,"OFFGRID";"WTP",#N/A,FALSE,"WTP";"WTP -2",#N/A,FALSE,"WTP";"Project",#N/A,FALSE,"PROJECT";"Summary -2",#N/A,FALSE,"SUMMARY"}</definedName>
    <definedName name="xoa4" localSheetId="5" hidden="1">{"Offgrid",#N/A,FALSE,"OFFGRID";"Region",#N/A,FALSE,"REGION";"Offgrid -2",#N/A,FALSE,"OFFGRID";"WTP",#N/A,FALSE,"WTP";"WTP -2",#N/A,FALSE,"WTP";"Project",#N/A,FALSE,"PROJECT";"Summary -2",#N/A,FALSE,"SUMMARY"}</definedName>
    <definedName name="xoa4" localSheetId="6" hidden="1">{"Offgrid",#N/A,FALSE,"OFFGRID";"Region",#N/A,FALSE,"REGION";"Offgrid -2",#N/A,FALSE,"OFFGRID";"WTP",#N/A,FALSE,"WTP";"WTP -2",#N/A,FALSE,"WTP";"Project",#N/A,FALSE,"PROJECT";"Summary -2",#N/A,FALSE,"SUMMARY"}</definedName>
    <definedName name="xoa4" localSheetId="7" hidden="1">{"Offgrid",#N/A,FALSE,"OFFGRID";"Region",#N/A,FALSE,"REGION";"Offgrid -2",#N/A,FALSE,"OFFGRID";"WTP",#N/A,FALSE,"WTP";"WTP -2",#N/A,FALSE,"WTP";"Project",#N/A,FALSE,"PROJECT";"Summary -2",#N/A,FALSE,"SUMMARY"}</definedName>
    <definedName name="xoa4" localSheetId="8" hidden="1">{"Offgrid",#N/A,FALSE,"OFFGRID";"Region",#N/A,FALSE,"REGION";"Offgrid -2",#N/A,FALSE,"OFFGRID";"WTP",#N/A,FALSE,"WTP";"WTP -2",#N/A,FALSE,"WTP";"Project",#N/A,FALSE,"PROJECT";"Summary -2",#N/A,FALSE,"SUMMARY"}</definedName>
    <definedName name="xoa4" hidden="1">{"Offgrid",#N/A,FALSE,"OFFGRID";"Region",#N/A,FALSE,"REGION";"Offgrid -2",#N/A,FALSE,"OFFGRID";"WTP",#N/A,FALSE,"WTP";"WTP -2",#N/A,FALSE,"WTP";"Project",#N/A,FALSE,"PROJECT";"Summary -2",#N/A,FALSE,"SUMMARY"}</definedName>
    <definedName name="xr1nc" localSheetId="8">#REF!</definedName>
    <definedName name="xr1nc">#REF!</definedName>
    <definedName name="xr1vl" localSheetId="8">#REF!</definedName>
    <definedName name="xr1vl">#REF!</definedName>
    <definedName name="xtr3pnc" localSheetId="8">#REF!</definedName>
    <definedName name="xtr3pnc">#REF!</definedName>
    <definedName name="xtr3pvl" localSheetId="8">#REF!</definedName>
    <definedName name="xtr3pvl">#REF!</definedName>
    <definedName name="xuat_hien">#REF!</definedName>
    <definedName name="Xuat_hien1">#REF!</definedName>
    <definedName name="xuchoi0.15" localSheetId="8">#REF!</definedName>
    <definedName name="xuchoi0.15">#REF!</definedName>
    <definedName name="xuchoi0.25" localSheetId="8">#REF!</definedName>
    <definedName name="xuchoi0.25">#REF!</definedName>
    <definedName name="xuchoi0.3" localSheetId="8">#REF!</definedName>
    <definedName name="xuchoi0.3">#REF!</definedName>
    <definedName name="xuchoi0.35" localSheetId="8">#REF!</definedName>
    <definedName name="xuchoi0.35">#REF!</definedName>
    <definedName name="xuchoi0.4" localSheetId="8">#REF!</definedName>
    <definedName name="xuchoi0.4">#REF!</definedName>
    <definedName name="xuchoi0.65" localSheetId="8">#REF!</definedName>
    <definedName name="xuchoi0.65">#REF!</definedName>
    <definedName name="xuchoi0.75" localSheetId="8">#REF!</definedName>
    <definedName name="xuchoi0.75">#REF!</definedName>
    <definedName name="xuchoi1.25" localSheetId="8">#REF!</definedName>
    <definedName name="xuchoi1.25">#REF!</definedName>
    <definedName name="xuclat0.4" localSheetId="8">#REF!</definedName>
    <definedName name="xuclat0.4">#REF!</definedName>
    <definedName name="xuclat1" localSheetId="8">#REF!</definedName>
    <definedName name="xuclat1">#REF!</definedName>
    <definedName name="xuclat1.65" localSheetId="8">#REF!</definedName>
    <definedName name="xuclat1.65">#REF!</definedName>
    <definedName name="xuclat2" localSheetId="8">#REF!</definedName>
    <definedName name="xuclat2">#REF!</definedName>
    <definedName name="xuclat2.8" localSheetId="8">#REF!</definedName>
    <definedName name="xuclat2.8">#REF!</definedName>
    <definedName name="xucxich0.22" localSheetId="8">#REF!</definedName>
    <definedName name="xucxich0.22">#REF!</definedName>
    <definedName name="xucxich0.25" localSheetId="8">#REF!</definedName>
    <definedName name="xucxich0.25">#REF!</definedName>
    <definedName name="xucxich0.3" localSheetId="8">#REF!</definedName>
    <definedName name="xucxich0.3">#REF!</definedName>
    <definedName name="xucxich0.35" localSheetId="8">#REF!</definedName>
    <definedName name="xucxich0.35">#REF!</definedName>
    <definedName name="xucxich0.4" localSheetId="8">#REF!</definedName>
    <definedName name="xucxich0.4">#REF!</definedName>
    <definedName name="xucxich0.5" localSheetId="8">#REF!</definedName>
    <definedName name="xucxich0.5">#REF!</definedName>
    <definedName name="xucxich0.65" localSheetId="8">#REF!</definedName>
    <definedName name="xucxich0.65">#REF!</definedName>
    <definedName name="xucxich1" localSheetId="8">#REF!</definedName>
    <definedName name="xucxich1">#REF!</definedName>
    <definedName name="xucxich1.2" localSheetId="8">#REF!</definedName>
    <definedName name="xucxich1.2">#REF!</definedName>
    <definedName name="xucxich1.25" localSheetId="8">#REF!</definedName>
    <definedName name="xucxich1.25">#REF!</definedName>
    <definedName name="xucxich1.6" localSheetId="8">#REF!</definedName>
    <definedName name="xucxich1.6">#REF!</definedName>
    <definedName name="xucxich2" localSheetId="8">#REF!</definedName>
    <definedName name="xucxich2">#REF!</definedName>
    <definedName name="xucxich2.5" localSheetId="8">#REF!</definedName>
    <definedName name="xucxich2.5">#REF!</definedName>
    <definedName name="xucxich4" localSheetId="8">#REF!</definedName>
    <definedName name="xucxich4">#REF!</definedName>
    <definedName name="xucxich4.6" localSheetId="8">#REF!</definedName>
    <definedName name="xucxich4.6">#REF!</definedName>
    <definedName name="xucxich5" localSheetId="8">#REF!</definedName>
    <definedName name="xucxich5">#REF!</definedName>
    <definedName name="xvxcvxc" localSheetId="1" hidden="1">{"'Sheet1'!$L$16"}</definedName>
    <definedName name="xvxcvxc" localSheetId="2" hidden="1">{"'Sheet1'!$L$16"}</definedName>
    <definedName name="xvxcvxc" localSheetId="4" hidden="1">{"'Sheet1'!$L$16"}</definedName>
    <definedName name="xvxcvxc" localSheetId="5" hidden="1">{"'Sheet1'!$L$16"}</definedName>
    <definedName name="xvxcvxc" localSheetId="6" hidden="1">{"'Sheet1'!$L$16"}</definedName>
    <definedName name="xvxcvxc" localSheetId="7" hidden="1">{"'Sheet1'!$L$16"}</definedName>
    <definedName name="xvxcvxc" localSheetId="8" hidden="1">{"'Sheet1'!$L$16"}</definedName>
    <definedName name="xvxcvxc" hidden="1">{"'Sheet1'!$L$16"}</definedName>
    <definedName name="xx">#REF!</definedName>
    <definedName name="XXX1" localSheetId="8">#REF!</definedName>
    <definedName name="XXX1">#REF!</definedName>
    <definedName name="xy2.5.1">#REF!</definedName>
    <definedName name="xy5.3.1">#REF!</definedName>
    <definedName name="xz2.5.1">#REF!</definedName>
    <definedName name="xz5.3.1">#REF!</definedName>
    <definedName name="y" localSheetId="8">#REF!</definedName>
    <definedName name="y">#REF!</definedName>
    <definedName name="y_1I" localSheetId="8">#REF!</definedName>
    <definedName name="y_1I">#REF!</definedName>
    <definedName name="y_1II" localSheetId="8">#REF!</definedName>
    <definedName name="y_1II">#REF!</definedName>
    <definedName name="y_1III" localSheetId="8">#REF!</definedName>
    <definedName name="y_1III">#REF!</definedName>
    <definedName name="y_1IV" localSheetId="8">#REF!</definedName>
    <definedName name="y_1IV">#REF!</definedName>
    <definedName name="y_2I" localSheetId="8">#REF!</definedName>
    <definedName name="y_2I">#REF!</definedName>
    <definedName name="y_2II" localSheetId="8">#REF!</definedName>
    <definedName name="y_2II">#REF!</definedName>
    <definedName name="y_2III" localSheetId="8">#REF!</definedName>
    <definedName name="y_2III">#REF!</definedName>
    <definedName name="y_2IV" localSheetId="8">#REF!</definedName>
    <definedName name="y_2IV">#REF!</definedName>
    <definedName name="y_3I" localSheetId="8">#REF!</definedName>
    <definedName name="y_3I">#REF!</definedName>
    <definedName name="y_3II" localSheetId="8">#REF!</definedName>
    <definedName name="y_3II">#REF!</definedName>
    <definedName name="y_3III" localSheetId="8">#REF!</definedName>
    <definedName name="y_3III">#REF!</definedName>
    <definedName name="y_3IV" localSheetId="8">#REF!</definedName>
    <definedName name="y_3IV">#REF!</definedName>
    <definedName name="y_4I" localSheetId="8">#REF!</definedName>
    <definedName name="y_4I">#REF!</definedName>
    <definedName name="y_4II" localSheetId="8">#REF!</definedName>
    <definedName name="y_4II">#REF!</definedName>
    <definedName name="y_4III" localSheetId="8">#REF!</definedName>
    <definedName name="y_4III">#REF!</definedName>
    <definedName name="y_4IV" localSheetId="8">#REF!</definedName>
    <definedName name="y_4IV">#REF!</definedName>
    <definedName name="y_9bI" localSheetId="8">#REF!</definedName>
    <definedName name="y_9bI">#REF!</definedName>
    <definedName name="y_9bII" localSheetId="8">#REF!</definedName>
    <definedName name="y_9bII">#REF!</definedName>
    <definedName name="y_9bIII" localSheetId="8">#REF!</definedName>
    <definedName name="y_9bIII">#REF!</definedName>
    <definedName name="y_9bIV" localSheetId="8">#REF!</definedName>
    <definedName name="y_9bIV">#REF!</definedName>
    <definedName name="y_9I" localSheetId="8">#REF!</definedName>
    <definedName name="y_9I">#REF!</definedName>
    <definedName name="y_9II" localSheetId="8">#REF!</definedName>
    <definedName name="y_9II">#REF!</definedName>
    <definedName name="y_9III" localSheetId="8">#REF!</definedName>
    <definedName name="y_9III">#REF!</definedName>
    <definedName name="y_9IV" localSheetId="8">#REF!</definedName>
    <definedName name="y_9IV">#REF!</definedName>
    <definedName name="y_list">#REF!</definedName>
    <definedName name="yb">#REF!</definedName>
    <definedName name="ycp">#REF!</definedName>
    <definedName name="Yd" localSheetId="4" hidden="1">#REF!</definedName>
    <definedName name="Yd" localSheetId="5" hidden="1">#REF!</definedName>
    <definedName name="Yd" localSheetId="6" hidden="1">#REF!</definedName>
    <definedName name="Yd" localSheetId="7" hidden="1">#REF!</definedName>
    <definedName name="Yd" localSheetId="8" hidden="1">#REF!</definedName>
    <definedName name="Yd" hidden="1">#REF!</definedName>
    <definedName name="Year1">#REF!</definedName>
    <definedName name="Year10">#REF!</definedName>
    <definedName name="Year11">#REF!</definedName>
    <definedName name="Year2">#REF!</definedName>
    <definedName name="Year3">#REF!</definedName>
    <definedName name="Year4">#REF!</definedName>
    <definedName name="Year5">#REF!</definedName>
    <definedName name="Year6">#REF!</definedName>
    <definedName name="Year7">#REF!</definedName>
    <definedName name="Year8">#REF!</definedName>
    <definedName name="Year9">#REF!</definedName>
    <definedName name="YECY">#REF!</definedName>
    <definedName name="Yellow2000" localSheetId="8">#REF!</definedName>
    <definedName name="Yellow2000">#REF!</definedName>
    <definedName name="yi" localSheetId="8">#REF!</definedName>
    <definedName name="yi">#REF!</definedName>
    <definedName name="YMAX" localSheetId="8">#REF!</definedName>
    <definedName name="YMAX">#REF!</definedName>
    <definedName name="YMIN" localSheetId="8">#REF!</definedName>
    <definedName name="YMIN">#REF!</definedName>
    <definedName name="YR0" localSheetId="8">#REF!</definedName>
    <definedName name="YR0">#REF!</definedName>
    <definedName name="YRP" localSheetId="8">#REF!</definedName>
    <definedName name="YRP">#REF!</definedName>
    <definedName name="yt_bq" localSheetId="8">#REF!</definedName>
    <definedName name="yt_bq">#REF!</definedName>
    <definedName name="yt_bv" localSheetId="8">#REF!</definedName>
    <definedName name="yt_bv">#REF!</definedName>
    <definedName name="yt_ck" localSheetId="8">#REF!</definedName>
    <definedName name="yt_ck">#REF!</definedName>
    <definedName name="yt_d1" localSheetId="8">#REF!</definedName>
    <definedName name="yt_d1">#REF!</definedName>
    <definedName name="yt_d2" localSheetId="8">#REF!</definedName>
    <definedName name="yt_d2">#REF!</definedName>
    <definedName name="yt_d3" localSheetId="8">#REF!</definedName>
    <definedName name="yt_d3">#REF!</definedName>
    <definedName name="yt_dl" localSheetId="8">#REF!</definedName>
    <definedName name="yt_dl">#REF!</definedName>
    <definedName name="yt_kcs" localSheetId="8">#REF!</definedName>
    <definedName name="yt_kcs">#REF!</definedName>
    <definedName name="yt_nb" localSheetId="8">#REF!</definedName>
    <definedName name="yt_nb">#REF!</definedName>
    <definedName name="yt_ngio" localSheetId="8">#REF!</definedName>
    <definedName name="yt_ngio">#REF!</definedName>
    <definedName name="yt_nv" localSheetId="8">#REF!</definedName>
    <definedName name="yt_nv">#REF!</definedName>
    <definedName name="yt_t3" localSheetId="8">#REF!</definedName>
    <definedName name="yt_t3">#REF!</definedName>
    <definedName name="yt_t4" localSheetId="8">#REF!</definedName>
    <definedName name="yt_t4">#REF!</definedName>
    <definedName name="yt_t5" localSheetId="8">#REF!</definedName>
    <definedName name="yt_t5">#REF!</definedName>
    <definedName name="yt_t6" localSheetId="8">#REF!</definedName>
    <definedName name="yt_t6">#REF!</definedName>
    <definedName name="yt_tc" localSheetId="8">#REF!</definedName>
    <definedName name="yt_tc">#REF!</definedName>
    <definedName name="yt_tm" localSheetId="8">#REF!</definedName>
    <definedName name="yt_tm">#REF!</definedName>
    <definedName name="yt_vs" localSheetId="8">#REF!</definedName>
    <definedName name="yt_vs">#REF!</definedName>
    <definedName name="yt_xh" localSheetId="8">#REF!</definedName>
    <definedName name="yt_xh">#REF!</definedName>
    <definedName name="YTD1">#REF!</definedName>
    <definedName name="YTD2">#REF!</definedName>
    <definedName name="YTG1">#REF!</definedName>
    <definedName name="YTG2">#REF!</definedName>
    <definedName name="Yu" localSheetId="4" hidden="1">#REF!</definedName>
    <definedName name="Yu" localSheetId="5" hidden="1">#REF!</definedName>
    <definedName name="Yu" localSheetId="6" hidden="1">#REF!</definedName>
    <definedName name="Yu" localSheetId="7" hidden="1">#REF!</definedName>
    <definedName name="Yu" localSheetId="8" hidden="1">#REF!</definedName>
    <definedName name="Yu" hidden="1">#REF!</definedName>
    <definedName name="yy" localSheetId="8">#REF!</definedName>
    <definedName name="yy">#REF!</definedName>
    <definedName name="Z" localSheetId="8">#REF!</definedName>
    <definedName name="Z">#REF!</definedName>
    <definedName name="Z_" localSheetId="8">#REF!</definedName>
    <definedName name="Z_">#REF!</definedName>
    <definedName name="Z_B6D82DE0_6701_11DA_9820_00304F1E4471_.wvu.Cols" localSheetId="4" hidden="1">#REF!</definedName>
    <definedName name="Z_B6D82DE0_6701_11DA_9820_00304F1E4471_.wvu.Cols" localSheetId="5" hidden="1">#REF!</definedName>
    <definedName name="Z_B6D82DE0_6701_11DA_9820_00304F1E4471_.wvu.Cols" localSheetId="6" hidden="1">#REF!</definedName>
    <definedName name="Z_B6D82DE0_6701_11DA_9820_00304F1E4471_.wvu.Cols" localSheetId="7" hidden="1">#REF!</definedName>
    <definedName name="Z_B6D82DE0_6701_11DA_9820_00304F1E4471_.wvu.Cols" localSheetId="8" hidden="1">#REF!</definedName>
    <definedName name="Z_B6D82DE0_6701_11DA_9820_00304F1E4471_.wvu.Cols" hidden="1">#REF!</definedName>
    <definedName name="Z_dh" localSheetId="8">#REF!</definedName>
    <definedName name="Z_dh">#REF!</definedName>
    <definedName name="Z0" localSheetId="8">#REF!</definedName>
    <definedName name="Z0">#REF!</definedName>
    <definedName name="z112.4.3">#REF!</definedName>
    <definedName name="ZXzX" localSheetId="1" hidden="1">{"'Sheet1'!$L$16"}</definedName>
    <definedName name="ZXzX" localSheetId="2" hidden="1">{"'Sheet1'!$L$16"}</definedName>
    <definedName name="ZXzX" localSheetId="3" hidden="1">{"'Sheet1'!$L$16"}</definedName>
    <definedName name="ZXzX" localSheetId="4" hidden="1">{"'Sheet1'!$L$16"}</definedName>
    <definedName name="ZXzX" localSheetId="5" hidden="1">{"'Sheet1'!$L$16"}</definedName>
    <definedName name="ZXzX" localSheetId="6" hidden="1">{"'Sheet1'!$L$16"}</definedName>
    <definedName name="ZXzX" localSheetId="7" hidden="1">{"'Sheet1'!$L$16"}</definedName>
    <definedName name="ZXzX" localSheetId="8" hidden="1">{"'Sheet1'!$L$16"}</definedName>
    <definedName name="ZXzX" hidden="1">{"'Sheet1'!$L$16"}</definedName>
    <definedName name="ZYX" localSheetId="8">#REF!</definedName>
    <definedName name="ZYX">#REF!</definedName>
    <definedName name="ZZZ" localSheetId="8">#REF!</definedName>
    <definedName name="ZZZ">#REF!</definedName>
    <definedName name="マニラ②" hidden="1">#REF!</definedName>
    <definedName name="견적" localSheetId="1" hidden="1">{#N/A,#N/A,FALSE,"CCTV"}</definedName>
    <definedName name="견적" localSheetId="2" hidden="1">{#N/A,#N/A,FALSE,"CCTV"}</definedName>
    <definedName name="견적" localSheetId="4" hidden="1">{#N/A,#N/A,FALSE,"CCTV"}</definedName>
    <definedName name="견적" localSheetId="5" hidden="1">{#N/A,#N/A,FALSE,"CCTV"}</definedName>
    <definedName name="견적" localSheetId="6" hidden="1">{#N/A,#N/A,FALSE,"CCTV"}</definedName>
    <definedName name="견적" localSheetId="7" hidden="1">{#N/A,#N/A,FALSE,"CCTV"}</definedName>
    <definedName name="견적" localSheetId="8" hidden="1">{#N/A,#N/A,FALSE,"CCTV"}</definedName>
    <definedName name="견적" hidden="1">{#N/A,#N/A,FALSE,"CCTV"}</definedName>
    <definedName name="견적2" localSheetId="1" hidden="1">{#N/A,#N/A,FALSE,"CCTV"}</definedName>
    <definedName name="견적2" localSheetId="2" hidden="1">{#N/A,#N/A,FALSE,"CCTV"}</definedName>
    <definedName name="견적2" localSheetId="4" hidden="1">{#N/A,#N/A,FALSE,"CCTV"}</definedName>
    <definedName name="견적2" localSheetId="5" hidden="1">{#N/A,#N/A,FALSE,"CCTV"}</definedName>
    <definedName name="견적2" localSheetId="6" hidden="1">{#N/A,#N/A,FALSE,"CCTV"}</definedName>
    <definedName name="견적2" localSheetId="7" hidden="1">{#N/A,#N/A,FALSE,"CCTV"}</definedName>
    <definedName name="견적2" localSheetId="8" hidden="1">{#N/A,#N/A,FALSE,"CCTV"}</definedName>
    <definedName name="견적2" hidden="1">{#N/A,#N/A,FALSE,"CCTV"}</definedName>
    <definedName name="견적SHEET" localSheetId="1" hidden="1">{#N/A,#N/A,FALSE,"CCTV"}</definedName>
    <definedName name="견적SHEET" localSheetId="2" hidden="1">{#N/A,#N/A,FALSE,"CCTV"}</definedName>
    <definedName name="견적SHEET" localSheetId="4" hidden="1">{#N/A,#N/A,FALSE,"CCTV"}</definedName>
    <definedName name="견적SHEET" localSheetId="5" hidden="1">{#N/A,#N/A,FALSE,"CCTV"}</definedName>
    <definedName name="견적SHEET" localSheetId="6" hidden="1">{#N/A,#N/A,FALSE,"CCTV"}</definedName>
    <definedName name="견적SHEET" localSheetId="7" hidden="1">{#N/A,#N/A,FALSE,"CCTV"}</definedName>
    <definedName name="견적SHEET" localSheetId="8" hidden="1">{#N/A,#N/A,FALSE,"CCTV"}</definedName>
    <definedName name="견적SHEET" hidden="1">{#N/A,#N/A,FALSE,"CCTV"}</definedName>
    <definedName name="래그" localSheetId="1" hidden="1">{#N/A,#N/A,FALSE,"CCTV"}</definedName>
    <definedName name="래그" localSheetId="2" hidden="1">{#N/A,#N/A,FALSE,"CCTV"}</definedName>
    <definedName name="래그" localSheetId="4" hidden="1">{#N/A,#N/A,FALSE,"CCTV"}</definedName>
    <definedName name="래그" localSheetId="5" hidden="1">{#N/A,#N/A,FALSE,"CCTV"}</definedName>
    <definedName name="래그" localSheetId="6" hidden="1">{#N/A,#N/A,FALSE,"CCTV"}</definedName>
    <definedName name="래그" localSheetId="7" hidden="1">{#N/A,#N/A,FALSE,"CCTV"}</definedName>
    <definedName name="래그" localSheetId="8" hidden="1">{#N/A,#N/A,FALSE,"CCTV"}</definedName>
    <definedName name="래그" hidden="1">{#N/A,#N/A,FALSE,"CCTV"}</definedName>
    <definedName name="샘풀카피" localSheetId="1" hidden="1">{#N/A,#N/A,FALSE,"CCTV"}</definedName>
    <definedName name="샘풀카피" localSheetId="2" hidden="1">{#N/A,#N/A,FALSE,"CCTV"}</definedName>
    <definedName name="샘풀카피" localSheetId="4" hidden="1">{#N/A,#N/A,FALSE,"CCTV"}</definedName>
    <definedName name="샘풀카피" localSheetId="5" hidden="1">{#N/A,#N/A,FALSE,"CCTV"}</definedName>
    <definedName name="샘풀카피" localSheetId="6" hidden="1">{#N/A,#N/A,FALSE,"CCTV"}</definedName>
    <definedName name="샘풀카피" localSheetId="7" hidden="1">{#N/A,#N/A,FALSE,"CCTV"}</definedName>
    <definedName name="샘풀카피" localSheetId="8" hidden="1">{#N/A,#N/A,FALSE,"CCTV"}</definedName>
    <definedName name="샘풀카피" hidden="1">{#N/A,#N/A,FALSE,"CCTV"}</definedName>
    <definedName name="샘플카피2" localSheetId="1" hidden="1">{#N/A,#N/A,FALSE,"CCTV"}</definedName>
    <definedName name="샘플카피2" localSheetId="2" hidden="1">{#N/A,#N/A,FALSE,"CCTV"}</definedName>
    <definedName name="샘플카피2" localSheetId="4" hidden="1">{#N/A,#N/A,FALSE,"CCTV"}</definedName>
    <definedName name="샘플카피2" localSheetId="5" hidden="1">{#N/A,#N/A,FALSE,"CCTV"}</definedName>
    <definedName name="샘플카피2" localSheetId="6" hidden="1">{#N/A,#N/A,FALSE,"CCTV"}</definedName>
    <definedName name="샘플카피2" localSheetId="7" hidden="1">{#N/A,#N/A,FALSE,"CCTV"}</definedName>
    <definedName name="샘플카피2" localSheetId="8" hidden="1">{#N/A,#N/A,FALSE,"CCTV"}</definedName>
    <definedName name="샘플카피2" hidden="1">{#N/A,#N/A,FALSE,"CCTV"}</definedName>
    <definedName name="샘플카피3" localSheetId="1" hidden="1">{#N/A,#N/A,FALSE,"CCTV"}</definedName>
    <definedName name="샘플카피3" localSheetId="2" hidden="1">{#N/A,#N/A,FALSE,"CCTV"}</definedName>
    <definedName name="샘플카피3" localSheetId="4" hidden="1">{#N/A,#N/A,FALSE,"CCTV"}</definedName>
    <definedName name="샘플카피3" localSheetId="5" hidden="1">{#N/A,#N/A,FALSE,"CCTV"}</definedName>
    <definedName name="샘플카피3" localSheetId="6" hidden="1">{#N/A,#N/A,FALSE,"CCTV"}</definedName>
    <definedName name="샘플카피3" localSheetId="7" hidden="1">{#N/A,#N/A,FALSE,"CCTV"}</definedName>
    <definedName name="샘플카피3" localSheetId="8" hidden="1">{#N/A,#N/A,FALSE,"CCTV"}</definedName>
    <definedName name="샘플카피3" hidden="1">{#N/A,#N/A,FALSE,"CCTV"}</definedName>
    <definedName name="用_____途" localSheetId="8">#REF!</definedName>
    <definedName name="用_____途">#REF!</definedName>
  </definedNames>
  <calcPr calcId="191028" calcMode="autoNoTable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3" l="1"/>
  <c r="M12" i="6"/>
  <c r="H27" i="9"/>
  <c r="G27" i="9"/>
  <c r="F27" i="9"/>
  <c r="E27" i="9"/>
  <c r="H26" i="9"/>
  <c r="G26" i="9"/>
  <c r="F26" i="9"/>
  <c r="E26" i="9"/>
  <c r="D26" i="9"/>
  <c r="S9" i="32"/>
  <c r="R9" i="32"/>
  <c r="P9" i="32"/>
  <c r="O9" i="32"/>
  <c r="N9" i="32"/>
  <c r="M9" i="32"/>
  <c r="I11" i="3"/>
  <c r="I9" i="3"/>
  <c r="I8" i="3"/>
  <c r="O8" i="6" l="1" a="1"/>
  <c r="O8" i="6" s="1"/>
  <c r="O9" i="6" a="1"/>
  <c r="O9" i="6" s="1"/>
  <c r="O11" i="6" a="1"/>
  <c r="O11" i="6" s="1"/>
  <c r="O10" i="6" a="1"/>
  <c r="O10" i="6" s="1"/>
  <c r="G7" i="9"/>
  <c r="B7" i="10"/>
  <c r="A12" i="10"/>
  <c r="A17" i="10" s="1"/>
  <c r="G20" i="9"/>
  <c r="G5" i="9"/>
  <c r="R10" i="6"/>
  <c r="I10" i="6"/>
  <c r="H20" i="9"/>
  <c r="F20" i="9"/>
  <c r="E20" i="9"/>
  <c r="H7" i="9"/>
  <c r="F7" i="9"/>
  <c r="E7" i="9"/>
  <c r="R11" i="6"/>
  <c r="S11" i="6" s="1"/>
  <c r="T11" i="6" s="1"/>
  <c r="U11" i="6" s="1"/>
  <c r="V11" i="6" s="1"/>
  <c r="W11" i="6" s="1"/>
  <c r="R9" i="6"/>
  <c r="S9" i="6" s="1"/>
  <c r="T9" i="6" s="1"/>
  <c r="U9" i="6" s="1"/>
  <c r="V9" i="6" s="1"/>
  <c r="W9" i="6" s="1"/>
  <c r="X9" i="6" s="1"/>
  <c r="Y9" i="6" s="1"/>
  <c r="L12" i="6"/>
  <c r="E31" i="8"/>
  <c r="F31" i="8"/>
  <c r="G31" i="8"/>
  <c r="H31" i="8"/>
  <c r="I31" i="8"/>
  <c r="J31" i="8"/>
  <c r="K31" i="8"/>
  <c r="L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J31" i="8"/>
  <c r="AK31" i="8"/>
  <c r="AL31" i="8"/>
  <c r="AM31" i="8"/>
  <c r="AN31" i="8"/>
  <c r="AO31" i="8"/>
  <c r="AP31" i="8"/>
  <c r="AQ31" i="8"/>
  <c r="AR31" i="8"/>
  <c r="E39" i="8"/>
  <c r="F39" i="8"/>
  <c r="G39" i="8"/>
  <c r="H39" i="8"/>
  <c r="I39" i="8"/>
  <c r="J39" i="8"/>
  <c r="K39" i="8"/>
  <c r="L39" i="8"/>
  <c r="M39" i="8"/>
  <c r="N39" i="8"/>
  <c r="O39" i="8"/>
  <c r="P39" i="8"/>
  <c r="AG39" i="8"/>
  <c r="AH39" i="8"/>
  <c r="AI39" i="8"/>
  <c r="AJ39" i="8"/>
  <c r="AK39" i="8"/>
  <c r="AL39" i="8"/>
  <c r="AM39" i="8"/>
  <c r="AN39" i="8"/>
  <c r="AO39" i="8"/>
  <c r="AP39" i="8"/>
  <c r="AQ39" i="8"/>
  <c r="AR39" i="8"/>
  <c r="E19" i="32"/>
  <c r="F19" i="32"/>
  <c r="G19" i="32"/>
  <c r="J19" i="32"/>
  <c r="K19" i="32"/>
  <c r="L19" i="32"/>
  <c r="M19" i="32"/>
  <c r="N19" i="32"/>
  <c r="O19" i="32"/>
  <c r="P19" i="32"/>
  <c r="Q19" i="32"/>
  <c r="R19" i="32"/>
  <c r="S19" i="32"/>
  <c r="T19" i="32"/>
  <c r="U19" i="32"/>
  <c r="V19" i="32"/>
  <c r="W19" i="32"/>
  <c r="X19" i="32"/>
  <c r="Y19" i="32"/>
  <c r="Z19" i="32"/>
  <c r="AA19" i="32"/>
  <c r="AB19" i="32"/>
  <c r="AC19" i="32"/>
  <c r="AD19" i="32"/>
  <c r="AE19" i="32"/>
  <c r="AF19" i="32"/>
  <c r="AG19" i="32"/>
  <c r="E17" i="32"/>
  <c r="F17" i="32"/>
  <c r="G17" i="32"/>
  <c r="H17" i="32"/>
  <c r="I17" i="32"/>
  <c r="J17" i="32"/>
  <c r="K17" i="32"/>
  <c r="L17" i="32"/>
  <c r="M17" i="32"/>
  <c r="N17" i="32"/>
  <c r="O17" i="32"/>
  <c r="P17" i="32"/>
  <c r="AG17" i="32"/>
  <c r="AH17" i="32"/>
  <c r="AI17" i="32"/>
  <c r="AJ17" i="32"/>
  <c r="AK17" i="32"/>
  <c r="AL17" i="32"/>
  <c r="AM17" i="32"/>
  <c r="AN17" i="32"/>
  <c r="AO17" i="32"/>
  <c r="AP17" i="32"/>
  <c r="AQ17" i="32"/>
  <c r="AR17" i="32"/>
  <c r="E8" i="32"/>
  <c r="F8" i="32"/>
  <c r="G8" i="32"/>
  <c r="H8" i="32"/>
  <c r="I8" i="32"/>
  <c r="J8" i="32"/>
  <c r="K8" i="32"/>
  <c r="L8" i="32"/>
  <c r="U8" i="32"/>
  <c r="V8" i="32"/>
  <c r="W8" i="32"/>
  <c r="X8" i="32"/>
  <c r="Y8" i="32"/>
  <c r="Z8" i="32"/>
  <c r="AA8" i="32"/>
  <c r="AB8" i="32"/>
  <c r="AC8" i="32"/>
  <c r="AD8" i="32"/>
  <c r="AE8" i="32"/>
  <c r="AF8" i="32"/>
  <c r="AG8" i="32"/>
  <c r="AH8" i="32"/>
  <c r="AI8" i="32"/>
  <c r="AJ8" i="32"/>
  <c r="AK8" i="32"/>
  <c r="AL8" i="32"/>
  <c r="AM8" i="32"/>
  <c r="AN8" i="32"/>
  <c r="AO8" i="32"/>
  <c r="AP8" i="32"/>
  <c r="AQ8" i="32"/>
  <c r="AR8" i="32"/>
  <c r="E11" i="32"/>
  <c r="F11" i="32"/>
  <c r="G11" i="32"/>
  <c r="H11" i="32"/>
  <c r="I11" i="32"/>
  <c r="J11" i="32"/>
  <c r="K11" i="32"/>
  <c r="L11" i="32"/>
  <c r="U11" i="32"/>
  <c r="V11" i="32"/>
  <c r="W11" i="32"/>
  <c r="X11" i="32"/>
  <c r="Y11" i="32"/>
  <c r="Z11" i="32"/>
  <c r="AA11" i="32"/>
  <c r="AB11" i="32"/>
  <c r="AC11" i="32"/>
  <c r="AD11" i="32"/>
  <c r="AE11" i="32"/>
  <c r="AF11" i="32"/>
  <c r="AG11" i="32"/>
  <c r="AH11" i="32"/>
  <c r="AI11" i="32"/>
  <c r="AJ11" i="32"/>
  <c r="AK11" i="32"/>
  <c r="AL11" i="32"/>
  <c r="AM11" i="32"/>
  <c r="AN11" i="32"/>
  <c r="AO11" i="32"/>
  <c r="AP11" i="32"/>
  <c r="AQ11" i="32"/>
  <c r="AR11" i="32"/>
  <c r="E33" i="8"/>
  <c r="F33" i="8"/>
  <c r="G33" i="8"/>
  <c r="H33" i="8"/>
  <c r="I33" i="8"/>
  <c r="J33" i="8"/>
  <c r="K33" i="8"/>
  <c r="L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J33" i="8"/>
  <c r="AK33" i="8"/>
  <c r="AL33" i="8"/>
  <c r="AM33" i="8"/>
  <c r="AN33" i="8"/>
  <c r="AO33" i="8"/>
  <c r="AP33" i="8"/>
  <c r="AQ33" i="8"/>
  <c r="AR33" i="8"/>
  <c r="E9" i="8"/>
  <c r="F9" i="8"/>
  <c r="G9" i="8"/>
  <c r="H9" i="8"/>
  <c r="I9" i="8"/>
  <c r="J9" i="8"/>
  <c r="K9" i="8"/>
  <c r="L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J9" i="8"/>
  <c r="AK9" i="8"/>
  <c r="AL9" i="8"/>
  <c r="AM9" i="8"/>
  <c r="AN9" i="8"/>
  <c r="AO9" i="8"/>
  <c r="AP9" i="8"/>
  <c r="AQ9" i="8"/>
  <c r="AR9" i="8"/>
  <c r="E8" i="8"/>
  <c r="F8" i="8"/>
  <c r="G8" i="8"/>
  <c r="H8" i="8"/>
  <c r="I8" i="8"/>
  <c r="J8" i="8"/>
  <c r="K8" i="8"/>
  <c r="L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J8" i="8"/>
  <c r="AK8" i="8"/>
  <c r="AL8" i="8"/>
  <c r="AM8" i="8"/>
  <c r="AN8" i="8"/>
  <c r="AO8" i="8"/>
  <c r="AP8" i="8"/>
  <c r="AQ8" i="8"/>
  <c r="AR8" i="8"/>
  <c r="E36" i="8"/>
  <c r="F36" i="8"/>
  <c r="G36" i="8"/>
  <c r="H36" i="8"/>
  <c r="I36" i="8"/>
  <c r="J36" i="8"/>
  <c r="K36" i="8"/>
  <c r="L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J36" i="8"/>
  <c r="AK36" i="8"/>
  <c r="AL36" i="8"/>
  <c r="AM36" i="8"/>
  <c r="AN36" i="8"/>
  <c r="AO36" i="8"/>
  <c r="AP36" i="8"/>
  <c r="AQ36" i="8"/>
  <c r="AR36" i="8"/>
  <c r="AH14" i="32"/>
  <c r="AG14" i="32"/>
  <c r="AF14" i="32"/>
  <c r="AE14" i="32"/>
  <c r="AL14" i="32"/>
  <c r="AK14" i="32"/>
  <c r="AJ14" i="32"/>
  <c r="AI14" i="32"/>
  <c r="AP14" i="32"/>
  <c r="AO14" i="32"/>
  <c r="AN14" i="32"/>
  <c r="AM14" i="32"/>
  <c r="B8" i="10"/>
  <c r="B5" i="10"/>
  <c r="B6" i="10"/>
  <c r="L13" i="4"/>
  <c r="M13" i="4"/>
  <c r="N13" i="4"/>
  <c r="O13" i="4"/>
  <c r="P13" i="4"/>
  <c r="Q13" i="4"/>
  <c r="R13" i="4"/>
  <c r="S13" i="4"/>
  <c r="AB13" i="4"/>
  <c r="AC13" i="4"/>
  <c r="AD13" i="4"/>
  <c r="AE13" i="4"/>
  <c r="AF13" i="4"/>
  <c r="AG13" i="4"/>
  <c r="AH13" i="4"/>
  <c r="AI13" i="4"/>
  <c r="AJ13" i="4"/>
  <c r="AK13" i="4"/>
  <c r="AL13" i="4"/>
  <c r="AM13" i="4"/>
  <c r="AN13" i="4"/>
  <c r="AO13" i="4"/>
  <c r="AP13" i="4"/>
  <c r="AQ13" i="4"/>
  <c r="AR13" i="4"/>
  <c r="AS13" i="4"/>
  <c r="AT13" i="4"/>
  <c r="AU13" i="4"/>
  <c r="AV13" i="4"/>
  <c r="AW13" i="4"/>
  <c r="AX13" i="4"/>
  <c r="AY13" i="4"/>
  <c r="G20" i="7"/>
  <c r="H20" i="7"/>
  <c r="I20" i="7"/>
  <c r="J20" i="7"/>
  <c r="K20" i="7"/>
  <c r="L20" i="7"/>
  <c r="M20" i="7"/>
  <c r="H5" i="9"/>
  <c r="F5" i="9"/>
  <c r="E5" i="9"/>
  <c r="P10" i="6" l="1"/>
  <c r="X11" i="6"/>
  <c r="Y11" i="6" s="1"/>
  <c r="B17" i="10"/>
  <c r="B12" i="10"/>
  <c r="S10" i="6"/>
  <c r="T10" i="6" s="1"/>
  <c r="U10" i="6" s="1"/>
  <c r="V10" i="6" s="1"/>
  <c r="W10" i="6" s="1"/>
  <c r="X10" i="6" s="1"/>
  <c r="B15" i="10"/>
  <c r="B18" i="10"/>
  <c r="B16" i="10"/>
  <c r="B11" i="10"/>
  <c r="B10" i="10"/>
  <c r="B13" i="10"/>
  <c r="K4" i="7"/>
  <c r="L4" i="7" s="1"/>
  <c r="M4" i="7" s="1"/>
  <c r="N4" i="7" s="1"/>
  <c r="O4" i="7" s="1"/>
  <c r="P4" i="7" s="1"/>
  <c r="Q4" i="7" s="1"/>
  <c r="R4" i="7" s="1"/>
  <c r="S4" i="7" s="1"/>
  <c r="T4" i="7" s="1"/>
  <c r="U4" i="7" s="1"/>
  <c r="V4" i="7" s="1"/>
  <c r="W4" i="7" s="1"/>
  <c r="X4" i="7" s="1"/>
  <c r="Y4" i="7" s="1"/>
  <c r="Z4" i="7" s="1"/>
  <c r="AA4" i="7" s="1"/>
  <c r="AB4" i="7" s="1"/>
  <c r="AC4" i="7" s="1"/>
  <c r="AD4" i="7" s="1"/>
  <c r="AE4" i="7" s="1"/>
  <c r="AF4" i="7" s="1"/>
  <c r="AG4" i="7" s="1"/>
  <c r="AH4" i="7" s="1"/>
  <c r="AI4" i="7" s="1"/>
  <c r="AJ4" i="7" s="1"/>
  <c r="AK4" i="7" s="1"/>
  <c r="AL4" i="7" s="1"/>
  <c r="AM4" i="7" s="1"/>
  <c r="AN4" i="7" s="1"/>
  <c r="AO4" i="7" s="1"/>
  <c r="AP4" i="7" s="1"/>
  <c r="AQ4" i="7" s="1"/>
  <c r="AR4" i="7" s="1"/>
  <c r="AS4" i="7" s="1"/>
  <c r="GK4" i="6"/>
  <c r="GL4" i="6"/>
  <c r="GQ4" i="6"/>
  <c r="GJ4" i="6"/>
  <c r="AM9" i="4"/>
  <c r="AL9" i="4"/>
  <c r="AK9" i="4"/>
  <c r="AJ9" i="4"/>
  <c r="AM8" i="4"/>
  <c r="AL8" i="4"/>
  <c r="AK8" i="4"/>
  <c r="AJ8" i="4"/>
  <c r="AM7" i="4"/>
  <c r="AL7" i="4"/>
  <c r="AL6" i="4" s="1"/>
  <c r="AK7" i="4"/>
  <c r="AK6" i="4" s="1"/>
  <c r="AJ7" i="4"/>
  <c r="AJ6" i="4"/>
  <c r="AM5" i="4"/>
  <c r="GM4" i="6" s="1"/>
  <c r="AL5" i="4"/>
  <c r="AK5" i="4"/>
  <c r="AJ5" i="4"/>
  <c r="AQ9" i="4"/>
  <c r="AP9" i="4"/>
  <c r="AO9" i="4"/>
  <c r="AN9" i="4"/>
  <c r="AQ8" i="4"/>
  <c r="AP8" i="4"/>
  <c r="AO8" i="4"/>
  <c r="AN8" i="4"/>
  <c r="AQ7" i="4"/>
  <c r="AP7" i="4"/>
  <c r="AO7" i="4"/>
  <c r="AN7" i="4"/>
  <c r="AQ5" i="4"/>
  <c r="AP5" i="4"/>
  <c r="GP4" i="6" s="1"/>
  <c r="AO5" i="4"/>
  <c r="GO4" i="6" s="1"/>
  <c r="AN5" i="4"/>
  <c r="GN4" i="6" s="1"/>
  <c r="AU9" i="4"/>
  <c r="AT9" i="4"/>
  <c r="AS9" i="4"/>
  <c r="AR9" i="4"/>
  <c r="AU8" i="4"/>
  <c r="AT8" i="4"/>
  <c r="AS8" i="4"/>
  <c r="AR8" i="4"/>
  <c r="AU7" i="4"/>
  <c r="AT7" i="4"/>
  <c r="AS7" i="4"/>
  <c r="AR7" i="4"/>
  <c r="AU5" i="4"/>
  <c r="GU4" i="6" s="1"/>
  <c r="AT5" i="4"/>
  <c r="GT4" i="6" s="1"/>
  <c r="AS5" i="4"/>
  <c r="GS4" i="6" s="1"/>
  <c r="AR5" i="4"/>
  <c r="GR4" i="6" s="1"/>
  <c r="AX5" i="3"/>
  <c r="AT5" i="3"/>
  <c r="AP5" i="3"/>
  <c r="AL5" i="3"/>
  <c r="AO6" i="3"/>
  <c r="AO12" i="3" s="1"/>
  <c r="AN6" i="3"/>
  <c r="AN12" i="3" s="1"/>
  <c r="AM6" i="3"/>
  <c r="AM12" i="3" s="1"/>
  <c r="AL6" i="3"/>
  <c r="AL12" i="3" s="1"/>
  <c r="AS6" i="3"/>
  <c r="AS12" i="3" s="1"/>
  <c r="AR6" i="3"/>
  <c r="AR12" i="3" s="1"/>
  <c r="AQ6" i="3"/>
  <c r="AQ12" i="3" s="1"/>
  <c r="AP6" i="3"/>
  <c r="AP12" i="3" s="1"/>
  <c r="AW6" i="3"/>
  <c r="AW12" i="3" s="1"/>
  <c r="AV6" i="3"/>
  <c r="AV12" i="3" s="1"/>
  <c r="AU6" i="3"/>
  <c r="AU12" i="3" s="1"/>
  <c r="AT6" i="3"/>
  <c r="AT12" i="3" s="1"/>
  <c r="Y10" i="6" l="1"/>
  <c r="AB10" i="6" s="1"/>
  <c r="Q10" i="6"/>
  <c r="AL6" i="7"/>
  <c r="FU3" i="10"/>
  <c r="AM6" i="7"/>
  <c r="FV3" i="10"/>
  <c r="FO3" i="10"/>
  <c r="AF6" i="7"/>
  <c r="FN3" i="10"/>
  <c r="AE6" i="7"/>
  <c r="AJ6" i="7"/>
  <c r="FS3" i="10"/>
  <c r="AG6" i="7"/>
  <c r="FP3" i="10"/>
  <c r="AN6" i="7"/>
  <c r="FW3" i="10"/>
  <c r="FM3" i="10"/>
  <c r="AD6" i="7"/>
  <c r="AO6" i="7"/>
  <c r="FX3" i="10"/>
  <c r="AK6" i="7"/>
  <c r="FT3" i="10"/>
  <c r="AH6" i="7"/>
  <c r="FQ3" i="10"/>
  <c r="AI6" i="7"/>
  <c r="FR3" i="10"/>
  <c r="AO6" i="4"/>
  <c r="AS6" i="4"/>
  <c r="AM6" i="4"/>
  <c r="AP6" i="4"/>
  <c r="AR6" i="4"/>
  <c r="AT6" i="4"/>
  <c r="AN6" i="4"/>
  <c r="AU6" i="4"/>
  <c r="AQ6" i="4"/>
  <c r="R8" i="6"/>
  <c r="S8" i="6" s="1"/>
  <c r="T8" i="6" s="1"/>
  <c r="U8" i="6" s="1"/>
  <c r="V8" i="6" s="1"/>
  <c r="W8" i="6" s="1"/>
  <c r="I8" i="6"/>
  <c r="I9" i="6"/>
  <c r="I11" i="6"/>
  <c r="AI6" i="3"/>
  <c r="AJ6" i="3"/>
  <c r="AK6" i="3"/>
  <c r="AX6" i="3"/>
  <c r="AV7" i="4" s="1"/>
  <c r="AY6" i="3"/>
  <c r="AW7" i="4" s="1"/>
  <c r="AZ6" i="3"/>
  <c r="AX7" i="4" s="1"/>
  <c r="BA6" i="3"/>
  <c r="AY7" i="4" s="1"/>
  <c r="AG7" i="4"/>
  <c r="AH7" i="4"/>
  <c r="AI7" i="4"/>
  <c r="V9" i="3"/>
  <c r="W9" i="3" s="1"/>
  <c r="X9" i="3" s="1"/>
  <c r="Y9" i="3" s="1"/>
  <c r="Z9" i="3" s="1"/>
  <c r="AA9" i="3" s="1"/>
  <c r="AB9" i="3" s="1"/>
  <c r="AC9" i="3" s="1"/>
  <c r="V8" i="3"/>
  <c r="W8" i="3" s="1"/>
  <c r="X8" i="3" s="1"/>
  <c r="Y8" i="3" s="1"/>
  <c r="Z8" i="3" s="1"/>
  <c r="AA8" i="3" s="1"/>
  <c r="V7" i="3"/>
  <c r="N6" i="3"/>
  <c r="L7" i="4" s="1"/>
  <c r="O6" i="3"/>
  <c r="M7" i="4" s="1"/>
  <c r="P6" i="3"/>
  <c r="N7" i="4" s="1"/>
  <c r="Q6" i="3"/>
  <c r="O7" i="4" s="1"/>
  <c r="R6" i="3"/>
  <c r="P7" i="4" s="1"/>
  <c r="S6" i="3"/>
  <c r="Q7" i="4" s="1"/>
  <c r="T6" i="3"/>
  <c r="R7" i="4" s="1"/>
  <c r="U6" i="3"/>
  <c r="S7" i="4" s="1"/>
  <c r="AD6" i="3"/>
  <c r="AB7" i="4" s="1"/>
  <c r="AE6" i="3"/>
  <c r="AC7" i="4" s="1"/>
  <c r="AF6" i="3"/>
  <c r="AD7" i="4" s="1"/>
  <c r="AG6" i="3"/>
  <c r="AE7" i="4" s="1"/>
  <c r="AH6" i="3"/>
  <c r="AF7" i="4" s="1"/>
  <c r="M6" i="3"/>
  <c r="G10" i="4"/>
  <c r="T10" i="4" s="1"/>
  <c r="V11" i="3"/>
  <c r="I10" i="3"/>
  <c r="I6" i="3"/>
  <c r="G9" i="3"/>
  <c r="D13" i="9" s="1"/>
  <c r="G8" i="3"/>
  <c r="D12" i="9" s="1"/>
  <c r="F13" i="9" l="1"/>
  <c r="G13" i="9"/>
  <c r="H13" i="9"/>
  <c r="E13" i="9"/>
  <c r="H12" i="9"/>
  <c r="E12" i="9"/>
  <c r="F12" i="9"/>
  <c r="G12" i="9"/>
  <c r="D12" i="10"/>
  <c r="D17" i="10"/>
  <c r="D7" i="10"/>
  <c r="X8" i="6"/>
  <c r="Y8" i="6" s="1"/>
  <c r="P8" i="6"/>
  <c r="AI22" i="7"/>
  <c r="AH5" i="32"/>
  <c r="AH5" i="8"/>
  <c r="AF5" i="32"/>
  <c r="AG22" i="7"/>
  <c r="AF5" i="8"/>
  <c r="AE5" i="32"/>
  <c r="AF22" i="7"/>
  <c r="AE5" i="8"/>
  <c r="AN5" i="32"/>
  <c r="AN5" i="8"/>
  <c r="AO22" i="7"/>
  <c r="AC5" i="8"/>
  <c r="AC5" i="32"/>
  <c r="AD22" i="7"/>
  <c r="AL5" i="8"/>
  <c r="AL5" i="32"/>
  <c r="AM22" i="7"/>
  <c r="AG5" i="8"/>
  <c r="AG5" i="32"/>
  <c r="AH22" i="7"/>
  <c r="AI5" i="8"/>
  <c r="AJ22" i="7"/>
  <c r="AI5" i="32"/>
  <c r="AD5" i="32"/>
  <c r="AE22" i="7"/>
  <c r="AD5" i="8"/>
  <c r="AJ5" i="8"/>
  <c r="AK22" i="7"/>
  <c r="AJ5" i="32"/>
  <c r="AM5" i="32"/>
  <c r="AM5" i="8"/>
  <c r="AN22" i="7"/>
  <c r="AK5" i="32"/>
  <c r="AK5" i="8"/>
  <c r="AL22" i="7"/>
  <c r="M36" i="8"/>
  <c r="M9" i="8"/>
  <c r="V6" i="3"/>
  <c r="W7" i="3"/>
  <c r="X7" i="3" s="1"/>
  <c r="Y7" i="3" s="1"/>
  <c r="Z7" i="3" s="1"/>
  <c r="AA7" i="3" s="1"/>
  <c r="AB7" i="3" s="1"/>
  <c r="AC7" i="3" s="1"/>
  <c r="P9" i="6"/>
  <c r="P11" i="6"/>
  <c r="W11" i="3"/>
  <c r="X11" i="3" s="1"/>
  <c r="Y11" i="3" s="1"/>
  <c r="Z11" i="3" s="1"/>
  <c r="AA11" i="3" s="1"/>
  <c r="AB11" i="3" s="1"/>
  <c r="AC11" i="3" s="1"/>
  <c r="AB8" i="3"/>
  <c r="AC8" i="3" s="1"/>
  <c r="I12" i="3"/>
  <c r="P12" i="6" l="1"/>
  <c r="AI28" i="8"/>
  <c r="AI27" i="8" s="1"/>
  <c r="AI4" i="8"/>
  <c r="AT14" i="4"/>
  <c r="AT15" i="4" s="1"/>
  <c r="AM34" i="8"/>
  <c r="AN14" i="4"/>
  <c r="AN15" i="4" s="1"/>
  <c r="AG34" i="8"/>
  <c r="AE28" i="8"/>
  <c r="AE27" i="8" s="1"/>
  <c r="AE4" i="8"/>
  <c r="AM4" i="8"/>
  <c r="AM28" i="8"/>
  <c r="AM27" i="8" s="1"/>
  <c r="AQ14" i="4"/>
  <c r="AQ15" i="4" s="1"/>
  <c r="AJ34" i="8"/>
  <c r="AJ28" i="8"/>
  <c r="AJ27" i="8" s="1"/>
  <c r="AJ4" i="8"/>
  <c r="AS14" i="4"/>
  <c r="AS15" i="4" s="1"/>
  <c r="AL34" i="8"/>
  <c r="AF28" i="8"/>
  <c r="AF27" i="8" s="1"/>
  <c r="AF4" i="8"/>
  <c r="AD28" i="8"/>
  <c r="AD27" i="8" s="1"/>
  <c r="AD4" i="8"/>
  <c r="AM14" i="4"/>
  <c r="AM15" i="4" s="1"/>
  <c r="AF34" i="8"/>
  <c r="AK14" i="4"/>
  <c r="AK15" i="4" s="1"/>
  <c r="AD34" i="8"/>
  <c r="AJ14" i="4"/>
  <c r="AJ15" i="4" s="1"/>
  <c r="AC34" i="8"/>
  <c r="AH28" i="8"/>
  <c r="AH27" i="8" s="1"/>
  <c r="AH4" i="8"/>
  <c r="AR14" i="4"/>
  <c r="AR15" i="4" s="1"/>
  <c r="AK34" i="8"/>
  <c r="AU14" i="4"/>
  <c r="AU15" i="4" s="1"/>
  <c r="AN34" i="8"/>
  <c r="AK28" i="8"/>
  <c r="AK27" i="8" s="1"/>
  <c r="AK4" i="8"/>
  <c r="AP14" i="4"/>
  <c r="AP15" i="4" s="1"/>
  <c r="AI34" i="8"/>
  <c r="AN4" i="8"/>
  <c r="AN28" i="8"/>
  <c r="AN27" i="8" s="1"/>
  <c r="AL14" i="4"/>
  <c r="AL15" i="4" s="1"/>
  <c r="AE34" i="8"/>
  <c r="AG28" i="8"/>
  <c r="AG27" i="8" s="1"/>
  <c r="AG4" i="8"/>
  <c r="AL4" i="8"/>
  <c r="AL28" i="8"/>
  <c r="AL27" i="8" s="1"/>
  <c r="AC4" i="8"/>
  <c r="AC28" i="8"/>
  <c r="AC27" i="8" s="1"/>
  <c r="AH34" i="8"/>
  <c r="AO14" i="4"/>
  <c r="AO15" i="4" s="1"/>
  <c r="X6" i="3"/>
  <c r="V7" i="4" s="1"/>
  <c r="AB6" i="3"/>
  <c r="Z7" i="4" s="1"/>
  <c r="W6" i="3"/>
  <c r="U7" i="4" s="1"/>
  <c r="T7" i="4"/>
  <c r="N20" i="7"/>
  <c r="Z6" i="3"/>
  <c r="X7" i="4" s="1"/>
  <c r="AC6" i="3"/>
  <c r="AA7" i="4" s="1"/>
  <c r="V12" i="3"/>
  <c r="AA6" i="3"/>
  <c r="Y7" i="4" s="1"/>
  <c r="Y6" i="3"/>
  <c r="W7" i="4" s="1"/>
  <c r="AB8" i="6"/>
  <c r="Q8" i="6"/>
  <c r="AB9" i="6"/>
  <c r="Q9" i="6"/>
  <c r="AB11" i="6"/>
  <c r="Q11" i="6"/>
  <c r="O20" i="7" l="1"/>
  <c r="P20" i="7"/>
  <c r="AF20" i="7"/>
  <c r="AJ20" i="7"/>
  <c r="AI20" i="7"/>
  <c r="R20" i="7"/>
  <c r="AL20" i="7"/>
  <c r="S20" i="7"/>
  <c r="AR20" i="7"/>
  <c r="AD20" i="7"/>
  <c r="X20" i="7"/>
  <c r="AC20" i="7"/>
  <c r="AE20" i="7"/>
  <c r="AM20" i="7"/>
  <c r="T20" i="7"/>
  <c r="AS20" i="7"/>
  <c r="AP20" i="7"/>
  <c r="Y20" i="7"/>
  <c r="W20" i="7"/>
  <c r="U20" i="7"/>
  <c r="V20" i="7"/>
  <c r="AG20" i="7"/>
  <c r="AB20" i="7"/>
  <c r="AH20" i="7"/>
  <c r="Q20" i="7"/>
  <c r="AA20" i="7"/>
  <c r="AO20" i="7"/>
  <c r="AQ20" i="7"/>
  <c r="Z20" i="7"/>
  <c r="AN20" i="7"/>
  <c r="AK20" i="7"/>
  <c r="A10" i="10"/>
  <c r="A15" i="10" s="1"/>
  <c r="A6" i="10"/>
  <c r="D17" i="32"/>
  <c r="D19" i="32"/>
  <c r="E41" i="8"/>
  <c r="F41" i="8"/>
  <c r="G41" i="8"/>
  <c r="J41" i="8"/>
  <c r="O41" i="8"/>
  <c r="P41" i="8"/>
  <c r="Q41" i="8"/>
  <c r="R41" i="8"/>
  <c r="S41" i="8"/>
  <c r="T41" i="8"/>
  <c r="D41" i="8"/>
  <c r="C38" i="16"/>
  <c r="C37" i="16"/>
  <c r="A11" i="10" l="1"/>
  <c r="A16" i="10" s="1"/>
  <c r="E10" i="4"/>
  <c r="A13" i="10" l="1"/>
  <c r="A18" i="10" s="1"/>
  <c r="AQ14" i="32"/>
  <c r="AD14" i="32"/>
  <c r="AC14" i="32"/>
  <c r="AB14" i="32"/>
  <c r="AA14" i="32"/>
  <c r="Z14" i="32"/>
  <c r="Y14" i="32"/>
  <c r="AI12" i="3"/>
  <c r="AK12" i="3"/>
  <c r="AJ12" i="3"/>
  <c r="AH12" i="3"/>
  <c r="AI9" i="4"/>
  <c r="AH9" i="4"/>
  <c r="AG9" i="4"/>
  <c r="AF9" i="4"/>
  <c r="AI8" i="4"/>
  <c r="AH8" i="4"/>
  <c r="AG8" i="4"/>
  <c r="AF8" i="4"/>
  <c r="B9" i="4"/>
  <c r="B8" i="4"/>
  <c r="B7" i="4"/>
  <c r="AY12" i="3"/>
  <c r="E14" i="32" l="1"/>
  <c r="F14" i="32"/>
  <c r="G14" i="32"/>
  <c r="H14" i="32"/>
  <c r="I14" i="32"/>
  <c r="J14" i="32"/>
  <c r="K14" i="32"/>
  <c r="L14" i="32"/>
  <c r="M14" i="32"/>
  <c r="N14" i="32"/>
  <c r="O14" i="32"/>
  <c r="P14" i="32"/>
  <c r="Q14" i="32"/>
  <c r="R14" i="32"/>
  <c r="S14" i="32"/>
  <c r="T14" i="32"/>
  <c r="U14" i="32"/>
  <c r="V14" i="32"/>
  <c r="W14" i="32"/>
  <c r="X14" i="32"/>
  <c r="AR14" i="32"/>
  <c r="D14" i="32"/>
  <c r="D36" i="8"/>
  <c r="D13" i="32"/>
  <c r="D35" i="8"/>
  <c r="D12" i="32"/>
  <c r="D34" i="8"/>
  <c r="D8" i="32"/>
  <c r="D7" i="32"/>
  <c r="D26" i="32" s="1"/>
  <c r="D6" i="8"/>
  <c r="D14" i="8" s="1"/>
  <c r="D42" i="8" s="1"/>
  <c r="B19" i="32"/>
  <c r="B18" i="32"/>
  <c r="B16" i="32"/>
  <c r="B15" i="32"/>
  <c r="B14" i="32"/>
  <c r="B13" i="32"/>
  <c r="B12" i="32"/>
  <c r="D6" i="32" l="1"/>
  <c r="C14" i="32"/>
  <c r="C9" i="32"/>
  <c r="C30" i="16" s="1"/>
  <c r="J10" i="4" l="1"/>
  <c r="I10" i="4" s="1"/>
  <c r="D16" i="9"/>
  <c r="G11" i="3"/>
  <c r="D8" i="10" l="1"/>
  <c r="D16" i="10"/>
  <c r="D11" i="10"/>
  <c r="D15" i="10"/>
  <c r="D5" i="10"/>
  <c r="D13" i="10"/>
  <c r="D10" i="10"/>
  <c r="D6" i="10"/>
  <c r="D18" i="10"/>
  <c r="I16" i="9"/>
  <c r="H11" i="3"/>
  <c r="L11" i="3" l="1"/>
  <c r="B11" i="8"/>
  <c r="B20" i="10"/>
  <c r="G10" i="3" l="1"/>
  <c r="G7" i="3"/>
  <c r="D11" i="9" s="1"/>
  <c r="H11" i="9" l="1"/>
  <c r="H10" i="9" s="1"/>
  <c r="G11" i="9"/>
  <c r="G10" i="9" s="1"/>
  <c r="F11" i="9"/>
  <c r="F10" i="9" s="1"/>
  <c r="E11" i="9"/>
  <c r="E10" i="9" s="1"/>
  <c r="D10" i="9"/>
  <c r="H7" i="3"/>
  <c r="G6" i="3"/>
  <c r="H10" i="3"/>
  <c r="H9" i="3"/>
  <c r="H8" i="3"/>
  <c r="AC12" i="3"/>
  <c r="P12" i="3"/>
  <c r="N5" i="3"/>
  <c r="O5" i="3" s="1"/>
  <c r="P5" i="3" s="1"/>
  <c r="Q5" i="3" s="1"/>
  <c r="R5" i="3" s="1"/>
  <c r="S5" i="3" s="1"/>
  <c r="T5" i="3" s="1"/>
  <c r="U5" i="3" s="1"/>
  <c r="V5" i="3" s="1"/>
  <c r="W5" i="3" s="1"/>
  <c r="X5" i="3" s="1"/>
  <c r="Y5" i="3" s="1"/>
  <c r="Z5" i="3" l="1"/>
  <c r="AA5" i="3" s="1"/>
  <c r="AB5" i="3" s="1"/>
  <c r="AC5" i="3" s="1"/>
  <c r="AD5" i="3" s="1"/>
  <c r="AE5" i="3" s="1"/>
  <c r="AF5" i="3" s="1"/>
  <c r="AG5" i="3" s="1"/>
  <c r="AH5" i="3" s="1"/>
  <c r="AM5" i="3"/>
  <c r="AN5" i="3" s="1"/>
  <c r="AO5" i="3" s="1"/>
  <c r="H6" i="3"/>
  <c r="AE12" i="3"/>
  <c r="AG6" i="4"/>
  <c r="AB12" i="3"/>
  <c r="AX12" i="3"/>
  <c r="M12" i="3"/>
  <c r="Q12" i="3"/>
  <c r="BA12" i="3"/>
  <c r="AZ12" i="3"/>
  <c r="O12" i="3"/>
  <c r="AQ5" i="3" l="1"/>
  <c r="AR5" i="3" s="1"/>
  <c r="AS5" i="3" s="1"/>
  <c r="AF5" i="4"/>
  <c r="AI5" i="3"/>
  <c r="AG5" i="4" s="1"/>
  <c r="AU5" i="3"/>
  <c r="AV5" i="3" s="1"/>
  <c r="AW5" i="3" s="1"/>
  <c r="GF4" i="6"/>
  <c r="AJ5" i="3"/>
  <c r="AF12" i="3"/>
  <c r="AH6" i="4"/>
  <c r="N12" i="3"/>
  <c r="AI6" i="4"/>
  <c r="AG12" i="3"/>
  <c r="AD12" i="3"/>
  <c r="AF6" i="4"/>
  <c r="L10" i="3"/>
  <c r="K10" i="3" s="1"/>
  <c r="F20" i="7"/>
  <c r="K11" i="3"/>
  <c r="L8" i="3"/>
  <c r="K8" i="3" s="1"/>
  <c r="G12" i="3"/>
  <c r="L9" i="3"/>
  <c r="K9" i="3" s="1"/>
  <c r="FI3" i="10" l="1"/>
  <c r="Z6" i="7"/>
  <c r="Y5" i="8" s="1"/>
  <c r="GG4" i="6"/>
  <c r="AK5" i="3"/>
  <c r="AH5" i="4"/>
  <c r="C20" i="7"/>
  <c r="L7" i="3"/>
  <c r="L6" i="3" s="1"/>
  <c r="L12" i="3" s="1"/>
  <c r="H12" i="3"/>
  <c r="S12" i="3"/>
  <c r="AA6" i="7" l="1"/>
  <c r="Z5" i="32" s="1"/>
  <c r="FJ3" i="10"/>
  <c r="Z22" i="7"/>
  <c r="Y5" i="32"/>
  <c r="Y28" i="8"/>
  <c r="Y27" i="8" s="1"/>
  <c r="Y4" i="8"/>
  <c r="GH4" i="6"/>
  <c r="AI5" i="4"/>
  <c r="R12" i="3"/>
  <c r="I13" i="3"/>
  <c r="T12" i="3"/>
  <c r="K7" i="3"/>
  <c r="AB6" i="7" l="1"/>
  <c r="AA5" i="32" s="1"/>
  <c r="Z5" i="8"/>
  <c r="Z4" i="8" s="1"/>
  <c r="AA22" i="7"/>
  <c r="Z34" i="8" s="1"/>
  <c r="FK3" i="10"/>
  <c r="AF14" i="4"/>
  <c r="AF15" i="4" s="1"/>
  <c r="Y34" i="8"/>
  <c r="AB22" i="7"/>
  <c r="Z28" i="8"/>
  <c r="Z27" i="8" s="1"/>
  <c r="GI4" i="6"/>
  <c r="AA5" i="8"/>
  <c r="AV5" i="4"/>
  <c r="GV4" i="6" s="1"/>
  <c r="AY5" i="3"/>
  <c r="Z12" i="3"/>
  <c r="AG14" i="4" l="1"/>
  <c r="AG15" i="4" s="1"/>
  <c r="AP6" i="7"/>
  <c r="AO5" i="32" s="1"/>
  <c r="FL3" i="10"/>
  <c r="AC6" i="7"/>
  <c r="AH14" i="4"/>
  <c r="AH15" i="4" s="1"/>
  <c r="AA34" i="8"/>
  <c r="AA28" i="8"/>
  <c r="AA27" i="8" s="1"/>
  <c r="AA4" i="8"/>
  <c r="AW5" i="4"/>
  <c r="GW4" i="6" s="1"/>
  <c r="AZ5" i="3"/>
  <c r="U12" i="3"/>
  <c r="AA12" i="3"/>
  <c r="AP22" i="7" l="1"/>
  <c r="AV14" i="4" s="1"/>
  <c r="AV15" i="4" s="1"/>
  <c r="AO5" i="8"/>
  <c r="AO4" i="8" s="1"/>
  <c r="AQ6" i="7"/>
  <c r="AQ22" i="7" s="1"/>
  <c r="AP5" i="8"/>
  <c r="AB5" i="32"/>
  <c r="AC22" i="7"/>
  <c r="AB5" i="8"/>
  <c r="AX5" i="4"/>
  <c r="GX4" i="6" s="1"/>
  <c r="BA5" i="3"/>
  <c r="AY5" i="4" s="1"/>
  <c r="GY4" i="6" s="1"/>
  <c r="X12" i="3"/>
  <c r="AO34" i="8" l="1"/>
  <c r="AO28" i="8"/>
  <c r="AO27" i="8" s="1"/>
  <c r="AP5" i="32"/>
  <c r="AS6" i="7"/>
  <c r="AR5" i="32" s="1"/>
  <c r="AR6" i="7"/>
  <c r="AQ5" i="8"/>
  <c r="AQ5" i="32"/>
  <c r="AR22" i="7"/>
  <c r="AB28" i="8"/>
  <c r="AB27" i="8" s="1"/>
  <c r="AB4" i="8"/>
  <c r="AI14" i="4"/>
  <c r="AI15" i="4" s="1"/>
  <c r="AB34" i="8"/>
  <c r="AP4" i="8"/>
  <c r="AP28" i="8"/>
  <c r="AP27" i="8" s="1"/>
  <c r="AW14" i="4"/>
  <c r="AW15" i="4" s="1"/>
  <c r="AP34" i="8"/>
  <c r="W12" i="3"/>
  <c r="AS22" i="7" l="1"/>
  <c r="AY14" i="4" s="1"/>
  <c r="AY15" i="4" s="1"/>
  <c r="AR5" i="8"/>
  <c r="AR4" i="8" s="1"/>
  <c r="AX14" i="4"/>
  <c r="AX15" i="4" s="1"/>
  <c r="AQ34" i="8"/>
  <c r="AQ4" i="8"/>
  <c r="AQ28" i="8"/>
  <c r="AQ27" i="8" s="1"/>
  <c r="Y12" i="3"/>
  <c r="AR28" i="8" l="1"/>
  <c r="AR27" i="8" s="1"/>
  <c r="AR34" i="8"/>
  <c r="K6" i="3"/>
  <c r="K12" i="3"/>
  <c r="U79" i="31" l="1"/>
  <c r="U77" i="31"/>
  <c r="U75" i="31"/>
  <c r="U73" i="31"/>
  <c r="U71" i="31"/>
  <c r="U69" i="31"/>
  <c r="U67" i="31"/>
  <c r="U65" i="31"/>
  <c r="U63" i="31"/>
  <c r="U61" i="31"/>
  <c r="U59" i="31"/>
  <c r="U57" i="31"/>
  <c r="U55" i="31"/>
  <c r="U53" i="31"/>
  <c r="U51" i="31"/>
  <c r="U49" i="31"/>
  <c r="U47" i="31"/>
  <c r="U45" i="31"/>
  <c r="E43" i="31"/>
  <c r="E74" i="31" s="1"/>
  <c r="U38" i="31"/>
  <c r="U36" i="31"/>
  <c r="U34" i="31"/>
  <c r="U32" i="31"/>
  <c r="U30" i="31"/>
  <c r="U28" i="31"/>
  <c r="U26" i="31"/>
  <c r="U24" i="31"/>
  <c r="U22" i="31"/>
  <c r="U20" i="31"/>
  <c r="U18" i="31"/>
  <c r="U16" i="31"/>
  <c r="U14" i="31"/>
  <c r="U12" i="31"/>
  <c r="U10" i="31"/>
  <c r="U8" i="31"/>
  <c r="U6" i="31"/>
  <c r="U4" i="31"/>
  <c r="E46" i="31" l="1"/>
  <c r="E66" i="31"/>
  <c r="E70" i="31"/>
  <c r="E64" i="31"/>
  <c r="E68" i="31"/>
  <c r="D12" i="31"/>
  <c r="E12" i="31" s="1"/>
  <c r="I13" i="31" s="1"/>
  <c r="E60" i="31"/>
  <c r="E62" i="31"/>
  <c r="E56" i="31"/>
  <c r="E58" i="31"/>
  <c r="E52" i="31"/>
  <c r="E54" i="31"/>
  <c r="E76" i="31"/>
  <c r="E78" i="31"/>
  <c r="E48" i="31"/>
  <c r="E50" i="31"/>
  <c r="E72" i="31"/>
  <c r="U10" i="29"/>
  <c r="U11" i="29"/>
  <c r="U12" i="29"/>
  <c r="U13" i="29"/>
  <c r="U14" i="29"/>
  <c r="U15" i="29"/>
  <c r="U16" i="29"/>
  <c r="U17" i="29"/>
  <c r="U18" i="29"/>
  <c r="U19" i="29"/>
  <c r="U20" i="29"/>
  <c r="U21" i="29"/>
  <c r="U22" i="29"/>
  <c r="U23" i="29"/>
  <c r="U24" i="29"/>
  <c r="U25" i="29"/>
  <c r="U26" i="29"/>
  <c r="U27" i="29"/>
  <c r="U28" i="29"/>
  <c r="U29" i="29"/>
  <c r="U30" i="29"/>
  <c r="U31" i="29"/>
  <c r="U32" i="29"/>
  <c r="U33" i="29"/>
  <c r="U34" i="29"/>
  <c r="U35" i="29"/>
  <c r="U36" i="29"/>
  <c r="U37" i="29"/>
  <c r="U38" i="29"/>
  <c r="U39" i="29"/>
  <c r="U40" i="29"/>
  <c r="U41" i="29"/>
  <c r="U42" i="29"/>
  <c r="U43" i="29"/>
  <c r="U44" i="29"/>
  <c r="U45" i="29"/>
  <c r="U46" i="29"/>
  <c r="U47" i="29"/>
  <c r="U48" i="29"/>
  <c r="U9" i="29"/>
  <c r="J13" i="31" l="1"/>
  <c r="D45" i="31"/>
  <c r="E45" i="31" s="1"/>
  <c r="U7" i="29"/>
  <c r="H13" i="31"/>
  <c r="D53" i="31"/>
  <c r="E53" i="31" s="1"/>
  <c r="K54" i="31" s="1"/>
  <c r="D10" i="31"/>
  <c r="E10" i="31" s="1"/>
  <c r="D51" i="31"/>
  <c r="E51" i="31" s="1"/>
  <c r="D49" i="31"/>
  <c r="E49" i="31" s="1"/>
  <c r="D8" i="31"/>
  <c r="E8" i="31" s="1"/>
  <c r="D14" i="31"/>
  <c r="E14" i="31" s="1"/>
  <c r="D55" i="31"/>
  <c r="E55" i="31" s="1"/>
  <c r="J47" i="29"/>
  <c r="J46" i="29"/>
  <c r="J43" i="29"/>
  <c r="K42" i="29"/>
  <c r="J38" i="29"/>
  <c r="K37" i="29"/>
  <c r="M37" i="29" s="1"/>
  <c r="N37" i="29" s="1"/>
  <c r="J34" i="29"/>
  <c r="K33" i="29"/>
  <c r="M33" i="29" s="1"/>
  <c r="N33" i="29" s="1"/>
  <c r="K32" i="29"/>
  <c r="M32" i="29" s="1"/>
  <c r="N32" i="29" s="1"/>
  <c r="O32" i="29" s="1"/>
  <c r="J30" i="29"/>
  <c r="J29" i="29"/>
  <c r="K28" i="29"/>
  <c r="M28" i="29" s="1"/>
  <c r="N28" i="29" s="1"/>
  <c r="J26" i="29"/>
  <c r="K25" i="29"/>
  <c r="M25" i="29" s="1"/>
  <c r="N25" i="29" s="1"/>
  <c r="K24" i="29"/>
  <c r="M24" i="29" s="1"/>
  <c r="N24" i="29" s="1"/>
  <c r="J22" i="29"/>
  <c r="J21" i="29"/>
  <c r="K20" i="29"/>
  <c r="K19" i="29"/>
  <c r="S19" i="29" s="1"/>
  <c r="T19" i="29" s="1"/>
  <c r="J18" i="29"/>
  <c r="K17" i="29"/>
  <c r="M17" i="29" s="1"/>
  <c r="N17" i="29" s="1"/>
  <c r="K16" i="29"/>
  <c r="S16" i="29" s="1"/>
  <c r="T16" i="29" s="1"/>
  <c r="J15" i="29"/>
  <c r="K14" i="29"/>
  <c r="S14" i="29" s="1"/>
  <c r="T14" i="29" s="1"/>
  <c r="J13" i="29"/>
  <c r="K12" i="29"/>
  <c r="M12" i="29" s="1"/>
  <c r="N12" i="29" s="1"/>
  <c r="J11" i="29"/>
  <c r="K10" i="29"/>
  <c r="E7" i="29"/>
  <c r="O2" i="29"/>
  <c r="U13" i="31" l="1"/>
  <c r="D4" i="31"/>
  <c r="E4" i="31" s="1"/>
  <c r="G5" i="31" s="1"/>
  <c r="L54" i="31"/>
  <c r="S12" i="29"/>
  <c r="T12" i="29" s="1"/>
  <c r="J54" i="31"/>
  <c r="I54" i="31"/>
  <c r="H54" i="31"/>
  <c r="J46" i="31"/>
  <c r="I46" i="31"/>
  <c r="H46" i="31"/>
  <c r="G46" i="31"/>
  <c r="F46" i="31"/>
  <c r="K15" i="31"/>
  <c r="J15" i="31"/>
  <c r="I15" i="31"/>
  <c r="H15" i="31"/>
  <c r="L15" i="31"/>
  <c r="M15" i="31"/>
  <c r="N15" i="31"/>
  <c r="I9" i="31"/>
  <c r="H9" i="31"/>
  <c r="G9" i="31"/>
  <c r="D63" i="31"/>
  <c r="E63" i="31" s="1"/>
  <c r="D22" i="31"/>
  <c r="E22" i="31" s="1"/>
  <c r="G50" i="31"/>
  <c r="K50" i="31"/>
  <c r="J50" i="31"/>
  <c r="I50" i="31"/>
  <c r="H50" i="31"/>
  <c r="H52" i="31"/>
  <c r="G52" i="31"/>
  <c r="I52" i="31"/>
  <c r="M52" i="31"/>
  <c r="L52" i="31"/>
  <c r="K52" i="31"/>
  <c r="J52" i="31"/>
  <c r="D34" i="31"/>
  <c r="E34" i="31" s="1"/>
  <c r="D75" i="31"/>
  <c r="E75" i="31" s="1"/>
  <c r="M11" i="31"/>
  <c r="L11" i="31"/>
  <c r="K11" i="31"/>
  <c r="J11" i="31"/>
  <c r="I11" i="31"/>
  <c r="H11" i="31"/>
  <c r="G11" i="31"/>
  <c r="D71" i="31"/>
  <c r="E71" i="31" s="1"/>
  <c r="D30" i="31"/>
  <c r="E30" i="31" s="1"/>
  <c r="D47" i="31"/>
  <c r="E47" i="31" s="1"/>
  <c r="D6" i="31"/>
  <c r="E6" i="31" s="1"/>
  <c r="D38" i="31"/>
  <c r="E38" i="31" s="1"/>
  <c r="D79" i="31"/>
  <c r="E79" i="31" s="1"/>
  <c r="D26" i="31"/>
  <c r="E26" i="31" s="1"/>
  <c r="D67" i="31"/>
  <c r="E67" i="31" s="1"/>
  <c r="K56" i="31"/>
  <c r="J56" i="31"/>
  <c r="I56" i="31"/>
  <c r="H56" i="31"/>
  <c r="M56" i="31"/>
  <c r="L56" i="31"/>
  <c r="N56" i="31"/>
  <c r="N2" i="29"/>
  <c r="N3" i="29" s="1"/>
  <c r="K22" i="29"/>
  <c r="S22" i="29" s="1"/>
  <c r="T22" i="29" s="1"/>
  <c r="K29" i="29"/>
  <c r="M29" i="29" s="1"/>
  <c r="N29" i="29" s="1"/>
  <c r="O29" i="29" s="1"/>
  <c r="P29" i="29" s="1"/>
  <c r="K13" i="29"/>
  <c r="M13" i="29" s="1"/>
  <c r="N13" i="29" s="1"/>
  <c r="O13" i="29" s="1"/>
  <c r="P13" i="29" s="1"/>
  <c r="K34" i="29"/>
  <c r="S34" i="29" s="1"/>
  <c r="T34" i="29" s="1"/>
  <c r="O3" i="29"/>
  <c r="O4" i="29" s="1"/>
  <c r="K46" i="29"/>
  <c r="M46" i="29" s="1"/>
  <c r="N46" i="29" s="1"/>
  <c r="S10" i="29"/>
  <c r="T10" i="29" s="1"/>
  <c r="M10" i="29"/>
  <c r="N10" i="29" s="1"/>
  <c r="O10" i="29" s="1"/>
  <c r="P10" i="29" s="1"/>
  <c r="J14" i="29"/>
  <c r="J33" i="29"/>
  <c r="J17" i="29"/>
  <c r="K18" i="29"/>
  <c r="M19" i="29"/>
  <c r="N19" i="29" s="1"/>
  <c r="O19" i="29" s="1"/>
  <c r="P19" i="29" s="1"/>
  <c r="K21" i="29"/>
  <c r="J25" i="29"/>
  <c r="K30" i="29"/>
  <c r="J37" i="29"/>
  <c r="K43" i="29"/>
  <c r="J19" i="29"/>
  <c r="K26" i="29"/>
  <c r="K38" i="29"/>
  <c r="J10" i="29"/>
  <c r="J42" i="29"/>
  <c r="K47" i="29"/>
  <c r="O17" i="29"/>
  <c r="P17" i="29" s="1"/>
  <c r="O12" i="29"/>
  <c r="P12" i="29" s="1"/>
  <c r="M20" i="29"/>
  <c r="N20" i="29" s="1"/>
  <c r="S20" i="29"/>
  <c r="T20" i="29" s="1"/>
  <c r="I7" i="29"/>
  <c r="J7" i="29" s="1"/>
  <c r="K7" i="29" s="1"/>
  <c r="J9" i="29"/>
  <c r="K15" i="29"/>
  <c r="J16" i="29"/>
  <c r="K35" i="29"/>
  <c r="J35" i="29"/>
  <c r="O37" i="29"/>
  <c r="P37" i="29" s="1"/>
  <c r="K41" i="29"/>
  <c r="J41" i="29"/>
  <c r="M42" i="29"/>
  <c r="N42" i="29" s="1"/>
  <c r="S42" i="29"/>
  <c r="T42" i="29" s="1"/>
  <c r="K45" i="29"/>
  <c r="J45" i="29"/>
  <c r="K9" i="29"/>
  <c r="M14" i="29"/>
  <c r="N14" i="29" s="1"/>
  <c r="M16" i="29"/>
  <c r="N16" i="29" s="1"/>
  <c r="K23" i="29"/>
  <c r="J23" i="29"/>
  <c r="S24" i="29"/>
  <c r="T24" i="29" s="1"/>
  <c r="O25" i="29"/>
  <c r="P25" i="29" s="1"/>
  <c r="K27" i="29"/>
  <c r="J27" i="29"/>
  <c r="S28" i="29"/>
  <c r="T28" i="29" s="1"/>
  <c r="K31" i="29"/>
  <c r="J31" i="29"/>
  <c r="P32" i="29"/>
  <c r="S32" i="29"/>
  <c r="T32" i="29" s="1"/>
  <c r="O33" i="29"/>
  <c r="P33" i="29" s="1"/>
  <c r="S37" i="29"/>
  <c r="T37" i="29" s="1"/>
  <c r="K11" i="29"/>
  <c r="J12" i="29"/>
  <c r="S17" i="29"/>
  <c r="T17" i="29" s="1"/>
  <c r="J20" i="29"/>
  <c r="J24" i="29"/>
  <c r="S25" i="29"/>
  <c r="T25" i="29" s="1"/>
  <c r="J28" i="29"/>
  <c r="J32" i="29"/>
  <c r="S33" i="29"/>
  <c r="T33" i="29" s="1"/>
  <c r="O24" i="29"/>
  <c r="P24" i="29" s="1"/>
  <c r="O28" i="29"/>
  <c r="P28" i="29" s="1"/>
  <c r="K36" i="29"/>
  <c r="J36" i="29"/>
  <c r="K39" i="29"/>
  <c r="J39" i="29"/>
  <c r="K40" i="29"/>
  <c r="J40" i="29"/>
  <c r="K44" i="29"/>
  <c r="J44" i="29"/>
  <c r="K48" i="29"/>
  <c r="J48" i="29"/>
  <c r="F5" i="31" l="1"/>
  <c r="H5" i="31"/>
  <c r="P2" i="29"/>
  <c r="S13" i="29"/>
  <c r="T13" i="29" s="1"/>
  <c r="U9" i="31"/>
  <c r="U15" i="31"/>
  <c r="U54" i="31"/>
  <c r="S29" i="29"/>
  <c r="T29" i="29" s="1"/>
  <c r="P3" i="29"/>
  <c r="M22" i="29"/>
  <c r="N22" i="29" s="1"/>
  <c r="O22" i="29" s="1"/>
  <c r="M23" i="31"/>
  <c r="O23" i="31"/>
  <c r="N23" i="31"/>
  <c r="L23" i="31"/>
  <c r="K23" i="31"/>
  <c r="J23" i="31"/>
  <c r="P23" i="31"/>
  <c r="S35" i="31"/>
  <c r="R35" i="31"/>
  <c r="Q35" i="31"/>
  <c r="P35" i="31"/>
  <c r="O35" i="31"/>
  <c r="N35" i="31"/>
  <c r="M35" i="31"/>
  <c r="Q68" i="31"/>
  <c r="P68" i="31"/>
  <c r="O68" i="31"/>
  <c r="N68" i="31"/>
  <c r="M68" i="31"/>
  <c r="L68" i="31"/>
  <c r="K68" i="31"/>
  <c r="U11" i="31"/>
  <c r="R72" i="31"/>
  <c r="Q72" i="31"/>
  <c r="L72" i="31"/>
  <c r="P72" i="31"/>
  <c r="O72" i="31"/>
  <c r="N72" i="31"/>
  <c r="M72" i="31"/>
  <c r="U50" i="31"/>
  <c r="D73" i="31"/>
  <c r="E73" i="31" s="1"/>
  <c r="D32" i="31"/>
  <c r="E32" i="31" s="1"/>
  <c r="Q39" i="31"/>
  <c r="S39" i="31"/>
  <c r="R39" i="31"/>
  <c r="P39" i="31"/>
  <c r="O39" i="31"/>
  <c r="N39" i="31"/>
  <c r="T39" i="31"/>
  <c r="T40" i="31" s="1"/>
  <c r="N76" i="31"/>
  <c r="M76" i="31"/>
  <c r="P76" i="31"/>
  <c r="O76" i="31"/>
  <c r="S76" i="31"/>
  <c r="R76" i="31"/>
  <c r="Q76" i="31"/>
  <c r="D18" i="31"/>
  <c r="E18" i="31" s="1"/>
  <c r="D59" i="31"/>
  <c r="E59" i="31" s="1"/>
  <c r="U52" i="31"/>
  <c r="D69" i="31"/>
  <c r="E69" i="31" s="1"/>
  <c r="D28" i="31"/>
  <c r="E28" i="31" s="1"/>
  <c r="U46" i="31"/>
  <c r="I7" i="31"/>
  <c r="J7" i="31"/>
  <c r="H7" i="31"/>
  <c r="G7" i="31"/>
  <c r="G40" i="31" s="1"/>
  <c r="F7" i="31"/>
  <c r="K7" i="31"/>
  <c r="L7" i="31"/>
  <c r="O31" i="31"/>
  <c r="Q31" i="31"/>
  <c r="N31" i="31"/>
  <c r="M31" i="31"/>
  <c r="L31" i="31"/>
  <c r="P31" i="31"/>
  <c r="R31" i="31"/>
  <c r="R80" i="31"/>
  <c r="Q80" i="31"/>
  <c r="S80" i="31"/>
  <c r="P80" i="31"/>
  <c r="O80" i="31"/>
  <c r="N80" i="31"/>
  <c r="T80" i="31"/>
  <c r="T81" i="31" s="1"/>
  <c r="L48" i="31"/>
  <c r="K48" i="31"/>
  <c r="J48" i="31"/>
  <c r="I48" i="31"/>
  <c r="H48" i="31"/>
  <c r="H81" i="31" s="1"/>
  <c r="G48" i="31"/>
  <c r="G81" i="31" s="1"/>
  <c r="F48" i="31"/>
  <c r="F40" i="31"/>
  <c r="U5" i="31"/>
  <c r="D57" i="31"/>
  <c r="E57" i="31" s="1"/>
  <c r="D16" i="31"/>
  <c r="E16" i="31" s="1"/>
  <c r="D36" i="31"/>
  <c r="E36" i="31" s="1"/>
  <c r="D77" i="31"/>
  <c r="E77" i="31" s="1"/>
  <c r="P64" i="31"/>
  <c r="O64" i="31"/>
  <c r="N64" i="31"/>
  <c r="M64" i="31"/>
  <c r="L64" i="31"/>
  <c r="K64" i="31"/>
  <c r="J64" i="31"/>
  <c r="Q27" i="31"/>
  <c r="P27" i="31"/>
  <c r="O27" i="31"/>
  <c r="N27" i="31"/>
  <c r="M27" i="31"/>
  <c r="L27" i="31"/>
  <c r="K27" i="31"/>
  <c r="D65" i="31"/>
  <c r="E65" i="31" s="1"/>
  <c r="D24" i="31"/>
  <c r="E24" i="31" s="1"/>
  <c r="U56" i="31"/>
  <c r="D20" i="31"/>
  <c r="E20" i="31" s="1"/>
  <c r="D61" i="31"/>
  <c r="E61" i="31" s="1"/>
  <c r="S46" i="29"/>
  <c r="T46" i="29" s="1"/>
  <c r="M34" i="29"/>
  <c r="N34" i="29" s="1"/>
  <c r="O34" i="29" s="1"/>
  <c r="P34" i="29" s="1"/>
  <c r="S26" i="29"/>
  <c r="T26" i="29" s="1"/>
  <c r="M26" i="29"/>
  <c r="N26" i="29" s="1"/>
  <c r="M21" i="29"/>
  <c r="N21" i="29" s="1"/>
  <c r="O21" i="29" s="1"/>
  <c r="P21" i="29" s="1"/>
  <c r="S21" i="29"/>
  <c r="T21" i="29" s="1"/>
  <c r="S47" i="29"/>
  <c r="T47" i="29" s="1"/>
  <c r="M47" i="29"/>
  <c r="N47" i="29" s="1"/>
  <c r="S38" i="29"/>
  <c r="T38" i="29" s="1"/>
  <c r="M38" i="29"/>
  <c r="N38" i="29" s="1"/>
  <c r="S43" i="29"/>
  <c r="T43" i="29" s="1"/>
  <c r="M43" i="29"/>
  <c r="N43" i="29" s="1"/>
  <c r="S30" i="29"/>
  <c r="T30" i="29" s="1"/>
  <c r="M30" i="29"/>
  <c r="N30" i="29" s="1"/>
  <c r="S18" i="29"/>
  <c r="T18" i="29" s="1"/>
  <c r="M18" i="29"/>
  <c r="N18" i="29" s="1"/>
  <c r="O18" i="29" s="1"/>
  <c r="P18" i="29" s="1"/>
  <c r="S15" i="29"/>
  <c r="T15" i="29" s="1"/>
  <c r="M15" i="29"/>
  <c r="N15" i="29" s="1"/>
  <c r="O20" i="29"/>
  <c r="P20" i="29" s="1"/>
  <c r="S44" i="29"/>
  <c r="T44" i="29" s="1"/>
  <c r="M44" i="29"/>
  <c r="N44" i="29" s="1"/>
  <c r="M36" i="29"/>
  <c r="N36" i="29" s="1"/>
  <c r="S36" i="29"/>
  <c r="T36" i="29" s="1"/>
  <c r="S11" i="29"/>
  <c r="T11" i="29" s="1"/>
  <c r="M11" i="29"/>
  <c r="N11" i="29" s="1"/>
  <c r="S31" i="29"/>
  <c r="T31" i="29" s="1"/>
  <c r="M31" i="29"/>
  <c r="N31" i="29" s="1"/>
  <c r="O16" i="29"/>
  <c r="P16" i="29" s="1"/>
  <c r="O46" i="29"/>
  <c r="P46" i="29" s="1"/>
  <c r="O42" i="29"/>
  <c r="P42" i="29" s="1"/>
  <c r="N4" i="29"/>
  <c r="P4" i="29" s="1"/>
  <c r="S27" i="29"/>
  <c r="T27" i="29" s="1"/>
  <c r="M27" i="29"/>
  <c r="N27" i="29" s="1"/>
  <c r="O14" i="29"/>
  <c r="P14" i="29" s="1"/>
  <c r="S48" i="29"/>
  <c r="T48" i="29" s="1"/>
  <c r="M48" i="29"/>
  <c r="N48" i="29" s="1"/>
  <c r="S40" i="29"/>
  <c r="T40" i="29" s="1"/>
  <c r="M40" i="29"/>
  <c r="N40" i="29" s="1"/>
  <c r="S39" i="29"/>
  <c r="T39" i="29" s="1"/>
  <c r="M39" i="29"/>
  <c r="N39" i="29" s="1"/>
  <c r="S23" i="29"/>
  <c r="T23" i="29" s="1"/>
  <c r="M23" i="29"/>
  <c r="N23" i="29" s="1"/>
  <c r="M9" i="29"/>
  <c r="N9" i="29" s="1"/>
  <c r="S9" i="29"/>
  <c r="T9" i="29" s="1"/>
  <c r="M45" i="29"/>
  <c r="N45" i="29" s="1"/>
  <c r="S45" i="29"/>
  <c r="T45" i="29" s="1"/>
  <c r="M41" i="29"/>
  <c r="N41" i="29" s="1"/>
  <c r="S41" i="29"/>
  <c r="T41" i="29" s="1"/>
  <c r="S35" i="29"/>
  <c r="T35" i="29" s="1"/>
  <c r="M35" i="29"/>
  <c r="N35" i="29" s="1"/>
  <c r="H40" i="31" l="1"/>
  <c r="R40" i="31"/>
  <c r="P22" i="29"/>
  <c r="S40" i="31"/>
  <c r="U27" i="31"/>
  <c r="U23" i="31"/>
  <c r="U48" i="31"/>
  <c r="U80" i="31"/>
  <c r="G83" i="31"/>
  <c r="T83" i="31"/>
  <c r="M25" i="31"/>
  <c r="L25" i="31"/>
  <c r="K25" i="31"/>
  <c r="E40" i="31"/>
  <c r="L29" i="31"/>
  <c r="N29" i="31"/>
  <c r="M29" i="31"/>
  <c r="U76" i="31"/>
  <c r="O33" i="31"/>
  <c r="N33" i="31"/>
  <c r="M33" i="31"/>
  <c r="O66" i="31"/>
  <c r="N66" i="31"/>
  <c r="M66" i="31"/>
  <c r="L66" i="31"/>
  <c r="K66" i="31"/>
  <c r="P70" i="31"/>
  <c r="O70" i="31"/>
  <c r="N70" i="31"/>
  <c r="M70" i="31"/>
  <c r="L70" i="31"/>
  <c r="N74" i="31"/>
  <c r="M74" i="31"/>
  <c r="Q74" i="31"/>
  <c r="P74" i="31"/>
  <c r="O74" i="31"/>
  <c r="U68" i="31"/>
  <c r="U7" i="31"/>
  <c r="H83" i="31"/>
  <c r="O78" i="31"/>
  <c r="Q78" i="31"/>
  <c r="N78" i="31"/>
  <c r="R78" i="31"/>
  <c r="R81" i="31" s="1"/>
  <c r="P78" i="31"/>
  <c r="N60" i="31"/>
  <c r="M60" i="31"/>
  <c r="L60" i="31"/>
  <c r="K60" i="31"/>
  <c r="J60" i="31"/>
  <c r="I60" i="31"/>
  <c r="O60" i="31"/>
  <c r="U39" i="31"/>
  <c r="N62" i="31"/>
  <c r="M62" i="31"/>
  <c r="L62" i="31"/>
  <c r="K62" i="31"/>
  <c r="J62" i="31"/>
  <c r="P37" i="31"/>
  <c r="P40" i="31" s="1"/>
  <c r="O37" i="31"/>
  <c r="N37" i="31"/>
  <c r="U31" i="31"/>
  <c r="O19" i="31"/>
  <c r="N19" i="31"/>
  <c r="M19" i="31"/>
  <c r="L19" i="31"/>
  <c r="K19" i="31"/>
  <c r="J19" i="31"/>
  <c r="I19" i="31"/>
  <c r="K17" i="31"/>
  <c r="J17" i="31"/>
  <c r="I17" i="31"/>
  <c r="J21" i="31"/>
  <c r="L21" i="31"/>
  <c r="K21" i="31"/>
  <c r="Q40" i="31"/>
  <c r="L58" i="31"/>
  <c r="K58" i="31"/>
  <c r="M58" i="31"/>
  <c r="J58" i="31"/>
  <c r="I58" i="31"/>
  <c r="U35" i="31"/>
  <c r="U64" i="31"/>
  <c r="F81" i="31"/>
  <c r="F83" i="31" s="1"/>
  <c r="S81" i="31"/>
  <c r="S83" i="31" s="1"/>
  <c r="U72" i="31"/>
  <c r="O43" i="29"/>
  <c r="P43" i="29" s="1"/>
  <c r="O30" i="29"/>
  <c r="P30" i="29" s="1"/>
  <c r="O38" i="29"/>
  <c r="P38" i="29" s="1"/>
  <c r="O47" i="29"/>
  <c r="P47" i="29" s="1"/>
  <c r="O26" i="29"/>
  <c r="P26" i="29" s="1"/>
  <c r="O41" i="29"/>
  <c r="P41" i="29" s="1"/>
  <c r="O45" i="29"/>
  <c r="P45" i="29" s="1"/>
  <c r="O11" i="29"/>
  <c r="P11" i="29" s="1"/>
  <c r="O39" i="29"/>
  <c r="P39" i="29" s="1"/>
  <c r="O48" i="29"/>
  <c r="P48" i="29" s="1"/>
  <c r="O27" i="29"/>
  <c r="P27" i="29" s="1"/>
  <c r="O36" i="29"/>
  <c r="P36" i="29" s="1"/>
  <c r="O9" i="29"/>
  <c r="P9" i="29" s="1"/>
  <c r="O31" i="29"/>
  <c r="P31" i="29" s="1"/>
  <c r="O44" i="29"/>
  <c r="P44" i="29" s="1"/>
  <c r="O15" i="29"/>
  <c r="P15" i="29" s="1"/>
  <c r="O35" i="29"/>
  <c r="P35" i="29" s="1"/>
  <c r="O23" i="29"/>
  <c r="P23" i="29" s="1"/>
  <c r="O40" i="29"/>
  <c r="P40" i="29" s="1"/>
  <c r="R83" i="31" l="1"/>
  <c r="P81" i="31"/>
  <c r="P83" i="31" s="1"/>
  <c r="Q81" i="31"/>
  <c r="Q83" i="31" s="1"/>
  <c r="L40" i="31"/>
  <c r="I40" i="31"/>
  <c r="K81" i="31"/>
  <c r="L81" i="31"/>
  <c r="J40" i="31"/>
  <c r="U62" i="31"/>
  <c r="U25" i="31"/>
  <c r="K40" i="31"/>
  <c r="U60" i="31"/>
  <c r="U66" i="31"/>
  <c r="U19" i="31"/>
  <c r="U17" i="31"/>
  <c r="U37" i="31"/>
  <c r="J81" i="31"/>
  <c r="N81" i="31"/>
  <c r="U29" i="31"/>
  <c r="U78" i="31"/>
  <c r="M81" i="31"/>
  <c r="M40" i="31"/>
  <c r="U74" i="31"/>
  <c r="U58" i="31"/>
  <c r="I81" i="31"/>
  <c r="U21" i="31"/>
  <c r="N40" i="31"/>
  <c r="U33" i="31"/>
  <c r="O40" i="31"/>
  <c r="O81" i="31"/>
  <c r="U70" i="31"/>
  <c r="Q7" i="29"/>
  <c r="R7" i="29" s="1"/>
  <c r="L83" i="31" l="1"/>
  <c r="I83" i="31"/>
  <c r="K83" i="31"/>
  <c r="J83" i="31"/>
  <c r="M83" i="31"/>
  <c r="U81" i="31"/>
  <c r="O83" i="31"/>
  <c r="U40" i="31"/>
  <c r="N83" i="31"/>
  <c r="U82" i="31" l="1"/>
  <c r="U83" i="31"/>
  <c r="B38" i="8" l="1"/>
  <c r="B37" i="8"/>
  <c r="I48" i="8" l="1"/>
  <c r="J48" i="8" s="1"/>
  <c r="K48" i="8" s="1"/>
  <c r="L48" i="8" s="1"/>
  <c r="M48" i="8" s="1"/>
  <c r="N48" i="8" s="1"/>
  <c r="O48" i="8" s="1"/>
  <c r="P48" i="8" s="1"/>
  <c r="Q48" i="8" s="1"/>
  <c r="D39" i="8"/>
  <c r="D31" i="8"/>
  <c r="D30" i="8"/>
  <c r="D29" i="8" l="1"/>
  <c r="I20" i="8" l="1"/>
  <c r="J20" i="8" l="1"/>
  <c r="O8" i="4"/>
  <c r="X8" i="4"/>
  <c r="Y8" i="4"/>
  <c r="Z8" i="4"/>
  <c r="AA8" i="4"/>
  <c r="AB8" i="4"/>
  <c r="AC8" i="4"/>
  <c r="AD8" i="4"/>
  <c r="AE8" i="4"/>
  <c r="AV8" i="4"/>
  <c r="AW8" i="4"/>
  <c r="AX8" i="4"/>
  <c r="AY8" i="4"/>
  <c r="K14" i="4"/>
  <c r="J4" i="7"/>
  <c r="E2" i="10"/>
  <c r="K20" i="8" l="1"/>
  <c r="K5" i="4"/>
  <c r="L5" i="4"/>
  <c r="L20" i="8" l="1"/>
  <c r="B16" i="9"/>
  <c r="AF2" i="6"/>
  <c r="AD2" i="6"/>
  <c r="M20" i="8" l="1"/>
  <c r="M5" i="4"/>
  <c r="AI2" i="6"/>
  <c r="AL2" i="6" s="1"/>
  <c r="AO2" i="6" s="1"/>
  <c r="AR2" i="6" s="1"/>
  <c r="AU2" i="6" s="1"/>
  <c r="AX2" i="6" s="1"/>
  <c r="BA2" i="6" s="1"/>
  <c r="BD2" i="6" s="1"/>
  <c r="BG2" i="6" s="1"/>
  <c r="BJ2" i="6" s="1"/>
  <c r="BM2" i="6" s="1"/>
  <c r="BP2" i="6" s="1"/>
  <c r="BS2" i="6" s="1"/>
  <c r="BV2" i="6" s="1"/>
  <c r="BY2" i="6" s="1"/>
  <c r="CB2" i="6" s="1"/>
  <c r="CE2" i="6" s="1"/>
  <c r="CH2" i="6" s="1"/>
  <c r="CK2" i="6" s="1"/>
  <c r="CN2" i="6" s="1"/>
  <c r="CQ2" i="6" s="1"/>
  <c r="CT2" i="6" s="1"/>
  <c r="CW2" i="6" s="1"/>
  <c r="CZ2" i="6" s="1"/>
  <c r="DC2" i="6" s="1"/>
  <c r="DF2" i="6" s="1"/>
  <c r="DI2" i="6" s="1"/>
  <c r="DL2" i="6" s="1"/>
  <c r="DO2" i="6" s="1"/>
  <c r="AG2" i="6"/>
  <c r="AE2" i="6"/>
  <c r="CR2" i="10" l="1"/>
  <c r="DR2" i="6"/>
  <c r="N20" i="8"/>
  <c r="N5" i="4"/>
  <c r="AH2" i="6"/>
  <c r="AJ2" i="6"/>
  <c r="AM2" i="6" s="1"/>
  <c r="AP2" i="6" s="1"/>
  <c r="AS2" i="6" s="1"/>
  <c r="AV2" i="6" s="1"/>
  <c r="AY2" i="6" s="1"/>
  <c r="BB2" i="6" s="1"/>
  <c r="BE2" i="6" s="1"/>
  <c r="BH2" i="6" s="1"/>
  <c r="BK2" i="6" s="1"/>
  <c r="BN2" i="6" s="1"/>
  <c r="BQ2" i="6" s="1"/>
  <c r="BT2" i="6" s="1"/>
  <c r="BW2" i="6" s="1"/>
  <c r="BZ2" i="6" s="1"/>
  <c r="CC2" i="6" s="1"/>
  <c r="CF2" i="6" s="1"/>
  <c r="CI2" i="6" s="1"/>
  <c r="CL2" i="6" s="1"/>
  <c r="CO2" i="6" s="1"/>
  <c r="CR2" i="6" s="1"/>
  <c r="CU2" i="6" s="1"/>
  <c r="CX2" i="6" s="1"/>
  <c r="DA2" i="6" s="1"/>
  <c r="DD2" i="6" s="1"/>
  <c r="DG2" i="6" s="1"/>
  <c r="DJ2" i="6" s="1"/>
  <c r="DM2" i="6" s="1"/>
  <c r="DP2" i="6" s="1"/>
  <c r="B15" i="9"/>
  <c r="AK2" i="6" l="1"/>
  <c r="CS2" i="10"/>
  <c r="DS2" i="6"/>
  <c r="DU2" i="6"/>
  <c r="CU2" i="10"/>
  <c r="O20" i="8"/>
  <c r="O5" i="4"/>
  <c r="AN2" i="6" l="1"/>
  <c r="DX2" i="6"/>
  <c r="CX2" i="10"/>
  <c r="DV2" i="6"/>
  <c r="CV2" i="10"/>
  <c r="P20" i="8"/>
  <c r="P5" i="4"/>
  <c r="AQ2" i="6" l="1"/>
  <c r="DY2" i="6"/>
  <c r="CY2" i="10"/>
  <c r="DA2" i="10"/>
  <c r="EA2" i="6"/>
  <c r="Q20" i="8"/>
  <c r="FP4" i="6"/>
  <c r="Q5" i="4"/>
  <c r="D13" i="17"/>
  <c r="C13" i="17"/>
  <c r="AT2" i="6" l="1"/>
  <c r="AW2" i="6" s="1"/>
  <c r="AZ2" i="6" s="1"/>
  <c r="BC2" i="6" s="1"/>
  <c r="BF2" i="6" s="1"/>
  <c r="BI2" i="6" s="1"/>
  <c r="BL2" i="6" s="1"/>
  <c r="BO2" i="6" s="1"/>
  <c r="BR2" i="6" s="1"/>
  <c r="BU2" i="6" s="1"/>
  <c r="BX2" i="6" s="1"/>
  <c r="CA2" i="6" s="1"/>
  <c r="CD2" i="6" s="1"/>
  <c r="CG2" i="6" s="1"/>
  <c r="CJ2" i="6" s="1"/>
  <c r="CM2" i="6" s="1"/>
  <c r="CP2" i="6" s="1"/>
  <c r="CS2" i="6" s="1"/>
  <c r="CV2" i="6" s="1"/>
  <c r="CY2" i="6" s="1"/>
  <c r="DB2" i="6" s="1"/>
  <c r="DE2" i="6" s="1"/>
  <c r="DH2" i="6" s="1"/>
  <c r="DK2" i="6" s="1"/>
  <c r="DN2" i="6" s="1"/>
  <c r="DQ2" i="6" s="1"/>
  <c r="CT2" i="10" s="1"/>
  <c r="ED2" i="6"/>
  <c r="DD2" i="10"/>
  <c r="EB2" i="6"/>
  <c r="DB2" i="10"/>
  <c r="ES3" i="10"/>
  <c r="FQ4" i="6"/>
  <c r="R5" i="4"/>
  <c r="DT2" i="6" l="1"/>
  <c r="DW2" i="6" s="1"/>
  <c r="CW2" i="10"/>
  <c r="EE2" i="6"/>
  <c r="DE2" i="10"/>
  <c r="EG2" i="6"/>
  <c r="DG2" i="10"/>
  <c r="ET3" i="10"/>
  <c r="FR4" i="6"/>
  <c r="S5" i="4"/>
  <c r="B4" i="17"/>
  <c r="B13" i="17" s="1"/>
  <c r="C2" i="17"/>
  <c r="D2" i="17" s="1"/>
  <c r="DZ2" i="6" l="1"/>
  <c r="CZ2" i="10"/>
  <c r="EJ2" i="6"/>
  <c r="DJ2" i="10"/>
  <c r="EH2" i="6"/>
  <c r="DH2" i="10"/>
  <c r="EU3" i="10"/>
  <c r="FS4" i="6"/>
  <c r="T5" i="4"/>
  <c r="EC2" i="6" l="1"/>
  <c r="DC2" i="10"/>
  <c r="EK2" i="6"/>
  <c r="DK2" i="10"/>
  <c r="EM2" i="6"/>
  <c r="DM2" i="10"/>
  <c r="EV3" i="10"/>
  <c r="FT4" i="6"/>
  <c r="U5" i="4"/>
  <c r="EF2" i="6" l="1"/>
  <c r="DF2" i="10"/>
  <c r="EP2" i="6"/>
  <c r="DP2" i="10"/>
  <c r="EN2" i="6"/>
  <c r="DN2" i="10"/>
  <c r="EW3" i="10"/>
  <c r="FU4" i="6"/>
  <c r="V5" i="4"/>
  <c r="EI2" i="6" l="1"/>
  <c r="DI2" i="10"/>
  <c r="EQ2" i="6"/>
  <c r="DQ2" i="10"/>
  <c r="ES2" i="6"/>
  <c r="DS2" i="10"/>
  <c r="EX3" i="10"/>
  <c r="FV4" i="6"/>
  <c r="W5" i="4"/>
  <c r="EL2" i="6" l="1"/>
  <c r="DL2" i="10"/>
  <c r="EV2" i="6"/>
  <c r="DV2" i="10"/>
  <c r="ET2" i="6"/>
  <c r="DT2" i="10"/>
  <c r="EY3" i="10"/>
  <c r="FW4" i="6"/>
  <c r="X5" i="4"/>
  <c r="EO2" i="6" l="1"/>
  <c r="DO2" i="10"/>
  <c r="EW2" i="6"/>
  <c r="DW2" i="10"/>
  <c r="EY2" i="6"/>
  <c r="FB2" i="6" s="1"/>
  <c r="FE2" i="6" s="1"/>
  <c r="FH2" i="6" s="1"/>
  <c r="DY2" i="10"/>
  <c r="EZ3" i="10"/>
  <c r="FX4" i="6"/>
  <c r="Y5" i="4"/>
  <c r="D19" i="16"/>
  <c r="D10" i="8" s="1"/>
  <c r="ER2" i="6" l="1"/>
  <c r="DR2" i="10"/>
  <c r="EZ2" i="6"/>
  <c r="FC2" i="6" s="1"/>
  <c r="FF2" i="6" s="1"/>
  <c r="DZ2" i="10"/>
  <c r="D37" i="8"/>
  <c r="D15" i="32"/>
  <c r="FA3" i="10"/>
  <c r="FY4" i="6"/>
  <c r="Z5" i="4"/>
  <c r="EU2" i="6" l="1"/>
  <c r="DU2" i="10"/>
  <c r="FI2" i="6"/>
  <c r="FB3" i="10"/>
  <c r="FZ4" i="6"/>
  <c r="AA5" i="4"/>
  <c r="J7" i="7"/>
  <c r="F7" i="7"/>
  <c r="DX2" i="10" l="1"/>
  <c r="EX2" i="6"/>
  <c r="J17" i="7"/>
  <c r="AD7" i="7"/>
  <c r="FC3" i="10"/>
  <c r="GA4" i="6"/>
  <c r="AB5" i="4"/>
  <c r="D14" i="9"/>
  <c r="H14" i="9" s="1"/>
  <c r="B14" i="9"/>
  <c r="B10" i="9"/>
  <c r="B19" i="10"/>
  <c r="FA2" i="6" l="1"/>
  <c r="EA2" i="10"/>
  <c r="FD3" i="10"/>
  <c r="CF2" i="10"/>
  <c r="GB4" i="6"/>
  <c r="AC5" i="4"/>
  <c r="D11" i="8"/>
  <c r="D15" i="8" s="1"/>
  <c r="D43" i="8" s="1"/>
  <c r="D20" i="32"/>
  <c r="X10" i="29"/>
  <c r="FD2" i="6" l="1"/>
  <c r="GY10" i="6"/>
  <c r="CG2" i="10"/>
  <c r="CI2" i="10"/>
  <c r="CJ2" i="10"/>
  <c r="D38" i="8"/>
  <c r="D16" i="32"/>
  <c r="GC4" i="6"/>
  <c r="FE3" i="10"/>
  <c r="AD5" i="4"/>
  <c r="Y10" i="29"/>
  <c r="B17" i="9"/>
  <c r="N8" i="4"/>
  <c r="M8" i="4"/>
  <c r="L8" i="4"/>
  <c r="K8" i="4"/>
  <c r="AC4" i="6"/>
  <c r="FG2" i="6" l="1"/>
  <c r="FJ2" i="6" s="1"/>
  <c r="AC10" i="6"/>
  <c r="CH2" i="10"/>
  <c r="AC8" i="6"/>
  <c r="AC11" i="6"/>
  <c r="AC9" i="6"/>
  <c r="FF3" i="10"/>
  <c r="CM2" i="10"/>
  <c r="CL2" i="10"/>
  <c r="CK2" i="10"/>
  <c r="GD4" i="6"/>
  <c r="AE5" i="4"/>
  <c r="CP2" i="10" l="1"/>
  <c r="CO2" i="10"/>
  <c r="FG3" i="10"/>
  <c r="CN2" i="10"/>
  <c r="GE4" i="6"/>
  <c r="CQ2" i="10" l="1"/>
  <c r="FH3" i="10"/>
  <c r="FY3" i="10" l="1"/>
  <c r="EB2" i="10"/>
  <c r="EC2" i="10"/>
  <c r="X9" i="29"/>
  <c r="Y9" i="29" s="1"/>
  <c r="FZ3" i="10" l="1"/>
  <c r="EF2" i="10"/>
  <c r="ED2" i="10"/>
  <c r="EE2" i="10"/>
  <c r="GA3" i="10" l="1"/>
  <c r="GB3" i="10"/>
  <c r="EH2" i="10"/>
  <c r="EG2" i="10"/>
  <c r="EI2" i="10"/>
  <c r="EL2" i="10" l="1"/>
  <c r="EJ2" i="10"/>
  <c r="EK2" i="10"/>
  <c r="EM2" i="10" l="1"/>
  <c r="D7" i="9" l="1"/>
  <c r="G8" i="9" l="1"/>
  <c r="G16" i="9" s="1"/>
  <c r="F8" i="9"/>
  <c r="E8" i="9"/>
  <c r="H8" i="9"/>
  <c r="G14" i="9" l="1"/>
  <c r="H16" i="9"/>
  <c r="F16" i="9"/>
  <c r="F14" i="9"/>
  <c r="E16" i="9"/>
  <c r="E14" i="9"/>
  <c r="D8" i="9"/>
  <c r="X19" i="29" l="1"/>
  <c r="Y19" i="29" s="1"/>
  <c r="J12" i="4" l="1"/>
  <c r="J11" i="4"/>
  <c r="AY9" i="4"/>
  <c r="AX9" i="4"/>
  <c r="AW9" i="4"/>
  <c r="AV9" i="4"/>
  <c r="AE9" i="4"/>
  <c r="AD9" i="4"/>
  <c r="AC9" i="4"/>
  <c r="AB9" i="4"/>
  <c r="Y6" i="7"/>
  <c r="Y22" i="7" s="1"/>
  <c r="AE14" i="4" l="1"/>
  <c r="AE15" i="4" s="1"/>
  <c r="X34" i="8"/>
  <c r="X5" i="32"/>
  <c r="X5" i="8"/>
  <c r="X28" i="8" l="1"/>
  <c r="X27" i="8" s="1"/>
  <c r="X4" i="8"/>
  <c r="AA12" i="32"/>
  <c r="X12" i="32"/>
  <c r="AC6" i="4"/>
  <c r="AW6" i="4"/>
  <c r="AV6" i="4" l="1"/>
  <c r="AX6" i="4" l="1"/>
  <c r="AY6" i="4" l="1"/>
  <c r="AD6" i="4" l="1"/>
  <c r="AE6" i="4"/>
  <c r="K7" i="4" l="1"/>
  <c r="V6" i="7" l="1"/>
  <c r="V22" i="7" s="1"/>
  <c r="W6" i="7"/>
  <c r="W22" i="7" s="1"/>
  <c r="X6" i="7"/>
  <c r="X22" i="7" s="1"/>
  <c r="V34" i="8" l="1"/>
  <c r="AO12" i="32"/>
  <c r="AC14" i="4"/>
  <c r="AC15" i="4" s="1"/>
  <c r="AD14" i="4"/>
  <c r="AD15" i="4" s="1"/>
  <c r="AP12" i="32"/>
  <c r="W34" i="8"/>
  <c r="AM12" i="32"/>
  <c r="AB14" i="4"/>
  <c r="AB15" i="4" s="1"/>
  <c r="U34" i="8"/>
  <c r="AN12" i="32"/>
  <c r="W5" i="32"/>
  <c r="V5" i="32"/>
  <c r="U5" i="32"/>
  <c r="V5" i="8"/>
  <c r="W5" i="8"/>
  <c r="U5" i="8"/>
  <c r="U28" i="8" l="1"/>
  <c r="U27" i="8" s="1"/>
  <c r="U4" i="8"/>
  <c r="W28" i="8"/>
  <c r="W27" i="8" s="1"/>
  <c r="W4" i="8"/>
  <c r="V28" i="8"/>
  <c r="V27" i="8" s="1"/>
  <c r="V4" i="8"/>
  <c r="V12" i="32"/>
  <c r="AB12" i="32"/>
  <c r="Z12" i="32"/>
  <c r="AD12" i="32"/>
  <c r="W12" i="32"/>
  <c r="AC12" i="32"/>
  <c r="Y12" i="32"/>
  <c r="U12" i="32"/>
  <c r="X11" i="29"/>
  <c r="Y11" i="29" s="1"/>
  <c r="X12" i="29"/>
  <c r="Y12" i="29" s="1"/>
  <c r="X13" i="29"/>
  <c r="Y13" i="29" s="1"/>
  <c r="X14" i="29"/>
  <c r="Y14" i="29" s="1"/>
  <c r="X40" i="29"/>
  <c r="Y40" i="29" s="1"/>
  <c r="X41" i="29"/>
  <c r="Y41" i="29" s="1"/>
  <c r="X42" i="29"/>
  <c r="Y42" i="29" s="1"/>
  <c r="X43" i="29"/>
  <c r="Y43" i="29" s="1"/>
  <c r="X45" i="29"/>
  <c r="Y45" i="29" s="1"/>
  <c r="X46" i="29"/>
  <c r="Y46" i="29" s="1"/>
  <c r="X47" i="29"/>
  <c r="Y47" i="29" s="1"/>
  <c r="X48" i="29" l="1"/>
  <c r="Y48" i="29" s="1"/>
  <c r="X44" i="29"/>
  <c r="Y44" i="29" s="1"/>
  <c r="X34" i="29"/>
  <c r="Y34" i="29" s="1"/>
  <c r="X33" i="29"/>
  <c r="Y33" i="29" s="1"/>
  <c r="X32" i="29"/>
  <c r="Y32" i="29" s="1"/>
  <c r="X28" i="29"/>
  <c r="Y28" i="29" s="1"/>
  <c r="X27" i="29"/>
  <c r="Y27" i="29" s="1"/>
  <c r="X26" i="29"/>
  <c r="Y26" i="29" s="1"/>
  <c r="X25" i="29"/>
  <c r="Y25" i="29" s="1"/>
  <c r="X24" i="29"/>
  <c r="Y24" i="29" s="1"/>
  <c r="X23" i="29"/>
  <c r="Y23" i="29" s="1"/>
  <c r="X22" i="29"/>
  <c r="Y22" i="29" s="1"/>
  <c r="X20" i="29"/>
  <c r="Y20" i="29" s="1"/>
  <c r="X18" i="29"/>
  <c r="Y18" i="29" s="1"/>
  <c r="X17" i="29"/>
  <c r="Y17" i="29" s="1"/>
  <c r="X16" i="29"/>
  <c r="Y16" i="29" s="1"/>
  <c r="X15" i="29"/>
  <c r="Y15" i="29" s="1"/>
  <c r="X39" i="29"/>
  <c r="Y39" i="29" s="1"/>
  <c r="X38" i="29"/>
  <c r="Y38" i="29" s="1"/>
  <c r="X37" i="29"/>
  <c r="Y37" i="29" s="1"/>
  <c r="X36" i="29"/>
  <c r="Y36" i="29" s="1"/>
  <c r="X35" i="29"/>
  <c r="Y35" i="29" s="1"/>
  <c r="X29" i="29" l="1"/>
  <c r="Y29" i="29" s="1"/>
  <c r="X31" i="29"/>
  <c r="Y31" i="29" s="1"/>
  <c r="X21" i="29"/>
  <c r="Y21" i="29" s="1"/>
  <c r="D9" i="10"/>
  <c r="D14" i="10"/>
  <c r="D4" i="10"/>
  <c r="D9" i="8" l="1"/>
  <c r="E7" i="4" l="1"/>
  <c r="I10" i="9" l="1"/>
  <c r="F7" i="4"/>
  <c r="G7" i="4" s="1"/>
  <c r="P8" i="4" l="1"/>
  <c r="Q8" i="4" l="1"/>
  <c r="R8" i="4" l="1"/>
  <c r="BV2" i="10"/>
  <c r="BW2" i="10"/>
  <c r="BX2" i="10"/>
  <c r="BY2" i="10"/>
  <c r="BZ2" i="10"/>
  <c r="CA2" i="10"/>
  <c r="CB2" i="10"/>
  <c r="CC2" i="10"/>
  <c r="CD2" i="10"/>
  <c r="CE2" i="10"/>
  <c r="BH2" i="10"/>
  <c r="BI2" i="10"/>
  <c r="BJ2" i="10"/>
  <c r="BK2" i="10"/>
  <c r="BL2" i="10"/>
  <c r="BM2" i="10"/>
  <c r="BN2" i="10"/>
  <c r="BO2" i="10"/>
  <c r="BP2" i="10"/>
  <c r="BQ2" i="10"/>
  <c r="BR2" i="10"/>
  <c r="BS2" i="10"/>
  <c r="BT2" i="10"/>
  <c r="BU2" i="10"/>
  <c r="S8" i="4" l="1"/>
  <c r="E3" i="10"/>
  <c r="E7" i="10" s="1"/>
  <c r="F2" i="10"/>
  <c r="G2" i="10"/>
  <c r="H2" i="10"/>
  <c r="I2" i="10"/>
  <c r="J2" i="10"/>
  <c r="K2" i="10"/>
  <c r="L2" i="10"/>
  <c r="M2" i="10"/>
  <c r="N2" i="10"/>
  <c r="O2" i="10"/>
  <c r="P2" i="10"/>
  <c r="Q2" i="10"/>
  <c r="R2" i="10"/>
  <c r="S2" i="10"/>
  <c r="T2" i="10"/>
  <c r="U2" i="10"/>
  <c r="V2" i="10"/>
  <c r="W2" i="10"/>
  <c r="X2" i="10"/>
  <c r="Y2" i="10"/>
  <c r="Z2" i="10"/>
  <c r="AA2" i="10"/>
  <c r="AB2" i="10"/>
  <c r="AC2" i="10"/>
  <c r="AD2" i="10"/>
  <c r="AE2" i="10"/>
  <c r="AF2" i="10"/>
  <c r="AG2" i="10"/>
  <c r="AH2" i="10"/>
  <c r="AI2" i="10"/>
  <c r="AJ2" i="10"/>
  <c r="AK2" i="10"/>
  <c r="AL2" i="10"/>
  <c r="AM2" i="10"/>
  <c r="AN2" i="10"/>
  <c r="AO2" i="10"/>
  <c r="AP2" i="10"/>
  <c r="AQ2" i="10"/>
  <c r="AR2" i="10"/>
  <c r="AS2" i="10"/>
  <c r="AT2" i="10"/>
  <c r="AU2" i="10"/>
  <c r="AV2" i="10"/>
  <c r="AW2" i="10"/>
  <c r="AX2" i="10"/>
  <c r="AY2" i="10"/>
  <c r="AZ2" i="10"/>
  <c r="BA2" i="10"/>
  <c r="BB2" i="10"/>
  <c r="BC2" i="10"/>
  <c r="BD2" i="10"/>
  <c r="BE2" i="10"/>
  <c r="BF2" i="10"/>
  <c r="BG2" i="10"/>
  <c r="FL4" i="6"/>
  <c r="FM4" i="6"/>
  <c r="FN4" i="6"/>
  <c r="FO4" i="6"/>
  <c r="E13" i="7"/>
  <c r="E11" i="7"/>
  <c r="G7" i="7"/>
  <c r="H7" i="7" s="1"/>
  <c r="I7" i="7" s="1"/>
  <c r="U6" i="7"/>
  <c r="T6" i="7"/>
  <c r="S6" i="7"/>
  <c r="R6" i="7"/>
  <c r="G12" i="4"/>
  <c r="FK4" i="6"/>
  <c r="B9" i="8"/>
  <c r="B8" i="8"/>
  <c r="J16" i="4"/>
  <c r="R5" i="32" l="1"/>
  <c r="S23" i="7"/>
  <c r="Q5" i="32"/>
  <c r="R23" i="7"/>
  <c r="T5" i="32"/>
  <c r="U23" i="7"/>
  <c r="T35" i="8" s="1"/>
  <c r="S5" i="32"/>
  <c r="T23" i="7"/>
  <c r="E8" i="10"/>
  <c r="E5" i="10"/>
  <c r="E6" i="10"/>
  <c r="K7" i="7"/>
  <c r="AE7" i="7" s="1"/>
  <c r="AC7" i="7"/>
  <c r="T8" i="4"/>
  <c r="E6" i="7"/>
  <c r="EP3" i="10"/>
  <c r="EO3" i="10"/>
  <c r="ER3" i="10"/>
  <c r="EQ3" i="10"/>
  <c r="R5" i="8"/>
  <c r="S5" i="8"/>
  <c r="T5" i="8"/>
  <c r="Q5" i="8"/>
  <c r="K6" i="7"/>
  <c r="G6" i="7"/>
  <c r="F6" i="7"/>
  <c r="F3" i="10"/>
  <c r="F7" i="10" s="1"/>
  <c r="AD4" i="6"/>
  <c r="N6" i="7"/>
  <c r="J6" i="7"/>
  <c r="Q6" i="7"/>
  <c r="I6" i="7"/>
  <c r="O6" i="7"/>
  <c r="M6" i="7"/>
  <c r="H6" i="7"/>
  <c r="L6" i="7"/>
  <c r="P6" i="7"/>
  <c r="EN3" i="10"/>
  <c r="L7" i="7" l="1"/>
  <c r="AF7" i="7" s="1"/>
  <c r="AD10" i="6"/>
  <c r="N5" i="32"/>
  <c r="O23" i="7"/>
  <c r="M5" i="32"/>
  <c r="N23" i="7"/>
  <c r="L5" i="32"/>
  <c r="M23" i="7"/>
  <c r="L35" i="8" s="1"/>
  <c r="I23" i="7"/>
  <c r="H35" i="8" s="1"/>
  <c r="I5" i="32"/>
  <c r="J23" i="7"/>
  <c r="I35" i="8" s="1"/>
  <c r="Q35" i="8"/>
  <c r="AJ13" i="32"/>
  <c r="G23" i="7"/>
  <c r="F35" i="8" s="1"/>
  <c r="K5" i="32"/>
  <c r="L23" i="7"/>
  <c r="K35" i="8" s="1"/>
  <c r="J5" i="32"/>
  <c r="K23" i="7"/>
  <c r="J35" i="8" s="1"/>
  <c r="R35" i="8"/>
  <c r="AK13" i="32"/>
  <c r="P5" i="32"/>
  <c r="Q23" i="7"/>
  <c r="P35" i="8" s="1"/>
  <c r="AI13" i="32"/>
  <c r="S35" i="8"/>
  <c r="AL13" i="32"/>
  <c r="O5" i="32"/>
  <c r="P23" i="7"/>
  <c r="H23" i="7"/>
  <c r="G35" i="8" s="1"/>
  <c r="T28" i="8"/>
  <c r="T27" i="8" s="1"/>
  <c r="T4" i="8"/>
  <c r="S28" i="8"/>
  <c r="S27" i="8" s="1"/>
  <c r="S4" i="8"/>
  <c r="R28" i="8"/>
  <c r="R27" i="8" s="1"/>
  <c r="R4" i="8"/>
  <c r="Q28" i="8"/>
  <c r="Q27" i="8" s="1"/>
  <c r="Q4" i="8"/>
  <c r="F8" i="10"/>
  <c r="F6" i="10"/>
  <c r="F5" i="10"/>
  <c r="AD8" i="6"/>
  <c r="AD11" i="6"/>
  <c r="AD9" i="6"/>
  <c r="F23" i="7"/>
  <c r="E35" i="8" s="1"/>
  <c r="E5" i="32"/>
  <c r="F5" i="32"/>
  <c r="H5" i="32"/>
  <c r="D5" i="8"/>
  <c r="D5" i="32"/>
  <c r="G5" i="32"/>
  <c r="M7" i="7"/>
  <c r="AG7" i="7" s="1"/>
  <c r="U8" i="4"/>
  <c r="P5" i="8"/>
  <c r="J5" i="8"/>
  <c r="G5" i="8"/>
  <c r="K5" i="8"/>
  <c r="L5" i="8"/>
  <c r="N5" i="8"/>
  <c r="I5" i="8"/>
  <c r="F5" i="8"/>
  <c r="M5" i="8"/>
  <c r="O5" i="8"/>
  <c r="E5" i="8"/>
  <c r="H5" i="8"/>
  <c r="AE4" i="6"/>
  <c r="G3" i="10"/>
  <c r="G7" i="10" s="1"/>
  <c r="F11" i="7"/>
  <c r="AE10" i="6" l="1"/>
  <c r="AE13" i="32"/>
  <c r="O35" i="8"/>
  <c r="AH13" i="32"/>
  <c r="M35" i="8"/>
  <c r="AF13" i="32"/>
  <c r="N35" i="8"/>
  <c r="AG13" i="32"/>
  <c r="H28" i="8"/>
  <c r="H27" i="8" s="1"/>
  <c r="H4" i="8"/>
  <c r="E28" i="8"/>
  <c r="E27" i="8" s="1"/>
  <c r="E4" i="8"/>
  <c r="G28" i="8"/>
  <c r="G27" i="8" s="1"/>
  <c r="G4" i="8"/>
  <c r="J28" i="8"/>
  <c r="J27" i="8" s="1"/>
  <c r="J4" i="8"/>
  <c r="M28" i="8"/>
  <c r="M27" i="8" s="1"/>
  <c r="M4" i="8"/>
  <c r="P28" i="8"/>
  <c r="P27" i="8" s="1"/>
  <c r="P4" i="8"/>
  <c r="F28" i="8"/>
  <c r="F27" i="8" s="1"/>
  <c r="F4" i="8"/>
  <c r="L28" i="8"/>
  <c r="L27" i="8" s="1"/>
  <c r="L4" i="8"/>
  <c r="D28" i="8"/>
  <c r="D27" i="8" s="1"/>
  <c r="D4" i="8"/>
  <c r="I28" i="8"/>
  <c r="I27" i="8" s="1"/>
  <c r="I4" i="8"/>
  <c r="K28" i="8"/>
  <c r="K27" i="8" s="1"/>
  <c r="K4" i="8"/>
  <c r="O28" i="8"/>
  <c r="O27" i="8" s="1"/>
  <c r="O4" i="8"/>
  <c r="N28" i="8"/>
  <c r="N27" i="8" s="1"/>
  <c r="N4" i="8"/>
  <c r="G8" i="10"/>
  <c r="G6" i="10"/>
  <c r="G5" i="10"/>
  <c r="AE8" i="6"/>
  <c r="AE11" i="6"/>
  <c r="AE9" i="6"/>
  <c r="H13" i="32"/>
  <c r="J13" i="32"/>
  <c r="K13" i="32"/>
  <c r="F13" i="32"/>
  <c r="I13" i="32"/>
  <c r="G13" i="32"/>
  <c r="E13" i="32"/>
  <c r="M13" i="32"/>
  <c r="N13" i="32"/>
  <c r="L13" i="32"/>
  <c r="N7" i="7"/>
  <c r="AH7" i="7" s="1"/>
  <c r="V8" i="4"/>
  <c r="C9" i="8"/>
  <c r="H3" i="10"/>
  <c r="H7" i="10" s="1"/>
  <c r="AF4" i="6"/>
  <c r="E8" i="4"/>
  <c r="F12" i="7"/>
  <c r="F22" i="7" s="1"/>
  <c r="AF10" i="6" l="1"/>
  <c r="L14" i="4"/>
  <c r="L15" i="4" s="1"/>
  <c r="E34" i="8"/>
  <c r="H8" i="10"/>
  <c r="H6" i="10"/>
  <c r="H5" i="10"/>
  <c r="AF8" i="6"/>
  <c r="AF11" i="6"/>
  <c r="AF9" i="6"/>
  <c r="E12" i="32"/>
  <c r="F8" i="4"/>
  <c r="I14" i="9"/>
  <c r="O7" i="7"/>
  <c r="AI7" i="7" s="1"/>
  <c r="W8" i="4"/>
  <c r="J8" i="4" s="1"/>
  <c r="AG4" i="6"/>
  <c r="I3" i="10"/>
  <c r="I7" i="10" s="1"/>
  <c r="F13" i="7"/>
  <c r="AG10" i="6" l="1"/>
  <c r="I8" i="10"/>
  <c r="I6" i="10"/>
  <c r="I5" i="10"/>
  <c r="AG8" i="6"/>
  <c r="AG11" i="6"/>
  <c r="AG9" i="6"/>
  <c r="P7" i="7"/>
  <c r="AH4" i="6"/>
  <c r="J3" i="10"/>
  <c r="J7" i="10" s="1"/>
  <c r="G8" i="4"/>
  <c r="I8" i="4" s="1"/>
  <c r="G11" i="7"/>
  <c r="G12" i="7" s="1"/>
  <c r="G22" i="7" s="1"/>
  <c r="F34" i="8" l="1"/>
  <c r="M14" i="4"/>
  <c r="M15" i="4" s="1"/>
  <c r="AH10" i="6"/>
  <c r="J8" i="10"/>
  <c r="J6" i="10"/>
  <c r="J5" i="10"/>
  <c r="Q7" i="7"/>
  <c r="AK7" i="7" s="1"/>
  <c r="AJ7" i="7"/>
  <c r="R7" i="7"/>
  <c r="S7" i="7" s="1"/>
  <c r="AH8" i="6"/>
  <c r="AH11" i="6"/>
  <c r="AH9" i="6"/>
  <c r="AI4" i="6"/>
  <c r="K3" i="10"/>
  <c r="K7" i="10" s="1"/>
  <c r="AI10" i="6" l="1"/>
  <c r="K8" i="10"/>
  <c r="K6" i="10"/>
  <c r="K5" i="10"/>
  <c r="T7" i="7"/>
  <c r="U7" i="7" s="1"/>
  <c r="AM7" i="7"/>
  <c r="AL7" i="7"/>
  <c r="AI8" i="6"/>
  <c r="AI11" i="6"/>
  <c r="AI9" i="6"/>
  <c r="AJ4" i="6"/>
  <c r="L3" i="10"/>
  <c r="L7" i="10" s="1"/>
  <c r="G13" i="7"/>
  <c r="H11" i="7"/>
  <c r="I8" i="7" s="1"/>
  <c r="AO7" i="7" l="1"/>
  <c r="D26" i="16"/>
  <c r="E31" i="16" s="1"/>
  <c r="AJ10" i="6"/>
  <c r="L8" i="10"/>
  <c r="L6" i="10"/>
  <c r="L5" i="10"/>
  <c r="V7" i="7"/>
  <c r="AN7" i="7"/>
  <c r="AJ8" i="6"/>
  <c r="AJ11" i="6"/>
  <c r="AJ9" i="6"/>
  <c r="I11" i="7"/>
  <c r="I12" i="7" s="1"/>
  <c r="I22" i="7" s="1"/>
  <c r="AK4" i="6"/>
  <c r="M3" i="10"/>
  <c r="M7" i="10" s="1"/>
  <c r="H12" i="7"/>
  <c r="H22" i="7" s="1"/>
  <c r="O14" i="4" l="1"/>
  <c r="O15" i="4" s="1"/>
  <c r="H34" i="8"/>
  <c r="G34" i="8"/>
  <c r="N14" i="4"/>
  <c r="N15" i="4" s="1"/>
  <c r="AK10" i="6"/>
  <c r="M8" i="10"/>
  <c r="M6" i="10"/>
  <c r="M5" i="10"/>
  <c r="AP7" i="7"/>
  <c r="W7" i="7"/>
  <c r="AK8" i="6"/>
  <c r="AK11" i="6"/>
  <c r="AK9" i="6"/>
  <c r="AL4" i="6"/>
  <c r="N3" i="10"/>
  <c r="N7" i="10" s="1"/>
  <c r="H13" i="7"/>
  <c r="AL10" i="6" l="1"/>
  <c r="N8" i="10"/>
  <c r="N6" i="10"/>
  <c r="N5" i="10"/>
  <c r="AQ7" i="7"/>
  <c r="X7" i="7"/>
  <c r="AL8" i="6"/>
  <c r="AL11" i="6"/>
  <c r="AL9" i="6"/>
  <c r="O3" i="10"/>
  <c r="O7" i="10" s="1"/>
  <c r="AM4" i="6"/>
  <c r="AM10" i="6" l="1"/>
  <c r="O8" i="10"/>
  <c r="O6" i="10"/>
  <c r="O5" i="10"/>
  <c r="AR7" i="7"/>
  <c r="Y7" i="7"/>
  <c r="AM8" i="6"/>
  <c r="AM11" i="6"/>
  <c r="AM9" i="6"/>
  <c r="AN4" i="6"/>
  <c r="P3" i="10"/>
  <c r="P7" i="10" s="1"/>
  <c r="AN10" i="6" l="1"/>
  <c r="P8" i="10"/>
  <c r="P6" i="10"/>
  <c r="P5" i="10"/>
  <c r="AS7" i="7"/>
  <c r="Z7" i="7"/>
  <c r="AN8" i="6"/>
  <c r="AN11" i="6"/>
  <c r="AN9" i="6"/>
  <c r="AO4" i="6"/>
  <c r="Q3" i="10"/>
  <c r="Q7" i="10" s="1"/>
  <c r="AO10" i="6" l="1"/>
  <c r="Q8" i="10"/>
  <c r="Q6" i="10"/>
  <c r="Q5" i="10"/>
  <c r="AA7" i="7"/>
  <c r="AO8" i="6"/>
  <c r="AO11" i="6"/>
  <c r="AO9" i="6"/>
  <c r="R3" i="10"/>
  <c r="R7" i="10" s="1"/>
  <c r="AP4" i="6"/>
  <c r="AP10" i="6" l="1"/>
  <c r="R8" i="10"/>
  <c r="R6" i="10"/>
  <c r="R5" i="10"/>
  <c r="AB7" i="7"/>
  <c r="AP8" i="6"/>
  <c r="AP11" i="6"/>
  <c r="AP9" i="6"/>
  <c r="AQ4" i="6"/>
  <c r="S3" i="10"/>
  <c r="S7" i="10" s="1"/>
  <c r="P4" i="10"/>
  <c r="N4" i="10"/>
  <c r="J4" i="10"/>
  <c r="Q4" i="10"/>
  <c r="M4" i="10"/>
  <c r="I4" i="10"/>
  <c r="K4" i="10"/>
  <c r="O4" i="10"/>
  <c r="L4" i="10"/>
  <c r="H4" i="10"/>
  <c r="G4" i="10"/>
  <c r="F4" i="10"/>
  <c r="E4" i="10"/>
  <c r="AQ10" i="6" l="1"/>
  <c r="S8" i="10"/>
  <c r="S6" i="10"/>
  <c r="S5" i="10"/>
  <c r="AQ8" i="6"/>
  <c r="AQ11" i="6"/>
  <c r="AQ9" i="6"/>
  <c r="T3" i="10"/>
  <c r="T7" i="10" s="1"/>
  <c r="AR4" i="6"/>
  <c r="R4" i="10"/>
  <c r="AR10" i="6" l="1"/>
  <c r="T8" i="10"/>
  <c r="T6" i="10"/>
  <c r="T5" i="10"/>
  <c r="AR8" i="6"/>
  <c r="AR11" i="6"/>
  <c r="AR9" i="6"/>
  <c r="U3" i="10"/>
  <c r="U7" i="10" s="1"/>
  <c r="S4" i="10"/>
  <c r="AS4" i="6"/>
  <c r="J8" i="7"/>
  <c r="AS10" i="6" l="1"/>
  <c r="U8" i="10"/>
  <c r="U6" i="10"/>
  <c r="U5" i="10"/>
  <c r="AS8" i="6"/>
  <c r="AS11" i="6"/>
  <c r="AS9" i="6"/>
  <c r="T4" i="10"/>
  <c r="AT4" i="6"/>
  <c r="V3" i="10"/>
  <c r="V7" i="10" s="1"/>
  <c r="I13" i="7"/>
  <c r="AT10" i="6" l="1"/>
  <c r="V8" i="10"/>
  <c r="V5" i="10"/>
  <c r="V6" i="10"/>
  <c r="AT8" i="6"/>
  <c r="AT11" i="6"/>
  <c r="AT9" i="6"/>
  <c r="U4" i="10"/>
  <c r="AU4" i="6"/>
  <c r="W3" i="10"/>
  <c r="W7" i="10" s="1"/>
  <c r="AU10" i="6" l="1"/>
  <c r="W8" i="10"/>
  <c r="EN8" i="10" s="1"/>
  <c r="W5" i="10"/>
  <c r="EN5" i="10" s="1"/>
  <c r="W6" i="10"/>
  <c r="AU8" i="6"/>
  <c r="AU11" i="6"/>
  <c r="AU9" i="6"/>
  <c r="AV4" i="6"/>
  <c r="X3" i="10"/>
  <c r="X7" i="10" s="1"/>
  <c r="V4" i="10"/>
  <c r="AV10" i="6" l="1"/>
  <c r="X8" i="10"/>
  <c r="X6" i="10"/>
  <c r="X5" i="10"/>
  <c r="AV8" i="6"/>
  <c r="AV11" i="6"/>
  <c r="AV9" i="6"/>
  <c r="W4" i="10"/>
  <c r="Y3" i="10"/>
  <c r="Y7" i="10" s="1"/>
  <c r="AW4" i="6"/>
  <c r="AW10" i="6" l="1"/>
  <c r="Y8" i="10"/>
  <c r="Y6" i="10"/>
  <c r="Y5" i="10"/>
  <c r="AW8" i="6"/>
  <c r="AW11" i="6"/>
  <c r="AW9" i="6"/>
  <c r="FL9" i="6" s="1"/>
  <c r="AX4" i="6"/>
  <c r="Z3" i="10"/>
  <c r="Z7" i="10" s="1"/>
  <c r="X4" i="10"/>
  <c r="AX10" i="6" l="1"/>
  <c r="Z8" i="10"/>
  <c r="EO8" i="10" s="1"/>
  <c r="Z5" i="10"/>
  <c r="EO5" i="10" s="1"/>
  <c r="Z4" i="10"/>
  <c r="Z6" i="10"/>
  <c r="AX8" i="6"/>
  <c r="AX11" i="6"/>
  <c r="AX9" i="6"/>
  <c r="AY4" i="6"/>
  <c r="AA3" i="10"/>
  <c r="AA7" i="10" s="1"/>
  <c r="Y4" i="10"/>
  <c r="AY10" i="6" l="1"/>
  <c r="AA8" i="10"/>
  <c r="AA5" i="10"/>
  <c r="AA6" i="10"/>
  <c r="AY9" i="6"/>
  <c r="AY8" i="6"/>
  <c r="AY11" i="6"/>
  <c r="AZ4" i="6"/>
  <c r="AA4" i="10"/>
  <c r="AB3" i="10"/>
  <c r="AB7" i="10" s="1"/>
  <c r="AZ10" i="6" l="1"/>
  <c r="AB8" i="10"/>
  <c r="AB5" i="10"/>
  <c r="AB6" i="10"/>
  <c r="AZ8" i="6"/>
  <c r="BA4" i="6"/>
  <c r="AZ11" i="6"/>
  <c r="FM11" i="6" s="1"/>
  <c r="AZ9" i="6"/>
  <c r="FM9" i="6" s="1"/>
  <c r="AC3" i="10"/>
  <c r="AC7" i="10" s="1"/>
  <c r="AB4" i="10"/>
  <c r="BA10" i="6" l="1"/>
  <c r="AC8" i="10"/>
  <c r="AC5" i="10"/>
  <c r="AC4" i="10"/>
  <c r="AC6" i="10"/>
  <c r="EP6" i="10" s="1"/>
  <c r="BB4" i="6"/>
  <c r="AD3" i="10"/>
  <c r="AD7" i="10" s="1"/>
  <c r="BA8" i="6"/>
  <c r="BA9" i="6"/>
  <c r="BA11" i="6"/>
  <c r="BB8" i="6" l="1"/>
  <c r="BB10" i="6"/>
  <c r="BC4" i="6"/>
  <c r="AE3" i="10"/>
  <c r="AE7" i="10" s="1"/>
  <c r="BB9" i="6"/>
  <c r="BB11" i="6"/>
  <c r="AD8" i="10"/>
  <c r="AD5" i="10"/>
  <c r="AD4" i="10"/>
  <c r="AD6" i="10"/>
  <c r="AE6" i="10" l="1"/>
  <c r="AE8" i="10"/>
  <c r="BD4" i="6"/>
  <c r="BC10" i="6"/>
  <c r="FN10" i="6" s="1"/>
  <c r="AF3" i="10"/>
  <c r="AF7" i="10" s="1"/>
  <c r="EQ7" i="10" s="1"/>
  <c r="BC9" i="6"/>
  <c r="BC11" i="6"/>
  <c r="BC8" i="6"/>
  <c r="FN8" i="6" s="1"/>
  <c r="AE5" i="10"/>
  <c r="AF8" i="10"/>
  <c r="BD11" i="6"/>
  <c r="AE4" i="10"/>
  <c r="BD9" i="6" l="1"/>
  <c r="BD10" i="6"/>
  <c r="AG3" i="10"/>
  <c r="AG7" i="10" s="1"/>
  <c r="BE4" i="6"/>
  <c r="BE10" i="6" s="1"/>
  <c r="BD8" i="6"/>
  <c r="AF5" i="10"/>
  <c r="AF6" i="10"/>
  <c r="EQ6" i="10" s="1"/>
  <c r="AF4" i="10"/>
  <c r="AG6" i="10" l="1"/>
  <c r="AG8" i="10"/>
  <c r="BF4" i="6"/>
  <c r="BF9" i="6" s="1"/>
  <c r="BE8" i="6"/>
  <c r="AG5" i="10"/>
  <c r="AH3" i="10"/>
  <c r="AH7" i="10" s="1"/>
  <c r="BE9" i="6"/>
  <c r="BE11" i="6"/>
  <c r="BF10" i="6"/>
  <c r="AH8" i="10"/>
  <c r="AH6" i="10"/>
  <c r="BF11" i="6"/>
  <c r="AG4" i="10"/>
  <c r="BG4" i="6"/>
  <c r="AI3" i="10" l="1"/>
  <c r="AI7" i="10" s="1"/>
  <c r="FO9" i="6"/>
  <c r="BF8" i="6"/>
  <c r="AH5" i="10"/>
  <c r="BG10" i="6"/>
  <c r="AI8" i="10"/>
  <c r="AI6" i="10"/>
  <c r="AI5" i="10"/>
  <c r="BG8" i="6"/>
  <c r="BG11" i="6"/>
  <c r="BG9" i="6"/>
  <c r="AH4" i="10"/>
  <c r="AJ3" i="10"/>
  <c r="AJ7" i="10" s="1"/>
  <c r="BH4" i="6"/>
  <c r="BH10" i="6" l="1"/>
  <c r="AJ8" i="10"/>
  <c r="AJ6" i="10"/>
  <c r="AJ5" i="10"/>
  <c r="BH8" i="6"/>
  <c r="BH11" i="6"/>
  <c r="BH9" i="6"/>
  <c r="AI4" i="10"/>
  <c r="AK3" i="10"/>
  <c r="AK7" i="10" s="1"/>
  <c r="BI4" i="6"/>
  <c r="BI10" i="6" l="1"/>
  <c r="AK8" i="10"/>
  <c r="AK6" i="10"/>
  <c r="AK5" i="10"/>
  <c r="BI8" i="6"/>
  <c r="BI11" i="6"/>
  <c r="BI9" i="6"/>
  <c r="FP9" i="6" s="1"/>
  <c r="AJ4" i="10"/>
  <c r="AL3" i="10"/>
  <c r="AL7" i="10" s="1"/>
  <c r="BJ4" i="6"/>
  <c r="BJ10" i="6" l="1"/>
  <c r="AL8" i="10"/>
  <c r="AL6" i="10"/>
  <c r="AL5" i="10"/>
  <c r="BJ8" i="6"/>
  <c r="BJ11" i="6"/>
  <c r="BJ9" i="6"/>
  <c r="AM3" i="10"/>
  <c r="AM7" i="10" s="1"/>
  <c r="BK4" i="6"/>
  <c r="BK10" i="6" l="1"/>
  <c r="AM8" i="10"/>
  <c r="AM6" i="10"/>
  <c r="AM5" i="10"/>
  <c r="BK8" i="6"/>
  <c r="BK11" i="6"/>
  <c r="BK9" i="6"/>
  <c r="AN3" i="10"/>
  <c r="AN7" i="10" s="1"/>
  <c r="BL4" i="6"/>
  <c r="BL10" i="6" l="1"/>
  <c r="AN8" i="10"/>
  <c r="AN6" i="10"/>
  <c r="AN5" i="10"/>
  <c r="BL8" i="6"/>
  <c r="BL11" i="6"/>
  <c r="BL9" i="6"/>
  <c r="FQ9" i="6" s="1"/>
  <c r="AO3" i="10"/>
  <c r="AO7" i="10" s="1"/>
  <c r="BM4" i="6"/>
  <c r="BM10" i="6" l="1"/>
  <c r="AO8" i="10"/>
  <c r="AO6" i="10"/>
  <c r="AO5" i="10"/>
  <c r="BM8" i="6"/>
  <c r="BM11" i="6"/>
  <c r="BM9" i="6"/>
  <c r="AN4" i="10"/>
  <c r="BN4" i="6"/>
  <c r="AP3" i="10"/>
  <c r="AP7" i="10" s="1"/>
  <c r="BN10" i="6" l="1"/>
  <c r="AP8" i="10"/>
  <c r="AP6" i="10"/>
  <c r="AP5" i="10"/>
  <c r="BN8" i="6"/>
  <c r="BN11" i="6"/>
  <c r="BN9" i="6"/>
  <c r="AQ3" i="10"/>
  <c r="AQ7" i="10" s="1"/>
  <c r="BO4" i="6"/>
  <c r="BO10" i="6" l="1"/>
  <c r="AQ8" i="10"/>
  <c r="AQ6" i="10"/>
  <c r="AQ5" i="10"/>
  <c r="BO8" i="6"/>
  <c r="BO11" i="6"/>
  <c r="BO9" i="6"/>
  <c r="FR9" i="6" s="1"/>
  <c r="AR3" i="10"/>
  <c r="AR7" i="10" s="1"/>
  <c r="BP4" i="6"/>
  <c r="BP10" i="6" l="1"/>
  <c r="AR8" i="10"/>
  <c r="AR6" i="10"/>
  <c r="AR5" i="10"/>
  <c r="BP8" i="6"/>
  <c r="BP11" i="6"/>
  <c r="BP9" i="6"/>
  <c r="AS3" i="10"/>
  <c r="AS7" i="10" s="1"/>
  <c r="BQ4" i="6"/>
  <c r="BQ10" i="6" l="1"/>
  <c r="AS8" i="10"/>
  <c r="AS6" i="10"/>
  <c r="AS5" i="10"/>
  <c r="BQ8" i="6"/>
  <c r="BQ11" i="6"/>
  <c r="BQ9" i="6"/>
  <c r="AT3" i="10"/>
  <c r="AT7" i="10" s="1"/>
  <c r="BR4" i="6"/>
  <c r="BR10" i="6" l="1"/>
  <c r="AT8" i="10"/>
  <c r="AT6" i="10"/>
  <c r="AT5" i="10"/>
  <c r="BR8" i="6"/>
  <c r="BR11" i="6"/>
  <c r="BR9" i="6"/>
  <c r="FS9" i="6" s="1"/>
  <c r="AU3" i="10"/>
  <c r="AU7" i="10" s="1"/>
  <c r="BS4" i="6"/>
  <c r="BS10" i="6" l="1"/>
  <c r="AU8" i="10"/>
  <c r="AU6" i="10"/>
  <c r="AU5" i="10"/>
  <c r="BS8" i="6"/>
  <c r="BS11" i="6"/>
  <c r="BS9" i="6"/>
  <c r="AV3" i="10"/>
  <c r="AV7" i="10" s="1"/>
  <c r="BT4" i="6"/>
  <c r="BT10" i="6" l="1"/>
  <c r="AV8" i="10"/>
  <c r="AV6" i="10"/>
  <c r="AV5" i="10"/>
  <c r="BT8" i="6"/>
  <c r="BT11" i="6"/>
  <c r="BT9" i="6"/>
  <c r="AW3" i="10"/>
  <c r="AW7" i="10" s="1"/>
  <c r="BU4" i="6"/>
  <c r="BU10" i="6" l="1"/>
  <c r="AW8" i="10"/>
  <c r="AW6" i="10"/>
  <c r="AW5" i="10"/>
  <c r="BU8" i="6"/>
  <c r="BU11" i="6"/>
  <c r="BU9" i="6"/>
  <c r="FT9" i="6" s="1"/>
  <c r="BV4" i="6"/>
  <c r="AX3" i="10"/>
  <c r="AX7" i="10" s="1"/>
  <c r="BV10" i="6" l="1"/>
  <c r="AX8" i="10"/>
  <c r="AX6" i="10"/>
  <c r="AX5" i="10"/>
  <c r="BV8" i="6"/>
  <c r="BV11" i="6"/>
  <c r="BV9" i="6"/>
  <c r="AY3" i="10"/>
  <c r="AY7" i="10" s="1"/>
  <c r="BW4" i="6"/>
  <c r="BW10" i="6" l="1"/>
  <c r="AY8" i="10"/>
  <c r="AY6" i="10"/>
  <c r="AY5" i="10"/>
  <c r="BW8" i="6"/>
  <c r="BW11" i="6"/>
  <c r="BW9" i="6"/>
  <c r="AZ3" i="10"/>
  <c r="AZ7" i="10" s="1"/>
  <c r="BX4" i="6"/>
  <c r="BX10" i="6" l="1"/>
  <c r="AZ8" i="10"/>
  <c r="AZ6" i="10"/>
  <c r="AZ5" i="10"/>
  <c r="BX8" i="6"/>
  <c r="BX11" i="6"/>
  <c r="BX9" i="6"/>
  <c r="FU9" i="6" s="1"/>
  <c r="BA3" i="10"/>
  <c r="BA7" i="10" s="1"/>
  <c r="BY4" i="6"/>
  <c r="BY10" i="6" l="1"/>
  <c r="BA8" i="10"/>
  <c r="BA6" i="10"/>
  <c r="BA5" i="10"/>
  <c r="BY8" i="6"/>
  <c r="BY11" i="6"/>
  <c r="BY9" i="6"/>
  <c r="AZ4" i="10"/>
  <c r="BZ4" i="6"/>
  <c r="BB3" i="10"/>
  <c r="BB7" i="10" s="1"/>
  <c r="BZ10" i="6" l="1"/>
  <c r="BB8" i="10"/>
  <c r="BB6" i="10"/>
  <c r="BB5" i="10"/>
  <c r="BZ8" i="6"/>
  <c r="BZ11" i="6"/>
  <c r="BZ9" i="6"/>
  <c r="BC3" i="10"/>
  <c r="BC7" i="10" s="1"/>
  <c r="CA4" i="6"/>
  <c r="CA10" i="6" l="1"/>
  <c r="FV10" i="6" s="1"/>
  <c r="BC8" i="10"/>
  <c r="BC6" i="10"/>
  <c r="BC5" i="10"/>
  <c r="CA8" i="6"/>
  <c r="CA11" i="6"/>
  <c r="CA9" i="6"/>
  <c r="FV9" i="6" s="1"/>
  <c r="BD3" i="10"/>
  <c r="BD7" i="10" s="1"/>
  <c r="CB4" i="6"/>
  <c r="CB10" i="6" l="1"/>
  <c r="BD8" i="10"/>
  <c r="BD6" i="10"/>
  <c r="BD5" i="10"/>
  <c r="CB8" i="6"/>
  <c r="CB11" i="6"/>
  <c r="CB9" i="6"/>
  <c r="BE3" i="10"/>
  <c r="BE7" i="10" s="1"/>
  <c r="CC4" i="6"/>
  <c r="CC10" i="6" l="1"/>
  <c r="BE8" i="10"/>
  <c r="BE6" i="10"/>
  <c r="BE5" i="10"/>
  <c r="CC8" i="6"/>
  <c r="CC11" i="6"/>
  <c r="CC9" i="6"/>
  <c r="BF3" i="10"/>
  <c r="BF7" i="10" s="1"/>
  <c r="CD4" i="6"/>
  <c r="CD10" i="6" l="1"/>
  <c r="FW10" i="6" s="1"/>
  <c r="BF8" i="10"/>
  <c r="BF6" i="10"/>
  <c r="BF5" i="10"/>
  <c r="CD8" i="6"/>
  <c r="CD11" i="6"/>
  <c r="CD9" i="6"/>
  <c r="FW9" i="6" s="1"/>
  <c r="CE4" i="6"/>
  <c r="BG3" i="10"/>
  <c r="BG7" i="10" s="1"/>
  <c r="CE10" i="6" l="1"/>
  <c r="BG8" i="10"/>
  <c r="BG6" i="10"/>
  <c r="BG5" i="10"/>
  <c r="CE8" i="6"/>
  <c r="CE11" i="6"/>
  <c r="CE9" i="6"/>
  <c r="CF4" i="6"/>
  <c r="BH3" i="10"/>
  <c r="BH7" i="10" s="1"/>
  <c r="CF10" i="6" l="1"/>
  <c r="BH8" i="10"/>
  <c r="BH6" i="10"/>
  <c r="BH5" i="10"/>
  <c r="CF8" i="6"/>
  <c r="CF11" i="6"/>
  <c r="CF9" i="6"/>
  <c r="CG4" i="6"/>
  <c r="BI3" i="10"/>
  <c r="BI7" i="10" s="1"/>
  <c r="CG10" i="6" l="1"/>
  <c r="BI8" i="10"/>
  <c r="BI6" i="10"/>
  <c r="BI5" i="10"/>
  <c r="CG8" i="6"/>
  <c r="CG11" i="6"/>
  <c r="CG9" i="6"/>
  <c r="FX9" i="6" s="1"/>
  <c r="CH4" i="6"/>
  <c r="BJ3" i="10"/>
  <c r="BJ7" i="10" s="1"/>
  <c r="CH10" i="6" l="1"/>
  <c r="BJ8" i="10"/>
  <c r="BJ6" i="10"/>
  <c r="BJ5" i="10"/>
  <c r="CH8" i="6"/>
  <c r="CH11" i="6"/>
  <c r="CH9" i="6"/>
  <c r="CI4" i="6"/>
  <c r="BK3" i="10"/>
  <c r="BK7" i="10" s="1"/>
  <c r="CI10" i="6" l="1"/>
  <c r="BK8" i="10"/>
  <c r="BK6" i="10"/>
  <c r="BK5" i="10"/>
  <c r="CI8" i="6"/>
  <c r="CI11" i="6"/>
  <c r="CI9" i="6"/>
  <c r="CJ4" i="6"/>
  <c r="BL3" i="10"/>
  <c r="BL7" i="10" s="1"/>
  <c r="CJ10" i="6" l="1"/>
  <c r="BL8" i="10"/>
  <c r="BL6" i="10"/>
  <c r="BL5" i="10"/>
  <c r="CJ8" i="6"/>
  <c r="CJ11" i="6"/>
  <c r="CJ9" i="6"/>
  <c r="FY9" i="6" s="1"/>
  <c r="CK4" i="6"/>
  <c r="BM3" i="10"/>
  <c r="BM7" i="10" s="1"/>
  <c r="CK10" i="6" l="1"/>
  <c r="BM8" i="10"/>
  <c r="BM6" i="10"/>
  <c r="BM5" i="10"/>
  <c r="CK8" i="6"/>
  <c r="CK11" i="6"/>
  <c r="CK9" i="6"/>
  <c r="CL4" i="6"/>
  <c r="BN3" i="10"/>
  <c r="BN7" i="10" s="1"/>
  <c r="CL10" i="6" l="1"/>
  <c r="BN8" i="10"/>
  <c r="BN6" i="10"/>
  <c r="BN5" i="10"/>
  <c r="CL8" i="6"/>
  <c r="CL11" i="6"/>
  <c r="CL9" i="6"/>
  <c r="CM4" i="6"/>
  <c r="BO3" i="10"/>
  <c r="BO7" i="10" s="1"/>
  <c r="CM10" i="6" l="1"/>
  <c r="BO8" i="10"/>
  <c r="BO6" i="10"/>
  <c r="BO5" i="10"/>
  <c r="CM8" i="6"/>
  <c r="CM11" i="6"/>
  <c r="CM9" i="6"/>
  <c r="FZ9" i="6" s="1"/>
  <c r="CN4" i="6"/>
  <c r="BP3" i="10"/>
  <c r="BP7" i="10" s="1"/>
  <c r="CN10" i="6" l="1"/>
  <c r="BP8" i="10"/>
  <c r="BP6" i="10"/>
  <c r="BP5" i="10"/>
  <c r="CN8" i="6"/>
  <c r="CN11" i="6"/>
  <c r="CN9" i="6"/>
  <c r="CO4" i="6"/>
  <c r="BQ3" i="10"/>
  <c r="BQ7" i="10" s="1"/>
  <c r="CO10" i="6" l="1"/>
  <c r="BQ8" i="10"/>
  <c r="BQ6" i="10"/>
  <c r="BQ5" i="10"/>
  <c r="CO8" i="6"/>
  <c r="CO11" i="6"/>
  <c r="CO9" i="6"/>
  <c r="CP4" i="6"/>
  <c r="BR3" i="10"/>
  <c r="BR7" i="10" s="1"/>
  <c r="CP10" i="6" l="1"/>
  <c r="BR8" i="10"/>
  <c r="BR6" i="10"/>
  <c r="BR5" i="10"/>
  <c r="CP8" i="6"/>
  <c r="CP11" i="6"/>
  <c r="CP9" i="6"/>
  <c r="GA9" i="6" s="1"/>
  <c r="CQ4" i="6"/>
  <c r="BS3" i="10"/>
  <c r="BS7" i="10" s="1"/>
  <c r="CQ10" i="6" l="1"/>
  <c r="BS8" i="10"/>
  <c r="BS6" i="10"/>
  <c r="BS5" i="10"/>
  <c r="CQ8" i="6"/>
  <c r="CQ11" i="6"/>
  <c r="CQ9" i="6"/>
  <c r="CR4" i="6"/>
  <c r="BT3" i="10"/>
  <c r="BT7" i="10" s="1"/>
  <c r="CR10" i="6" l="1"/>
  <c r="BT8" i="10"/>
  <c r="BT6" i="10"/>
  <c r="BT5" i="10"/>
  <c r="CR8" i="6"/>
  <c r="CR11" i="6"/>
  <c r="CR9" i="6"/>
  <c r="BS4" i="10"/>
  <c r="CS4" i="6"/>
  <c r="BU3" i="10"/>
  <c r="BU7" i="10" s="1"/>
  <c r="CS10" i="6" l="1"/>
  <c r="BU8" i="10"/>
  <c r="BU6" i="10"/>
  <c r="BU5" i="10"/>
  <c r="CS8" i="6"/>
  <c r="CS11" i="6"/>
  <c r="CS9" i="6"/>
  <c r="CT4" i="6"/>
  <c r="BV3" i="10"/>
  <c r="BV7" i="10" s="1"/>
  <c r="CT10" i="6" l="1"/>
  <c r="BV8" i="10"/>
  <c r="BV6" i="10"/>
  <c r="BV5" i="10"/>
  <c r="CT8" i="6"/>
  <c r="CT11" i="6"/>
  <c r="CT9" i="6"/>
  <c r="CU4" i="6"/>
  <c r="BW3" i="10"/>
  <c r="BW7" i="10" s="1"/>
  <c r="CU10" i="6" l="1"/>
  <c r="BW8" i="10"/>
  <c r="BW6" i="10"/>
  <c r="BW5" i="10"/>
  <c r="CU8" i="6"/>
  <c r="CU11" i="6"/>
  <c r="CU9" i="6"/>
  <c r="CV4" i="6"/>
  <c r="BX3" i="10"/>
  <c r="BX7" i="10" s="1"/>
  <c r="CV10" i="6" l="1"/>
  <c r="GC10" i="6" s="1"/>
  <c r="BX8" i="10"/>
  <c r="BX6" i="10"/>
  <c r="BX5" i="10"/>
  <c r="CV8" i="6"/>
  <c r="CV11" i="6"/>
  <c r="CV9" i="6"/>
  <c r="CW4" i="6"/>
  <c r="BY3" i="10"/>
  <c r="BY7" i="10" s="1"/>
  <c r="CW10" i="6" l="1"/>
  <c r="BY8" i="10"/>
  <c r="BY6" i="10"/>
  <c r="BY5" i="10"/>
  <c r="CW8" i="6"/>
  <c r="CW11" i="6"/>
  <c r="CW9" i="6"/>
  <c r="CX4" i="6"/>
  <c r="BZ3" i="10"/>
  <c r="BZ7" i="10" s="1"/>
  <c r="CX10" i="6" l="1"/>
  <c r="BZ8" i="10"/>
  <c r="BZ6" i="10"/>
  <c r="BZ5" i="10"/>
  <c r="CX8" i="6"/>
  <c r="CX11" i="6"/>
  <c r="CX9" i="6"/>
  <c r="BY4" i="10"/>
  <c r="CY4" i="6"/>
  <c r="CA3" i="10"/>
  <c r="CA7" i="10" s="1"/>
  <c r="CY10" i="6" l="1"/>
  <c r="CA8" i="10"/>
  <c r="CA6" i="10"/>
  <c r="CA5" i="10"/>
  <c r="CY8" i="6"/>
  <c r="CY11" i="6"/>
  <c r="CY9" i="6"/>
  <c r="BZ4" i="10"/>
  <c r="CZ4" i="6"/>
  <c r="CB3" i="10"/>
  <c r="CB7" i="10" s="1"/>
  <c r="CZ10" i="6" l="1"/>
  <c r="CB8" i="10"/>
  <c r="CB6" i="10"/>
  <c r="CB5" i="10"/>
  <c r="CZ8" i="6"/>
  <c r="CZ11" i="6"/>
  <c r="CZ9" i="6"/>
  <c r="CA4" i="10"/>
  <c r="DA4" i="6"/>
  <c r="CC3" i="10"/>
  <c r="CC7" i="10" s="1"/>
  <c r="DA10" i="6" l="1"/>
  <c r="CC8" i="10"/>
  <c r="CC6" i="10"/>
  <c r="CC5" i="10"/>
  <c r="DA8" i="6"/>
  <c r="DA11" i="6"/>
  <c r="DA9" i="6"/>
  <c r="CB4" i="10"/>
  <c r="DB4" i="6"/>
  <c r="CD3" i="10"/>
  <c r="CD7" i="10" s="1"/>
  <c r="DB10" i="6" l="1"/>
  <c r="CD8" i="10"/>
  <c r="CD6" i="10"/>
  <c r="CD5" i="10"/>
  <c r="DB8" i="6"/>
  <c r="DB11" i="6"/>
  <c r="DB9" i="6"/>
  <c r="DC4" i="6"/>
  <c r="CC4" i="10"/>
  <c r="CE3" i="10"/>
  <c r="CE7" i="10" s="1"/>
  <c r="DC10" i="6" l="1"/>
  <c r="CE8" i="10"/>
  <c r="CE6" i="10"/>
  <c r="CE5" i="10"/>
  <c r="DC8" i="6"/>
  <c r="DC11" i="6"/>
  <c r="DC9" i="6"/>
  <c r="CF3" i="10"/>
  <c r="CF7" i="10" s="1"/>
  <c r="DD4" i="6"/>
  <c r="CD4" i="10"/>
  <c r="DD10" i="6" l="1"/>
  <c r="CF8" i="10"/>
  <c r="CF6" i="10"/>
  <c r="CF5" i="10"/>
  <c r="DD8" i="6"/>
  <c r="DD11" i="6"/>
  <c r="DD9" i="6"/>
  <c r="CG3" i="10"/>
  <c r="CG7" i="10" s="1"/>
  <c r="DC12" i="6"/>
  <c r="DE4" i="6"/>
  <c r="CE4" i="10"/>
  <c r="DE10" i="6" l="1"/>
  <c r="CG8" i="10"/>
  <c r="CG6" i="10"/>
  <c r="CG5" i="10"/>
  <c r="DE8" i="6"/>
  <c r="DE11" i="6"/>
  <c r="DE9" i="6"/>
  <c r="CH3" i="10"/>
  <c r="CH7" i="10" s="1"/>
  <c r="CF4" i="10"/>
  <c r="CG4" i="10"/>
  <c r="DD12" i="6"/>
  <c r="DF4" i="6"/>
  <c r="DF10" i="6" l="1"/>
  <c r="CH8" i="10"/>
  <c r="FI8" i="10" s="1"/>
  <c r="CH6" i="10"/>
  <c r="FI6" i="10" s="1"/>
  <c r="CH5" i="10"/>
  <c r="FI5" i="10" s="1"/>
  <c r="DF8" i="6"/>
  <c r="DF11" i="6"/>
  <c r="DF9" i="6"/>
  <c r="CH4" i="10"/>
  <c r="CI3" i="10"/>
  <c r="CI7" i="10" s="1"/>
  <c r="DE12" i="6"/>
  <c r="DG4" i="6"/>
  <c r="DG10" i="6" l="1"/>
  <c r="CI8" i="10"/>
  <c r="CI6" i="10"/>
  <c r="CI5" i="10"/>
  <c r="DG8" i="6"/>
  <c r="DG11" i="6"/>
  <c r="DG9" i="6"/>
  <c r="CJ3" i="10"/>
  <c r="CJ7" i="10" s="1"/>
  <c r="DF12" i="6"/>
  <c r="DH4" i="6"/>
  <c r="DH10" i="6" l="1"/>
  <c r="CJ8" i="10"/>
  <c r="CJ6" i="10"/>
  <c r="CJ5" i="10"/>
  <c r="DH8" i="6"/>
  <c r="DH11" i="6"/>
  <c r="DH9" i="6"/>
  <c r="CI4" i="10"/>
  <c r="CJ4" i="10"/>
  <c r="CK3" i="10"/>
  <c r="CK7" i="10" s="1"/>
  <c r="DG12" i="6"/>
  <c r="DI4" i="6"/>
  <c r="DI10" i="6" l="1"/>
  <c r="CK8" i="10"/>
  <c r="FJ8" i="10" s="1"/>
  <c r="CK6" i="10"/>
  <c r="FJ6" i="10" s="1"/>
  <c r="CK5" i="10"/>
  <c r="FJ5" i="10" s="1"/>
  <c r="DI8" i="6"/>
  <c r="DI11" i="6"/>
  <c r="DI9" i="6"/>
  <c r="CK4" i="10"/>
  <c r="CL3" i="10"/>
  <c r="CL7" i="10" s="1"/>
  <c r="DH12" i="6"/>
  <c r="DJ4" i="6"/>
  <c r="DJ10" i="6" l="1"/>
  <c r="CL8" i="10"/>
  <c r="CL6" i="10"/>
  <c r="CL5" i="10"/>
  <c r="DJ8" i="6"/>
  <c r="DJ11" i="6"/>
  <c r="DJ9" i="6"/>
  <c r="CM3" i="10"/>
  <c r="CM7" i="10" s="1"/>
  <c r="DI12" i="6"/>
  <c r="DK4" i="6"/>
  <c r="DK10" i="6" l="1"/>
  <c r="CM8" i="10"/>
  <c r="CM6" i="10"/>
  <c r="CM5" i="10"/>
  <c r="DK8" i="6"/>
  <c r="DK11" i="6"/>
  <c r="DK9" i="6"/>
  <c r="CN3" i="10"/>
  <c r="CN7" i="10" s="1"/>
  <c r="CL4" i="10"/>
  <c r="CM4" i="10"/>
  <c r="DJ12" i="6"/>
  <c r="DL4" i="6"/>
  <c r="DL10" i="6" l="1"/>
  <c r="CN8" i="10"/>
  <c r="FK8" i="10" s="1"/>
  <c r="CN6" i="10"/>
  <c r="FK6" i="10" s="1"/>
  <c r="CN5" i="10"/>
  <c r="FK5" i="10" s="1"/>
  <c r="DL8" i="6"/>
  <c r="DL11" i="6"/>
  <c r="DL9" i="6"/>
  <c r="CO3" i="10"/>
  <c r="CO7" i="10" s="1"/>
  <c r="DK12" i="6"/>
  <c r="DM4" i="6"/>
  <c r="DM10" i="6" l="1"/>
  <c r="CO8" i="10"/>
  <c r="CO6" i="10"/>
  <c r="CO5" i="10"/>
  <c r="DM8" i="6"/>
  <c r="DM11" i="6"/>
  <c r="DM9" i="6"/>
  <c r="CP3" i="10"/>
  <c r="CP7" i="10" s="1"/>
  <c r="CN4" i="10"/>
  <c r="DL12" i="6"/>
  <c r="DN4" i="6"/>
  <c r="DN10" i="6" l="1"/>
  <c r="CP8" i="10"/>
  <c r="CP6" i="10"/>
  <c r="CP5" i="10"/>
  <c r="DO4" i="6"/>
  <c r="DN8" i="6"/>
  <c r="DN11" i="6"/>
  <c r="DN9" i="6"/>
  <c r="CO4" i="10"/>
  <c r="CP4" i="10"/>
  <c r="CQ3" i="10"/>
  <c r="CQ7" i="10" s="1"/>
  <c r="DM12" i="6"/>
  <c r="CR3" i="10" l="1"/>
  <c r="CR7" i="10" s="1"/>
  <c r="DO10" i="6"/>
  <c r="CR5" i="10"/>
  <c r="CR4" i="10"/>
  <c r="CQ8" i="10"/>
  <c r="FL8" i="10" s="1"/>
  <c r="CQ6" i="10"/>
  <c r="FL6" i="10" s="1"/>
  <c r="CQ5" i="10"/>
  <c r="FL5" i="10" s="1"/>
  <c r="DO9" i="6"/>
  <c r="DP4" i="6"/>
  <c r="DO11" i="6"/>
  <c r="DO8" i="6"/>
  <c r="CQ4" i="10"/>
  <c r="DN12" i="6"/>
  <c r="CR6" i="10" l="1"/>
  <c r="CR8" i="10"/>
  <c r="CS3" i="10"/>
  <c r="CS7" i="10" s="1"/>
  <c r="DP10" i="6"/>
  <c r="CS4" i="10"/>
  <c r="DQ4" i="6"/>
  <c r="DP11" i="6"/>
  <c r="DP8" i="6"/>
  <c r="DP9" i="6"/>
  <c r="DO12" i="6"/>
  <c r="CS5" i="10" l="1"/>
  <c r="CS8" i="10"/>
  <c r="CS6" i="10"/>
  <c r="CT3" i="10"/>
  <c r="CT7" i="10" s="1"/>
  <c r="DQ10" i="6"/>
  <c r="CT4" i="10"/>
  <c r="DP12" i="6"/>
  <c r="DQ11" i="6"/>
  <c r="DR4" i="6"/>
  <c r="DQ9" i="6"/>
  <c r="DQ8" i="6"/>
  <c r="CT5" i="10" l="1"/>
  <c r="CT8" i="10"/>
  <c r="CT6" i="10"/>
  <c r="CU3" i="10"/>
  <c r="CU7" i="10" s="1"/>
  <c r="DR10" i="6"/>
  <c r="CU4" i="10"/>
  <c r="DQ12" i="6"/>
  <c r="DR8" i="6"/>
  <c r="DR9" i="6"/>
  <c r="DR11" i="6"/>
  <c r="DS4" i="6"/>
  <c r="J7" i="4"/>
  <c r="I7" i="4" s="1"/>
  <c r="CU5" i="10" l="1"/>
  <c r="CU6" i="10"/>
  <c r="CU8" i="10"/>
  <c r="CV3" i="10"/>
  <c r="CV7" i="10" s="1"/>
  <c r="DS10" i="6"/>
  <c r="CV4" i="10"/>
  <c r="DS8" i="6"/>
  <c r="DS9" i="6"/>
  <c r="DT4" i="6"/>
  <c r="DS11" i="6"/>
  <c r="DR12" i="6"/>
  <c r="C18" i="7"/>
  <c r="L9" i="4"/>
  <c r="L6" i="4" s="1"/>
  <c r="M9" i="4"/>
  <c r="M6" i="4" s="1"/>
  <c r="N9" i="4"/>
  <c r="N6" i="4" s="1"/>
  <c r="O9" i="4"/>
  <c r="R9" i="4"/>
  <c r="S9" i="4"/>
  <c r="W9" i="4"/>
  <c r="CV8" i="10" l="1"/>
  <c r="CV6" i="10"/>
  <c r="CV5" i="10"/>
  <c r="CW3" i="10"/>
  <c r="CW7" i="10" s="1"/>
  <c r="DT10" i="6"/>
  <c r="CW4" i="10"/>
  <c r="DS12" i="6"/>
  <c r="DT9" i="6"/>
  <c r="DU4" i="6"/>
  <c r="DT11" i="6"/>
  <c r="DT8" i="6"/>
  <c r="F12" i="32"/>
  <c r="H12" i="32"/>
  <c r="G12" i="32"/>
  <c r="T9" i="4"/>
  <c r="T6" i="4" s="1"/>
  <c r="N9" i="7" s="1"/>
  <c r="V9" i="4"/>
  <c r="V6" i="4" s="1"/>
  <c r="P9" i="7" s="1"/>
  <c r="AA9" i="4"/>
  <c r="AA6" i="4" s="1"/>
  <c r="U9" i="7" s="1"/>
  <c r="Z9" i="4"/>
  <c r="Z6" i="4" s="1"/>
  <c r="T9" i="7" s="1"/>
  <c r="X9" i="4"/>
  <c r="Y9" i="4"/>
  <c r="Y6" i="4" s="1"/>
  <c r="S9" i="7" s="1"/>
  <c r="U9" i="4"/>
  <c r="U6" i="4" s="1"/>
  <c r="O9" i="7" s="1"/>
  <c r="AB6" i="4"/>
  <c r="CW8" i="10" l="1"/>
  <c r="CW6" i="10"/>
  <c r="CW5" i="10"/>
  <c r="CX3" i="10"/>
  <c r="CX7" i="10" s="1"/>
  <c r="DU10" i="6"/>
  <c r="CX4" i="10"/>
  <c r="R11" i="32"/>
  <c r="S11" i="32"/>
  <c r="O11" i="32"/>
  <c r="T11" i="32"/>
  <c r="M11" i="32"/>
  <c r="N11" i="32"/>
  <c r="R33" i="8"/>
  <c r="R8" i="8"/>
  <c r="T8" i="8"/>
  <c r="T33" i="8"/>
  <c r="O33" i="8"/>
  <c r="O8" i="8"/>
  <c r="M8" i="8"/>
  <c r="M33" i="8"/>
  <c r="S33" i="8"/>
  <c r="S8" i="8"/>
  <c r="N33" i="8"/>
  <c r="N8" i="8"/>
  <c r="AA13" i="4"/>
  <c r="U13" i="4"/>
  <c r="Y13" i="4"/>
  <c r="T13" i="4"/>
  <c r="Z13" i="4"/>
  <c r="V13" i="4"/>
  <c r="DT12" i="6"/>
  <c r="DU9" i="6"/>
  <c r="DU8" i="6"/>
  <c r="DU11" i="6"/>
  <c r="DV4" i="6"/>
  <c r="CX8" i="10" l="1"/>
  <c r="CX6" i="10"/>
  <c r="CX5" i="10"/>
  <c r="CY3" i="10"/>
  <c r="CY7" i="10" s="1"/>
  <c r="DV10" i="6"/>
  <c r="CY4" i="10"/>
  <c r="T8" i="32"/>
  <c r="T31" i="8"/>
  <c r="O8" i="32"/>
  <c r="O31" i="8"/>
  <c r="S8" i="32"/>
  <c r="S31" i="8"/>
  <c r="N8" i="32"/>
  <c r="N31" i="8"/>
  <c r="R8" i="32"/>
  <c r="R31" i="8"/>
  <c r="M31" i="8"/>
  <c r="M8" i="32"/>
  <c r="DW4" i="6"/>
  <c r="DV8" i="6"/>
  <c r="DV9" i="6"/>
  <c r="DV11" i="6"/>
  <c r="DU12" i="6"/>
  <c r="FL8" i="6"/>
  <c r="FM8" i="6"/>
  <c r="FO8" i="6"/>
  <c r="FP8" i="6"/>
  <c r="FQ8" i="6"/>
  <c r="FR8" i="6"/>
  <c r="FS8" i="6"/>
  <c r="FT8" i="6"/>
  <c r="FU8" i="6"/>
  <c r="FV8" i="6"/>
  <c r="FW8" i="6"/>
  <c r="FX8" i="6"/>
  <c r="FY8" i="6"/>
  <c r="FZ8" i="6"/>
  <c r="GA8" i="6"/>
  <c r="GB8" i="6"/>
  <c r="GC8" i="6"/>
  <c r="GD8" i="6"/>
  <c r="GE8" i="6"/>
  <c r="FL11" i="6"/>
  <c r="FN11" i="6"/>
  <c r="FO11" i="6"/>
  <c r="FP11" i="6"/>
  <c r="FQ11" i="6"/>
  <c r="FR11" i="6"/>
  <c r="FS11" i="6"/>
  <c r="FT11" i="6"/>
  <c r="FU11" i="6"/>
  <c r="FV11" i="6"/>
  <c r="FW11" i="6"/>
  <c r="FX11" i="6"/>
  <c r="FY11" i="6"/>
  <c r="FZ11" i="6"/>
  <c r="GA11" i="6"/>
  <c r="GB11" i="6"/>
  <c r="GC11" i="6"/>
  <c r="GD11" i="6"/>
  <c r="GE11" i="6"/>
  <c r="Q9" i="4"/>
  <c r="CY8" i="10" l="1"/>
  <c r="CY5" i="10"/>
  <c r="CY6" i="10"/>
  <c r="CZ3" i="10"/>
  <c r="CZ7" i="10" s="1"/>
  <c r="DW10" i="6"/>
  <c r="CZ4" i="10"/>
  <c r="DV12" i="6"/>
  <c r="DX4" i="6"/>
  <c r="DW9" i="6"/>
  <c r="DW11" i="6"/>
  <c r="DW8" i="6"/>
  <c r="FN9" i="6"/>
  <c r="GB9" i="6"/>
  <c r="GC9" i="6"/>
  <c r="GD9" i="6"/>
  <c r="GE9" i="6"/>
  <c r="BP4" i="10"/>
  <c r="CZ8" i="10" l="1"/>
  <c r="CZ5" i="10"/>
  <c r="CZ6" i="10"/>
  <c r="DA3" i="10"/>
  <c r="DA7" i="10" s="1"/>
  <c r="DX10" i="6"/>
  <c r="DA4" i="10"/>
  <c r="DY4" i="6"/>
  <c r="DX11" i="6"/>
  <c r="DX9" i="6"/>
  <c r="DX8" i="6"/>
  <c r="DW12" i="6"/>
  <c r="DA5" i="10" l="1"/>
  <c r="DA6" i="10"/>
  <c r="DA8" i="10"/>
  <c r="DB3" i="10"/>
  <c r="DB7" i="10" s="1"/>
  <c r="DY10" i="6"/>
  <c r="DB4" i="10"/>
  <c r="DX12" i="6"/>
  <c r="DY11" i="6"/>
  <c r="DZ4" i="6"/>
  <c r="DY9" i="6"/>
  <c r="DY8" i="6"/>
  <c r="DB6" i="10" l="1"/>
  <c r="DB8" i="10"/>
  <c r="DB5" i="10"/>
  <c r="DZ10" i="6"/>
  <c r="GM10" i="6" s="1"/>
  <c r="EA4" i="6"/>
  <c r="DC3" i="10"/>
  <c r="DC7" i="10" s="1"/>
  <c r="DZ8" i="6"/>
  <c r="DZ9" i="6"/>
  <c r="DZ11" i="6"/>
  <c r="DY12" i="6"/>
  <c r="EA8" i="6" l="1"/>
  <c r="EA11" i="6"/>
  <c r="EA9" i="6"/>
  <c r="EB4" i="6"/>
  <c r="EB10" i="6" s="1"/>
  <c r="DD3" i="10"/>
  <c r="DD6" i="10" s="1"/>
  <c r="EA10" i="6"/>
  <c r="DE4" i="10"/>
  <c r="DC8" i="10"/>
  <c r="DC5" i="10"/>
  <c r="DC6" i="10"/>
  <c r="DC4" i="10"/>
  <c r="DZ12" i="6"/>
  <c r="EB8" i="6" l="1"/>
  <c r="DE3" i="10"/>
  <c r="DE7" i="10" s="1"/>
  <c r="EA12" i="6"/>
  <c r="EB9" i="6"/>
  <c r="EB11" i="6"/>
  <c r="EC4" i="6"/>
  <c r="DF3" i="10" s="1"/>
  <c r="DD8" i="10"/>
  <c r="DD7" i="10"/>
  <c r="DD5" i="10"/>
  <c r="DF4" i="10"/>
  <c r="DD4" i="10"/>
  <c r="EC9" i="6"/>
  <c r="EC11" i="6"/>
  <c r="EB12" i="6" l="1"/>
  <c r="DE6" i="10"/>
  <c r="DE8" i="10"/>
  <c r="DE5" i="10"/>
  <c r="EC8" i="6"/>
  <c r="DF7" i="10"/>
  <c r="FQ7" i="10" s="1"/>
  <c r="DF5" i="10"/>
  <c r="ED4" i="6"/>
  <c r="EC10" i="6"/>
  <c r="GN10" i="6" s="1"/>
  <c r="DF8" i="10"/>
  <c r="FQ8" i="10" s="1"/>
  <c r="DF6" i="10"/>
  <c r="FQ6" i="10" s="1"/>
  <c r="DG3" i="10"/>
  <c r="DG7" i="10" s="1"/>
  <c r="ED10" i="6"/>
  <c r="ED9" i="6"/>
  <c r="ED11" i="6"/>
  <c r="EE4" i="6"/>
  <c r="ED8" i="6"/>
  <c r="R6" i="4"/>
  <c r="S6" i="4"/>
  <c r="FQ5" i="10" l="1"/>
  <c r="FQ4" i="10" s="1"/>
  <c r="EC12" i="6"/>
  <c r="DG6" i="10"/>
  <c r="DG8" i="10"/>
  <c r="DG5" i="10"/>
  <c r="DH3" i="10"/>
  <c r="DH7" i="10" s="1"/>
  <c r="EE10" i="6"/>
  <c r="DG4" i="10"/>
  <c r="DH5" i="10"/>
  <c r="DH6" i="10"/>
  <c r="DH4" i="10"/>
  <c r="ED12" i="6"/>
  <c r="EF4" i="6"/>
  <c r="EE11" i="6"/>
  <c r="EE9" i="6"/>
  <c r="EE8" i="6"/>
  <c r="M9" i="7"/>
  <c r="DH8" i="10" l="1"/>
  <c r="DI3" i="10"/>
  <c r="DI7" i="10" s="1"/>
  <c r="EF10" i="6"/>
  <c r="GO10" i="6" s="1"/>
  <c r="DI5" i="10"/>
  <c r="FR5" i="10" s="1"/>
  <c r="EE12" i="6"/>
  <c r="EF11" i="6"/>
  <c r="EF8" i="6"/>
  <c r="EF9" i="6"/>
  <c r="EG4" i="6"/>
  <c r="X6" i="4"/>
  <c r="R9" i="7" s="1"/>
  <c r="W6" i="4"/>
  <c r="Q9" i="7" s="1"/>
  <c r="Q6" i="4"/>
  <c r="DI8" i="10" l="1"/>
  <c r="FR8" i="10" s="1"/>
  <c r="DI6" i="10"/>
  <c r="FR6" i="10" s="1"/>
  <c r="DJ3" i="10"/>
  <c r="DJ7" i="10" s="1"/>
  <c r="EG10" i="6"/>
  <c r="DI4" i="10"/>
  <c r="Q11" i="32"/>
  <c r="P11" i="32"/>
  <c r="Q33" i="8"/>
  <c r="Q8" i="8"/>
  <c r="P33" i="8"/>
  <c r="P8" i="8"/>
  <c r="W13" i="4"/>
  <c r="X13" i="4"/>
  <c r="EF12" i="6"/>
  <c r="EH4" i="6"/>
  <c r="EG11" i="6"/>
  <c r="EG9" i="6"/>
  <c r="EG8" i="6"/>
  <c r="O6" i="4"/>
  <c r="DJ6" i="10" l="1"/>
  <c r="DJ5" i="10"/>
  <c r="DJ8" i="10"/>
  <c r="DK3" i="10"/>
  <c r="DK8" i="10" s="1"/>
  <c r="EH10" i="6"/>
  <c r="DK4" i="10"/>
  <c r="DJ4" i="10"/>
  <c r="P8" i="32"/>
  <c r="P31" i="8"/>
  <c r="Q8" i="32"/>
  <c r="Q31" i="8"/>
  <c r="EI4" i="6"/>
  <c r="EH11" i="6"/>
  <c r="EH9" i="6"/>
  <c r="EH8" i="6"/>
  <c r="EG12" i="6"/>
  <c r="DK6" i="10" l="1"/>
  <c r="DK5" i="10"/>
  <c r="DK7" i="10"/>
  <c r="DL3" i="10"/>
  <c r="DL7" i="10" s="1"/>
  <c r="EI10" i="6"/>
  <c r="GP10" i="6" s="1"/>
  <c r="C8" i="32"/>
  <c r="C31" i="16" s="1"/>
  <c r="EH12" i="6"/>
  <c r="EJ4" i="6"/>
  <c r="EI9" i="6"/>
  <c r="EI11" i="6"/>
  <c r="EI8" i="6"/>
  <c r="J11" i="7"/>
  <c r="J12" i="7" s="1"/>
  <c r="J22" i="7" s="1"/>
  <c r="I34" i="8" l="1"/>
  <c r="P14" i="4"/>
  <c r="P15" i="4" s="1"/>
  <c r="DL8" i="10"/>
  <c r="FS8" i="10" s="1"/>
  <c r="DL6" i="10"/>
  <c r="FS6" i="10" s="1"/>
  <c r="DL5" i="10"/>
  <c r="FS5" i="10" s="1"/>
  <c r="DM3" i="10"/>
  <c r="DM7" i="10" s="1"/>
  <c r="EJ10" i="6"/>
  <c r="DL4" i="10"/>
  <c r="EK4" i="6"/>
  <c r="EJ11" i="6"/>
  <c r="GY11" i="6" s="1"/>
  <c r="EJ9" i="6"/>
  <c r="GY9" i="6" s="1"/>
  <c r="EJ8" i="6"/>
  <c r="EI12" i="6"/>
  <c r="I12" i="32"/>
  <c r="J15" i="7"/>
  <c r="K8" i="7"/>
  <c r="DM8" i="10" l="1"/>
  <c r="DM5" i="10"/>
  <c r="DM6" i="10"/>
  <c r="DN3" i="10"/>
  <c r="DN7" i="10" s="1"/>
  <c r="EK10" i="6"/>
  <c r="DM4" i="10"/>
  <c r="DN4" i="10"/>
  <c r="GY8" i="6"/>
  <c r="GM8" i="6"/>
  <c r="EJ12" i="6"/>
  <c r="EL4" i="6"/>
  <c r="EK9" i="6"/>
  <c r="EK11" i="6"/>
  <c r="EK8" i="6"/>
  <c r="G4" i="4"/>
  <c r="J13" i="7"/>
  <c r="DN5" i="10" l="1"/>
  <c r="DN6" i="10"/>
  <c r="DN8" i="10"/>
  <c r="DO3" i="10"/>
  <c r="DO7" i="10" s="1"/>
  <c r="EL10" i="6"/>
  <c r="GQ10" i="6" s="1"/>
  <c r="EK12" i="6"/>
  <c r="EM4" i="6"/>
  <c r="EL9" i="6"/>
  <c r="EL11" i="6"/>
  <c r="EL8" i="6"/>
  <c r="DO5" i="10" l="1"/>
  <c r="FT5" i="10" s="1"/>
  <c r="DO6" i="10"/>
  <c r="FT6" i="10" s="1"/>
  <c r="DO8" i="10"/>
  <c r="FT8" i="10" s="1"/>
  <c r="DP3" i="10"/>
  <c r="DP7" i="10" s="1"/>
  <c r="EM10" i="6"/>
  <c r="DP4" i="10"/>
  <c r="DO4" i="10"/>
  <c r="EN4" i="6"/>
  <c r="EM9" i="6"/>
  <c r="EM11" i="6"/>
  <c r="EM8" i="6"/>
  <c r="EL12" i="6"/>
  <c r="DP6" i="10" l="1"/>
  <c r="DP5" i="10"/>
  <c r="DP8" i="10"/>
  <c r="DQ3" i="10"/>
  <c r="DQ7" i="10" s="1"/>
  <c r="EN10" i="6"/>
  <c r="DQ4" i="10"/>
  <c r="EM12" i="6"/>
  <c r="EO4" i="6"/>
  <c r="EN8" i="6"/>
  <c r="EN9" i="6"/>
  <c r="EN11" i="6"/>
  <c r="D24" i="17"/>
  <c r="B24" i="17"/>
  <c r="DQ5" i="10" l="1"/>
  <c r="DQ8" i="10"/>
  <c r="DQ6" i="10"/>
  <c r="DR3" i="10"/>
  <c r="DR7" i="10" s="1"/>
  <c r="EO10" i="6"/>
  <c r="GR10" i="6" s="1"/>
  <c r="DR4" i="10"/>
  <c r="GF8" i="6"/>
  <c r="EP4" i="6"/>
  <c r="EO9" i="6"/>
  <c r="EO8" i="6"/>
  <c r="EO11" i="6"/>
  <c r="EN12" i="6"/>
  <c r="GF11" i="6"/>
  <c r="GF9" i="6"/>
  <c r="C24" i="17"/>
  <c r="D25" i="17"/>
  <c r="D26" i="17" s="1"/>
  <c r="B25" i="17"/>
  <c r="B26" i="17" s="1"/>
  <c r="DR5" i="10" l="1"/>
  <c r="DR6" i="10"/>
  <c r="DR8" i="10"/>
  <c r="DS3" i="10"/>
  <c r="DS7" i="10" s="1"/>
  <c r="EP10" i="6"/>
  <c r="DS4" i="10"/>
  <c r="EO12" i="6"/>
  <c r="EP9" i="6"/>
  <c r="EP11" i="6"/>
  <c r="EP8" i="6"/>
  <c r="EQ4" i="6"/>
  <c r="C25" i="17"/>
  <c r="C26" i="17" s="1"/>
  <c r="DS5" i="10" l="1"/>
  <c r="DS6" i="10"/>
  <c r="DS8" i="10"/>
  <c r="DT3" i="10"/>
  <c r="DT7" i="10" s="1"/>
  <c r="EQ10" i="6"/>
  <c r="DT4" i="10"/>
  <c r="EP12" i="6"/>
  <c r="EQ9" i="6"/>
  <c r="ER4" i="6"/>
  <c r="EQ11" i="6"/>
  <c r="EQ8" i="6"/>
  <c r="C36" i="8"/>
  <c r="DT6" i="10" l="1"/>
  <c r="DT8" i="10"/>
  <c r="DT5" i="10"/>
  <c r="DU3" i="10"/>
  <c r="DU7" i="10" s="1"/>
  <c r="ER10" i="6"/>
  <c r="GS10" i="6" s="1"/>
  <c r="DU4" i="10"/>
  <c r="EQ12" i="6"/>
  <c r="ER8" i="6"/>
  <c r="GG8" i="6" s="1"/>
  <c r="ER9" i="6"/>
  <c r="ES4" i="6"/>
  <c r="ER11" i="6"/>
  <c r="GG11" i="6"/>
  <c r="GG9" i="6"/>
  <c r="DU5" i="10" l="1"/>
  <c r="DU6" i="10"/>
  <c r="DU8" i="10"/>
  <c r="DV3" i="10"/>
  <c r="DV7" i="10" s="1"/>
  <c r="ES10" i="6"/>
  <c r="DV4" i="10"/>
  <c r="ER12" i="6"/>
  <c r="ET4" i="6"/>
  <c r="ES11" i="6"/>
  <c r="ES9" i="6"/>
  <c r="ES8" i="6"/>
  <c r="X30" i="29"/>
  <c r="Y30" i="29" s="1"/>
  <c r="Y7" i="29" s="1"/>
  <c r="DV6" i="10" l="1"/>
  <c r="DV8" i="10"/>
  <c r="DV5" i="10"/>
  <c r="DW3" i="10"/>
  <c r="DW7" i="10" s="1"/>
  <c r="ET10" i="6"/>
  <c r="DW4" i="10"/>
  <c r="ES12" i="6"/>
  <c r="ET9" i="6"/>
  <c r="ET8" i="6"/>
  <c r="EU4" i="6"/>
  <c r="ET11" i="6"/>
  <c r="BT4" i="10"/>
  <c r="BU4" i="10"/>
  <c r="BR4" i="10"/>
  <c r="BC4" i="10"/>
  <c r="BO4" i="10"/>
  <c r="BI4" i="10"/>
  <c r="BM4" i="10"/>
  <c r="AX4" i="10"/>
  <c r="AU4" i="10"/>
  <c r="BG4" i="10"/>
  <c r="AQ4" i="10"/>
  <c r="BF4" i="10"/>
  <c r="BB4" i="10"/>
  <c r="DW8" i="10" l="1"/>
  <c r="DW6" i="10"/>
  <c r="DW5" i="10"/>
  <c r="DX3" i="10"/>
  <c r="DX7" i="10" s="1"/>
  <c r="EU10" i="6"/>
  <c r="GT10" i="6" s="1"/>
  <c r="DX4" i="10"/>
  <c r="EU8" i="6"/>
  <c r="EV4" i="6"/>
  <c r="EU9" i="6"/>
  <c r="EU11" i="6"/>
  <c r="ET12" i="6"/>
  <c r="Y41" i="8"/>
  <c r="AM4" i="10"/>
  <c r="BV4" i="10"/>
  <c r="BX4" i="10"/>
  <c r="BL4" i="10"/>
  <c r="AK4" i="10"/>
  <c r="AO4" i="10"/>
  <c r="AL4" i="10"/>
  <c r="BH4" i="10"/>
  <c r="BJ4" i="10"/>
  <c r="AW4" i="10"/>
  <c r="BA4" i="10"/>
  <c r="DX8" i="10" l="1"/>
  <c r="DX6" i="10"/>
  <c r="DX5" i="10"/>
  <c r="DY3" i="10"/>
  <c r="DY7" i="10" s="1"/>
  <c r="EV10" i="6"/>
  <c r="DY4" i="10"/>
  <c r="EV8" i="6"/>
  <c r="EW4" i="6"/>
  <c r="EV9" i="6"/>
  <c r="EV11" i="6"/>
  <c r="EU12" i="6"/>
  <c r="BE4" i="10"/>
  <c r="BW4" i="10"/>
  <c r="BQ4" i="10"/>
  <c r="BK4" i="10"/>
  <c r="AY4" i="10"/>
  <c r="BD4" i="10"/>
  <c r="BN4" i="10"/>
  <c r="DY6" i="10" l="1"/>
  <c r="DY8" i="10"/>
  <c r="DY5" i="10"/>
  <c r="DZ3" i="10"/>
  <c r="DZ7" i="10" s="1"/>
  <c r="EW10" i="6"/>
  <c r="DZ4" i="10"/>
  <c r="EV12" i="6"/>
  <c r="EW11" i="6"/>
  <c r="EW9" i="6"/>
  <c r="EX4" i="6"/>
  <c r="EW8" i="6"/>
  <c r="AV4" i="10"/>
  <c r="GY12" i="6"/>
  <c r="AS4" i="10"/>
  <c r="DZ8" i="10" l="1"/>
  <c r="DZ5" i="10"/>
  <c r="DZ6" i="10"/>
  <c r="EA3" i="10"/>
  <c r="EA7" i="10" s="1"/>
  <c r="EX10" i="6"/>
  <c r="GU10" i="6" s="1"/>
  <c r="EA4" i="10"/>
  <c r="EA8" i="10"/>
  <c r="EA6" i="10"/>
  <c r="AR10" i="8"/>
  <c r="AR7" i="32"/>
  <c r="AR6" i="8"/>
  <c r="AR30" i="8"/>
  <c r="GI9" i="6"/>
  <c r="EY4" i="6"/>
  <c r="EX9" i="6"/>
  <c r="EX11" i="6"/>
  <c r="EX8" i="6"/>
  <c r="GI8" i="6"/>
  <c r="EW12" i="6"/>
  <c r="EA5" i="10" l="1"/>
  <c r="EY10" i="6"/>
  <c r="AR15" i="32"/>
  <c r="AR11" i="8"/>
  <c r="AR16" i="32" s="1"/>
  <c r="AR14" i="8"/>
  <c r="AR20" i="32" s="1"/>
  <c r="EY8" i="6"/>
  <c r="EY11" i="6"/>
  <c r="EB3" i="10"/>
  <c r="EB7" i="10" s="1"/>
  <c r="EZ4" i="6"/>
  <c r="EY9" i="6"/>
  <c r="EX12" i="6"/>
  <c r="K9" i="4"/>
  <c r="EZ10" i="6" l="1"/>
  <c r="AR15" i="8"/>
  <c r="AR16" i="8" s="1"/>
  <c r="AR44" i="8" s="1"/>
  <c r="AR42" i="8"/>
  <c r="EB8" i="10"/>
  <c r="EB6" i="10"/>
  <c r="EB5" i="10"/>
  <c r="EC3" i="10"/>
  <c r="EC7" i="10" s="1"/>
  <c r="EZ11" i="6"/>
  <c r="FA4" i="6"/>
  <c r="EZ9" i="6"/>
  <c r="EZ8" i="6"/>
  <c r="K6" i="4"/>
  <c r="D11" i="32" s="1"/>
  <c r="FA10" i="6" l="1"/>
  <c r="AR21" i="32"/>
  <c r="AR22" i="32" s="1"/>
  <c r="AR43" i="8"/>
  <c r="FU8" i="10"/>
  <c r="FU5" i="10"/>
  <c r="FU6" i="10"/>
  <c r="EB4" i="10"/>
  <c r="EC8" i="10"/>
  <c r="EC6" i="10"/>
  <c r="EC5" i="10"/>
  <c r="ED3" i="10"/>
  <c r="ED7" i="10" s="1"/>
  <c r="FA9" i="6"/>
  <c r="GV9" i="6" s="1"/>
  <c r="FA11" i="6"/>
  <c r="GV11" i="6" s="1"/>
  <c r="FB4" i="6"/>
  <c r="FA8" i="6"/>
  <c r="GV8" i="6" s="1"/>
  <c r="K13" i="4"/>
  <c r="K15" i="4" s="1"/>
  <c r="D33" i="8"/>
  <c r="D8" i="8"/>
  <c r="FB10" i="6" l="1"/>
  <c r="ED8" i="10"/>
  <c r="FM8" i="10" s="1"/>
  <c r="ED6" i="10"/>
  <c r="FY6" i="10" s="1"/>
  <c r="ED5" i="10"/>
  <c r="FM5" i="10" s="1"/>
  <c r="FB9" i="6"/>
  <c r="FB8" i="6"/>
  <c r="EE3" i="10"/>
  <c r="EE7" i="10" s="1"/>
  <c r="FC4" i="6"/>
  <c r="FB11" i="6"/>
  <c r="EC4" i="10"/>
  <c r="ED4" i="10"/>
  <c r="D21" i="32"/>
  <c r="D22" i="32" s="1"/>
  <c r="FC10" i="6" l="1"/>
  <c r="FY5" i="10"/>
  <c r="FY8" i="10"/>
  <c r="EE8" i="10"/>
  <c r="EE6" i="10"/>
  <c r="EE5" i="10"/>
  <c r="FD4" i="6"/>
  <c r="FC9" i="6"/>
  <c r="FC8" i="6"/>
  <c r="FC11" i="6"/>
  <c r="EF3" i="10"/>
  <c r="EF7" i="10" s="1"/>
  <c r="D16" i="8"/>
  <c r="D44" i="8" s="1"/>
  <c r="FD10" i="6" l="1"/>
  <c r="FV5" i="10"/>
  <c r="FV6" i="10"/>
  <c r="FV8" i="10"/>
  <c r="EE4" i="10"/>
  <c r="EF8" i="10"/>
  <c r="EF6" i="10"/>
  <c r="EF5" i="10"/>
  <c r="EG3" i="10"/>
  <c r="EG7" i="10" s="1"/>
  <c r="FD11" i="6"/>
  <c r="GW11" i="6" s="1"/>
  <c r="FD8" i="6"/>
  <c r="GW8" i="6" s="1"/>
  <c r="FD9" i="6"/>
  <c r="GW9" i="6" s="1"/>
  <c r="FE4" i="6"/>
  <c r="P9" i="4"/>
  <c r="J9" i="4" s="1"/>
  <c r="J6" i="4" s="1"/>
  <c r="J13" i="4" s="1"/>
  <c r="D15" i="9"/>
  <c r="E9" i="4"/>
  <c r="G15" i="9" l="1"/>
  <c r="FE10" i="6"/>
  <c r="FN6" i="10"/>
  <c r="H15" i="9"/>
  <c r="F15" i="9"/>
  <c r="E15" i="9"/>
  <c r="EG8" i="10"/>
  <c r="FN8" i="10" s="1"/>
  <c r="EG6" i="10"/>
  <c r="FZ6" i="10" s="1"/>
  <c r="EG5" i="10"/>
  <c r="FN5" i="10" s="1"/>
  <c r="GK8" i="6"/>
  <c r="FE8" i="6"/>
  <c r="FE9" i="6"/>
  <c r="EH3" i="10"/>
  <c r="EH7" i="10" s="1"/>
  <c r="FF4" i="6"/>
  <c r="FE11" i="6"/>
  <c r="EF4" i="10"/>
  <c r="EG4" i="10"/>
  <c r="I15" i="9"/>
  <c r="P6" i="4"/>
  <c r="C11" i="32" s="1"/>
  <c r="F9" i="4"/>
  <c r="F6" i="4" s="1"/>
  <c r="F13" i="4" s="1"/>
  <c r="F15" i="4" s="1"/>
  <c r="E6" i="4"/>
  <c r="E13" i="4" s="1"/>
  <c r="FF10" i="6" l="1"/>
  <c r="GX10" i="6" s="1"/>
  <c r="GJ10" i="6"/>
  <c r="GK10" i="6"/>
  <c r="GI10" i="6"/>
  <c r="GL10" i="6"/>
  <c r="FL10" i="6"/>
  <c r="FM10" i="6"/>
  <c r="FO10" i="6"/>
  <c r="FP10" i="6"/>
  <c r="FQ10" i="6"/>
  <c r="FR10" i="6"/>
  <c r="FS10" i="6"/>
  <c r="FT10" i="6"/>
  <c r="FU10" i="6"/>
  <c r="FX10" i="6"/>
  <c r="FY10" i="6"/>
  <c r="FZ10" i="6"/>
  <c r="GA10" i="6"/>
  <c r="GB10" i="6"/>
  <c r="GD10" i="6"/>
  <c r="GE10" i="6"/>
  <c r="GF10" i="6"/>
  <c r="GG10" i="6"/>
  <c r="GH10" i="6"/>
  <c r="GV10" i="6"/>
  <c r="GW10" i="6"/>
  <c r="FZ5" i="10"/>
  <c r="FZ8" i="10"/>
  <c r="EH8" i="10"/>
  <c r="EH6" i="10"/>
  <c r="EH5" i="10"/>
  <c r="FF11" i="6"/>
  <c r="GL11" i="6" s="1"/>
  <c r="EI3" i="10"/>
  <c r="EI7" i="10" s="1"/>
  <c r="FF8" i="6"/>
  <c r="FF9" i="6"/>
  <c r="FG4" i="6"/>
  <c r="C33" i="8"/>
  <c r="C8" i="8"/>
  <c r="G9" i="4"/>
  <c r="B10" i="17"/>
  <c r="GF12" i="6" l="1"/>
  <c r="FG10" i="6"/>
  <c r="FW6" i="10"/>
  <c r="FW5" i="10"/>
  <c r="FW8" i="10"/>
  <c r="EH4" i="10"/>
  <c r="EI8" i="10"/>
  <c r="EI6" i="10"/>
  <c r="EI5" i="10"/>
  <c r="GL8" i="6"/>
  <c r="GJ8" i="6"/>
  <c r="GJ9" i="6"/>
  <c r="GK9" i="6"/>
  <c r="GL9" i="6"/>
  <c r="GM9" i="6"/>
  <c r="GJ11" i="6"/>
  <c r="GK11" i="6"/>
  <c r="GM11" i="6"/>
  <c r="GN9" i="6"/>
  <c r="GO9" i="6"/>
  <c r="GP9" i="6"/>
  <c r="GQ9" i="6"/>
  <c r="GN8" i="6"/>
  <c r="GO8" i="6"/>
  <c r="GP8" i="6"/>
  <c r="GQ8" i="6"/>
  <c r="GN11" i="6"/>
  <c r="GO11" i="6"/>
  <c r="GP11" i="6"/>
  <c r="GQ11" i="6"/>
  <c r="GR9" i="6"/>
  <c r="GS9" i="6"/>
  <c r="GT9" i="6"/>
  <c r="GU9" i="6"/>
  <c r="GR8" i="6"/>
  <c r="GS8" i="6"/>
  <c r="GT8" i="6"/>
  <c r="GU8" i="6"/>
  <c r="GR11" i="6"/>
  <c r="GS11" i="6"/>
  <c r="GT11" i="6"/>
  <c r="GU11" i="6"/>
  <c r="FG8" i="6"/>
  <c r="FG9" i="6"/>
  <c r="EJ3" i="10"/>
  <c r="EJ7" i="10" s="1"/>
  <c r="FH4" i="6"/>
  <c r="FG11" i="6"/>
  <c r="GH9" i="6"/>
  <c r="GX9" i="6"/>
  <c r="GH8" i="6"/>
  <c r="GX8" i="6"/>
  <c r="GH11" i="6"/>
  <c r="GX11" i="6"/>
  <c r="GI11" i="6"/>
  <c r="G6" i="4"/>
  <c r="G13" i="4" s="1"/>
  <c r="I13" i="4" s="1"/>
  <c r="I9" i="4"/>
  <c r="C11" i="17"/>
  <c r="D11" i="17"/>
  <c r="B11" i="17"/>
  <c r="Y10" i="8" l="1"/>
  <c r="Y37" i="8" s="1"/>
  <c r="Y30" i="8"/>
  <c r="Y29" i="8" s="1"/>
  <c r="Y6" i="8"/>
  <c r="Y11" i="8" s="1"/>
  <c r="Y7" i="32"/>
  <c r="FH10" i="6"/>
  <c r="EJ8" i="10"/>
  <c r="FO8" i="10" s="1"/>
  <c r="EJ6" i="10"/>
  <c r="GA6" i="10" s="1"/>
  <c r="EJ5" i="10"/>
  <c r="GI12" i="6"/>
  <c r="GQ12" i="6"/>
  <c r="GN12" i="6"/>
  <c r="GO12" i="6"/>
  <c r="GT12" i="6"/>
  <c r="GM12" i="6"/>
  <c r="GL12" i="6"/>
  <c r="GK12" i="6"/>
  <c r="GJ12" i="6"/>
  <c r="GS12" i="6"/>
  <c r="GP12" i="6"/>
  <c r="GU12" i="6"/>
  <c r="GR12" i="6"/>
  <c r="GG12" i="6"/>
  <c r="Z7" i="32" s="1"/>
  <c r="EI4" i="10"/>
  <c r="GH12" i="6"/>
  <c r="FI4" i="6"/>
  <c r="FH9" i="6"/>
  <c r="EK3" i="10"/>
  <c r="EK7" i="10" s="1"/>
  <c r="FH8" i="6"/>
  <c r="FH11" i="6"/>
  <c r="EJ4" i="10"/>
  <c r="Y14" i="8" l="1"/>
  <c r="Y15" i="32"/>
  <c r="FI10" i="6"/>
  <c r="Y20" i="32"/>
  <c r="Y42" i="8"/>
  <c r="Y16" i="32"/>
  <c r="Y38" i="8"/>
  <c r="Y15" i="8"/>
  <c r="AC10" i="8"/>
  <c r="AC37" i="8" s="1"/>
  <c r="AC7" i="32"/>
  <c r="AC6" i="32" s="1"/>
  <c r="AB10" i="8"/>
  <c r="AB7" i="32"/>
  <c r="AB6" i="32" s="1"/>
  <c r="AA10" i="8"/>
  <c r="AA37" i="8" s="1"/>
  <c r="AA7" i="32"/>
  <c r="AA6" i="32" s="1"/>
  <c r="AD10" i="8"/>
  <c r="AD37" i="8" s="1"/>
  <c r="AD7" i="32"/>
  <c r="AD6" i="32" s="1"/>
  <c r="AH10" i="8"/>
  <c r="AH37" i="8" s="1"/>
  <c r="AH7" i="32"/>
  <c r="AI10" i="8"/>
  <c r="AI37" i="8" s="1"/>
  <c r="AI7" i="32"/>
  <c r="AL10" i="8"/>
  <c r="AL37" i="8" s="1"/>
  <c r="AL7" i="32"/>
  <c r="AJ10" i="8"/>
  <c r="AJ7" i="32"/>
  <c r="AE10" i="8"/>
  <c r="AE37" i="8" s="1"/>
  <c r="AE7" i="32"/>
  <c r="AF10" i="8"/>
  <c r="AF7" i="32"/>
  <c r="AF6" i="32" s="1"/>
  <c r="AK10" i="8"/>
  <c r="AK37" i="8" s="1"/>
  <c r="AK7" i="32"/>
  <c r="AM10" i="8"/>
  <c r="AM37" i="8" s="1"/>
  <c r="AM7" i="32"/>
  <c r="AN10" i="8"/>
  <c r="AN7" i="32"/>
  <c r="AG10" i="8"/>
  <c r="AG37" i="8" s="1"/>
  <c r="AG7" i="32"/>
  <c r="Z30" i="8"/>
  <c r="Z29" i="8" s="1"/>
  <c r="Z10" i="8"/>
  <c r="AC30" i="8"/>
  <c r="AB30" i="8"/>
  <c r="AJ6" i="8"/>
  <c r="AJ30" i="8"/>
  <c r="AA6" i="8"/>
  <c r="AA30" i="8"/>
  <c r="AD30" i="8"/>
  <c r="FO5" i="10"/>
  <c r="GA5" i="10"/>
  <c r="AL30" i="8"/>
  <c r="AF6" i="8"/>
  <c r="AF30" i="8"/>
  <c r="AK30" i="8"/>
  <c r="AM30" i="8"/>
  <c r="AE30" i="8"/>
  <c r="AN6" i="8"/>
  <c r="AN30" i="8"/>
  <c r="AH30" i="8"/>
  <c r="AI30" i="8"/>
  <c r="AG30" i="8"/>
  <c r="GA8" i="10"/>
  <c r="AR37" i="8"/>
  <c r="AG6" i="8"/>
  <c r="AC6" i="8"/>
  <c r="AB6" i="8"/>
  <c r="AD6" i="8"/>
  <c r="AI6" i="8"/>
  <c r="AE6" i="8"/>
  <c r="Z6" i="8"/>
  <c r="AK6" i="8"/>
  <c r="AM6" i="8"/>
  <c r="AL6" i="8"/>
  <c r="AH6" i="8"/>
  <c r="EK8" i="10"/>
  <c r="EK6" i="10"/>
  <c r="EK5" i="10"/>
  <c r="Y6" i="32"/>
  <c r="Z6" i="32"/>
  <c r="AR29" i="8"/>
  <c r="EL3" i="10"/>
  <c r="EL7" i="10" s="1"/>
  <c r="FI9" i="6"/>
  <c r="FJ4" i="6"/>
  <c r="FI8" i="6"/>
  <c r="FI11" i="6"/>
  <c r="FJ10" i="6" l="1"/>
  <c r="AA10" i="6" s="1"/>
  <c r="Z10" i="6" s="1"/>
  <c r="Y16" i="8"/>
  <c r="Y44" i="8" s="1"/>
  <c r="Y21" i="32"/>
  <c r="Y22" i="32" s="1"/>
  <c r="Y43" i="8"/>
  <c r="AM15" i="32"/>
  <c r="AJ15" i="32"/>
  <c r="AD15" i="32"/>
  <c r="Z15" i="32"/>
  <c r="AK15" i="32"/>
  <c r="AL15" i="32"/>
  <c r="AA15" i="32"/>
  <c r="AG15" i="32"/>
  <c r="AF15" i="32"/>
  <c r="AI15" i="32"/>
  <c r="AB15" i="32"/>
  <c r="AN15" i="32"/>
  <c r="AE15" i="32"/>
  <c r="AH15" i="32"/>
  <c r="AC15" i="32"/>
  <c r="AI14" i="8"/>
  <c r="AI20" i="32" s="1"/>
  <c r="AI11" i="8"/>
  <c r="AI16" i="32" s="1"/>
  <c r="AC14" i="8"/>
  <c r="AC20" i="32" s="1"/>
  <c r="AC11" i="8"/>
  <c r="AC16" i="32" s="1"/>
  <c r="AJ11" i="8"/>
  <c r="AJ16" i="32" s="1"/>
  <c r="AJ14" i="8"/>
  <c r="AG14" i="8"/>
  <c r="AG20" i="32" s="1"/>
  <c r="AG11" i="8"/>
  <c r="AG16" i="32" s="1"/>
  <c r="AK14" i="8"/>
  <c r="AK20" i="32" s="1"/>
  <c r="AK11" i="8"/>
  <c r="AK16" i="32" s="1"/>
  <c r="AH14" i="8"/>
  <c r="AH20" i="32" s="1"/>
  <c r="AH11" i="8"/>
  <c r="AH16" i="32" s="1"/>
  <c r="Z14" i="8"/>
  <c r="Z20" i="32" s="1"/>
  <c r="Z11" i="8"/>
  <c r="Z16" i="32" s="1"/>
  <c r="AD14" i="8"/>
  <c r="AD20" i="32" s="1"/>
  <c r="AD11" i="8"/>
  <c r="AD16" i="32" s="1"/>
  <c r="AN14" i="8"/>
  <c r="AN20" i="32" s="1"/>
  <c r="AN11" i="8"/>
  <c r="AN16" i="32" s="1"/>
  <c r="AL14" i="8"/>
  <c r="AL20" i="32" s="1"/>
  <c r="AL11" i="8"/>
  <c r="AL16" i="32" s="1"/>
  <c r="AB14" i="8"/>
  <c r="AB20" i="32" s="1"/>
  <c r="AB11" i="8"/>
  <c r="AB16" i="32" s="1"/>
  <c r="AE14" i="8"/>
  <c r="AE20" i="32" s="1"/>
  <c r="AE11" i="8"/>
  <c r="AE16" i="32" s="1"/>
  <c r="AF14" i="8"/>
  <c r="AF20" i="32" s="1"/>
  <c r="AF11" i="8"/>
  <c r="AF16" i="32" s="1"/>
  <c r="AA14" i="8"/>
  <c r="AA20" i="32" s="1"/>
  <c r="AA11" i="8"/>
  <c r="AA16" i="32" s="1"/>
  <c r="AM14" i="8"/>
  <c r="AM20" i="32" s="1"/>
  <c r="AM11" i="8"/>
  <c r="AH6" i="32"/>
  <c r="AL6" i="32"/>
  <c r="FX8" i="10"/>
  <c r="AK6" i="32"/>
  <c r="AN6" i="32"/>
  <c r="FX5" i="10"/>
  <c r="FX6" i="10"/>
  <c r="AG6" i="32"/>
  <c r="AJ6" i="32"/>
  <c r="Z37" i="8"/>
  <c r="AL29" i="8"/>
  <c r="AI29" i="8"/>
  <c r="AG29" i="8"/>
  <c r="AD29" i="8"/>
  <c r="AC29" i="8"/>
  <c r="AE29" i="8"/>
  <c r="AH29" i="8"/>
  <c r="AM29" i="8"/>
  <c r="AK29" i="8"/>
  <c r="EK4" i="10"/>
  <c r="EL8" i="10"/>
  <c r="EL6" i="10"/>
  <c r="EL5" i="10"/>
  <c r="AR38" i="8"/>
  <c r="AA29" i="8"/>
  <c r="EM3" i="10"/>
  <c r="EM7" i="10" s="1"/>
  <c r="FJ11" i="6"/>
  <c r="AA11" i="6" s="1"/>
  <c r="Z11" i="6" s="1"/>
  <c r="FJ9" i="6"/>
  <c r="AA9" i="6" s="1"/>
  <c r="Z9" i="6" s="1"/>
  <c r="FJ8" i="6"/>
  <c r="AA8" i="6" s="1"/>
  <c r="Z8" i="6" s="1"/>
  <c r="EN7" i="10" l="1"/>
  <c r="EO7" i="10"/>
  <c r="EP7" i="10"/>
  <c r="ER7" i="10"/>
  <c r="ES7" i="10"/>
  <c r="ET7" i="10"/>
  <c r="EU7" i="10"/>
  <c r="EV7" i="10"/>
  <c r="EW7" i="10"/>
  <c r="EX7" i="10"/>
  <c r="EY7" i="10"/>
  <c r="EZ7" i="10"/>
  <c r="FA7" i="10"/>
  <c r="FB7" i="10"/>
  <c r="FC7" i="10"/>
  <c r="FD7" i="10"/>
  <c r="FE7" i="10"/>
  <c r="FF7" i="10"/>
  <c r="FG7" i="10"/>
  <c r="FH7" i="10"/>
  <c r="FI7" i="10"/>
  <c r="FJ7" i="10"/>
  <c r="FK7" i="10"/>
  <c r="FL7" i="10"/>
  <c r="FM7" i="10"/>
  <c r="FN7" i="10"/>
  <c r="FO7" i="10"/>
  <c r="FP7" i="10"/>
  <c r="FR7" i="10"/>
  <c r="FS7" i="10"/>
  <c r="FT7" i="10"/>
  <c r="FU7" i="10"/>
  <c r="FV7" i="10"/>
  <c r="FW7" i="10"/>
  <c r="FX7" i="10"/>
  <c r="FY7" i="10"/>
  <c r="FZ7" i="10"/>
  <c r="GA7" i="10"/>
  <c r="GB7" i="10"/>
  <c r="AK38" i="8"/>
  <c r="AH38" i="8"/>
  <c r="AF38" i="8"/>
  <c r="AC38" i="8"/>
  <c r="AN38" i="8"/>
  <c r="AJ38" i="8"/>
  <c r="AL38" i="8"/>
  <c r="AC15" i="8"/>
  <c r="AC21" i="32" s="1"/>
  <c r="AC22" i="32" s="1"/>
  <c r="AD38" i="8"/>
  <c r="AE38" i="8"/>
  <c r="AG38" i="8"/>
  <c r="Z38" i="8"/>
  <c r="AB38" i="8"/>
  <c r="AB15" i="8"/>
  <c r="AB21" i="32" s="1"/>
  <c r="AB22" i="32" s="1"/>
  <c r="AG15" i="8"/>
  <c r="AG16" i="8" s="1"/>
  <c r="AG44" i="8" s="1"/>
  <c r="AK15" i="8"/>
  <c r="AK16" i="8" s="1"/>
  <c r="AK44" i="8" s="1"/>
  <c r="AE15" i="8"/>
  <c r="AE16" i="8" s="1"/>
  <c r="AE44" i="8" s="1"/>
  <c r="AI15" i="8"/>
  <c r="AI16" i="8" s="1"/>
  <c r="AI44" i="8" s="1"/>
  <c r="AJ15" i="8"/>
  <c r="AJ16" i="8" s="1"/>
  <c r="AJ44" i="8" s="1"/>
  <c r="AA15" i="8"/>
  <c r="AA16" i="8" s="1"/>
  <c r="AA44" i="8" s="1"/>
  <c r="AM38" i="8"/>
  <c r="AM16" i="32"/>
  <c r="AJ42" i="8"/>
  <c r="AJ20" i="32"/>
  <c r="AN15" i="8"/>
  <c r="AN16" i="8" s="1"/>
  <c r="AN44" i="8" s="1"/>
  <c r="Z15" i="8"/>
  <c r="AF15" i="8"/>
  <c r="AF16" i="8" s="1"/>
  <c r="AF44" i="8" s="1"/>
  <c r="AL15" i="8"/>
  <c r="AM15" i="8"/>
  <c r="AM16" i="8" s="1"/>
  <c r="AM44" i="8" s="1"/>
  <c r="AH15" i="8"/>
  <c r="AD15" i="8"/>
  <c r="AD16" i="8" s="1"/>
  <c r="AD44" i="8" s="1"/>
  <c r="AM42" i="8"/>
  <c r="AB42" i="8"/>
  <c r="Z42" i="8"/>
  <c r="AA42" i="8"/>
  <c r="AD42" i="8"/>
  <c r="AL42" i="8"/>
  <c r="AH42" i="8"/>
  <c r="AC42" i="8"/>
  <c r="AE42" i="8"/>
  <c r="AG42" i="8"/>
  <c r="AF42" i="8"/>
  <c r="AN42" i="8"/>
  <c r="AK42" i="8"/>
  <c r="AI42" i="8"/>
  <c r="AI38" i="8"/>
  <c r="EM8" i="10"/>
  <c r="FP8" i="10" s="1"/>
  <c r="EM6" i="10"/>
  <c r="GB6" i="10" s="1"/>
  <c r="EM5" i="10"/>
  <c r="FP5" i="10" s="1"/>
  <c r="EN6" i="10"/>
  <c r="EO6" i="10"/>
  <c r="ER6" i="10"/>
  <c r="ES6" i="10"/>
  <c r="ET6" i="10"/>
  <c r="EU6" i="10"/>
  <c r="EV6" i="10"/>
  <c r="EW6" i="10"/>
  <c r="EX6" i="10"/>
  <c r="EY6" i="10"/>
  <c r="EZ6" i="10"/>
  <c r="FA6" i="10"/>
  <c r="FB6" i="10"/>
  <c r="FC6" i="10"/>
  <c r="FD6" i="10"/>
  <c r="FE6" i="10"/>
  <c r="FF6" i="10"/>
  <c r="FG6" i="10"/>
  <c r="FH6" i="10"/>
  <c r="EL4" i="10"/>
  <c r="AA38" i="8"/>
  <c r="AR13" i="8"/>
  <c r="AR19" i="32" s="1"/>
  <c r="K11" i="7"/>
  <c r="FL4" i="10" l="1"/>
  <c r="FX4" i="10"/>
  <c r="FT4" i="10"/>
  <c r="FJ4" i="10"/>
  <c r="FV4" i="10"/>
  <c r="FS4" i="10"/>
  <c r="FK4" i="10"/>
  <c r="FW4" i="10"/>
  <c r="FR4" i="10"/>
  <c r="GA4" i="10"/>
  <c r="FY4" i="10"/>
  <c r="FI4" i="10"/>
  <c r="FU4" i="10"/>
  <c r="FZ4" i="10"/>
  <c r="C7" i="10"/>
  <c r="AC43" i="8"/>
  <c r="AC16" i="8"/>
  <c r="AC44" i="8" s="1"/>
  <c r="AB16" i="8"/>
  <c r="AB44" i="8" s="1"/>
  <c r="AB43" i="8"/>
  <c r="AM13" i="8"/>
  <c r="AM19" i="32" s="1"/>
  <c r="AD21" i="32"/>
  <c r="AD22" i="32" s="1"/>
  <c r="AD43" i="8"/>
  <c r="AN21" i="32"/>
  <c r="AN22" i="32" s="1"/>
  <c r="AN43" i="8"/>
  <c r="Z21" i="32"/>
  <c r="Z22" i="32" s="1"/>
  <c r="Z43" i="8"/>
  <c r="AH21" i="32"/>
  <c r="AH22" i="32" s="1"/>
  <c r="AH43" i="8"/>
  <c r="AK21" i="32"/>
  <c r="AK22" i="32" s="1"/>
  <c r="AK43" i="8"/>
  <c r="AM21" i="32"/>
  <c r="AM22" i="32" s="1"/>
  <c r="AM43" i="8"/>
  <c r="AJ21" i="32"/>
  <c r="AJ22" i="32" s="1"/>
  <c r="AJ43" i="8"/>
  <c r="AG21" i="32"/>
  <c r="AG22" i="32" s="1"/>
  <c r="AG43" i="8"/>
  <c r="AH16" i="8"/>
  <c r="AH44" i="8" s="1"/>
  <c r="Z16" i="8"/>
  <c r="Z44" i="8" s="1"/>
  <c r="AL21" i="32"/>
  <c r="AL22" i="32" s="1"/>
  <c r="AL43" i="8"/>
  <c r="AI21" i="32"/>
  <c r="AI22" i="32" s="1"/>
  <c r="AI43" i="8"/>
  <c r="AF21" i="32"/>
  <c r="AF22" i="32" s="1"/>
  <c r="AF43" i="8"/>
  <c r="AE21" i="32"/>
  <c r="AE22" i="32" s="1"/>
  <c r="AE43" i="8"/>
  <c r="AL16" i="8"/>
  <c r="AA21" i="32"/>
  <c r="AA22" i="32" s="1"/>
  <c r="AA43" i="8"/>
  <c r="AK13" i="8"/>
  <c r="AK19" i="32" s="1"/>
  <c r="AI13" i="8"/>
  <c r="AI19" i="32" s="1"/>
  <c r="AC41" i="8"/>
  <c r="GB5" i="10"/>
  <c r="GB8" i="10"/>
  <c r="AG41" i="8"/>
  <c r="AD41" i="8"/>
  <c r="AE41" i="8"/>
  <c r="FM6" i="10"/>
  <c r="FO6" i="10"/>
  <c r="FP6" i="10"/>
  <c r="EM4" i="10"/>
  <c r="EP8" i="10"/>
  <c r="EQ8" i="10"/>
  <c r="ER8" i="10"/>
  <c r="ES8" i="10"/>
  <c r="ET8" i="10"/>
  <c r="EU8" i="10"/>
  <c r="EV8" i="10"/>
  <c r="EW8" i="10"/>
  <c r="EX8" i="10"/>
  <c r="EY8" i="10"/>
  <c r="EZ8" i="10"/>
  <c r="FA8" i="10"/>
  <c r="FB8" i="10"/>
  <c r="FC8" i="10"/>
  <c r="FD8" i="10"/>
  <c r="FE8" i="10"/>
  <c r="FF8" i="10"/>
  <c r="FG8" i="10"/>
  <c r="FH8" i="10"/>
  <c r="EO4" i="10"/>
  <c r="EP5" i="10"/>
  <c r="EQ5" i="10"/>
  <c r="ER5" i="10"/>
  <c r="ES5" i="10"/>
  <c r="ET5" i="10"/>
  <c r="EU5" i="10"/>
  <c r="EV5" i="10"/>
  <c r="EW5" i="10"/>
  <c r="EX5" i="10"/>
  <c r="EY5" i="10"/>
  <c r="EZ5" i="10"/>
  <c r="FA5" i="10"/>
  <c r="FB5" i="10"/>
  <c r="FC5" i="10"/>
  <c r="FD5" i="10"/>
  <c r="FE5" i="10"/>
  <c r="FF5" i="10"/>
  <c r="FG5" i="10"/>
  <c r="FH5" i="10"/>
  <c r="EN4" i="10"/>
  <c r="AA41" i="8"/>
  <c r="Z41" i="8"/>
  <c r="AR41" i="8"/>
  <c r="L8" i="7"/>
  <c r="K12" i="7"/>
  <c r="K22" i="7" s="1"/>
  <c r="Q14" i="4" l="1"/>
  <c r="Q15" i="4" s="1"/>
  <c r="J34" i="8"/>
  <c r="AM41" i="8"/>
  <c r="AI41" i="8"/>
  <c r="AK41" i="8"/>
  <c r="AL44" i="8"/>
  <c r="AL13" i="8"/>
  <c r="C6" i="10"/>
  <c r="FO4" i="10"/>
  <c r="FN4" i="10"/>
  <c r="FM4" i="10"/>
  <c r="FP4" i="10"/>
  <c r="EQ4" i="10"/>
  <c r="EZ4" i="10"/>
  <c r="ER4" i="10"/>
  <c r="ES4" i="10"/>
  <c r="FH4" i="10"/>
  <c r="C8" i="10"/>
  <c r="FB4" i="10"/>
  <c r="ET4" i="10"/>
  <c r="EX4" i="10"/>
  <c r="FF4" i="10"/>
  <c r="FC4" i="10"/>
  <c r="FE4" i="10"/>
  <c r="EW4" i="10"/>
  <c r="FA4" i="10"/>
  <c r="FG4" i="10"/>
  <c r="EY4" i="10"/>
  <c r="FD4" i="10"/>
  <c r="C5" i="10"/>
  <c r="EP4" i="10"/>
  <c r="GB4" i="10"/>
  <c r="L11" i="7"/>
  <c r="K13" i="7"/>
  <c r="K15" i="7"/>
  <c r="AL19" i="32" l="1"/>
  <c r="AL41" i="8"/>
  <c r="ER28" i="10"/>
  <c r="EU28" i="10"/>
  <c r="EV28" i="10"/>
  <c r="ET28" i="10"/>
  <c r="L12" i="7"/>
  <c r="L22" i="7" s="1"/>
  <c r="J12" i="32"/>
  <c r="L13" i="7"/>
  <c r="L15" i="7"/>
  <c r="M8" i="7"/>
  <c r="K34" i="8" l="1"/>
  <c r="R14" i="4"/>
  <c r="R15" i="4" s="1"/>
  <c r="K12" i="32"/>
  <c r="M11" i="7"/>
  <c r="M12" i="7" s="1"/>
  <c r="M22" i="7" s="1"/>
  <c r="S14" i="4" l="1"/>
  <c r="S15" i="4" s="1"/>
  <c r="L34" i="8"/>
  <c r="M13" i="7"/>
  <c r="M15" i="7"/>
  <c r="N8" i="7"/>
  <c r="N11" i="7" s="1"/>
  <c r="L12" i="32" l="1"/>
  <c r="AP4" i="10" l="1"/>
  <c r="EV4" i="10" l="1"/>
  <c r="AT4" i="10"/>
  <c r="AE12" i="6" l="1"/>
  <c r="AR4" i="10"/>
  <c r="AQ12" i="6" l="1"/>
  <c r="CE12" i="6"/>
  <c r="BC12" i="6"/>
  <c r="AM12" i="6"/>
  <c r="CM12" i="6"/>
  <c r="BW12" i="6"/>
  <c r="AY12" i="6"/>
  <c r="AI12" i="6"/>
  <c r="CI12" i="6"/>
  <c r="BS12" i="6"/>
  <c r="AU12" i="6"/>
  <c r="FG12" i="6"/>
  <c r="CU12" i="6"/>
  <c r="CQ12" i="6"/>
  <c r="CA12" i="6"/>
  <c r="BK12" i="6"/>
  <c r="P1" i="6"/>
  <c r="AF12" i="6"/>
  <c r="AJ12" i="6"/>
  <c r="AN12" i="6"/>
  <c r="AR12" i="6"/>
  <c r="AZ12" i="6"/>
  <c r="P2" i="6"/>
  <c r="AC12" i="6"/>
  <c r="AG12" i="6"/>
  <c r="AK12" i="6"/>
  <c r="AO12" i="6"/>
  <c r="AS12" i="6"/>
  <c r="AW12" i="6"/>
  <c r="BE12" i="6"/>
  <c r="AD12" i="6"/>
  <c r="AH12" i="6"/>
  <c r="AL12" i="6"/>
  <c r="AP12" i="6"/>
  <c r="AT12" i="6"/>
  <c r="BB12" i="6"/>
  <c r="BO12" i="6" l="1"/>
  <c r="CY12" i="6"/>
  <c r="EY12" i="6"/>
  <c r="FC12" i="6"/>
  <c r="FA12" i="6"/>
  <c r="CO12" i="6"/>
  <c r="BY12" i="6"/>
  <c r="BA12" i="6"/>
  <c r="CK12" i="6"/>
  <c r="BU12" i="6"/>
  <c r="FH12" i="6"/>
  <c r="CV12" i="6"/>
  <c r="CF12" i="6"/>
  <c r="EU4" i="10"/>
  <c r="BG12" i="6"/>
  <c r="CZ12" i="6"/>
  <c r="CJ12" i="6"/>
  <c r="BT12" i="6"/>
  <c r="BD12" i="6"/>
  <c r="DB12" i="6"/>
  <c r="CL12" i="6"/>
  <c r="BV12" i="6"/>
  <c r="BF12" i="6"/>
  <c r="DA12" i="6"/>
  <c r="FJ12" i="6"/>
  <c r="CX12" i="6"/>
  <c r="CH12" i="6"/>
  <c r="BR12" i="6"/>
  <c r="FI12" i="6"/>
  <c r="CW12" i="6"/>
  <c r="CG12" i="6"/>
  <c r="BQ12" i="6"/>
  <c r="FD12" i="6"/>
  <c r="CR12" i="6"/>
  <c r="CB12" i="6"/>
  <c r="BL12" i="6"/>
  <c r="AV12" i="6"/>
  <c r="BM12" i="6"/>
  <c r="FB12" i="6"/>
  <c r="CP12" i="6"/>
  <c r="BZ12" i="6"/>
  <c r="BJ12" i="6"/>
  <c r="FF12" i="6"/>
  <c r="CT12" i="6"/>
  <c r="CD12" i="6"/>
  <c r="BN12" i="6"/>
  <c r="AX12" i="6"/>
  <c r="FE12" i="6"/>
  <c r="CS12" i="6"/>
  <c r="CC12" i="6"/>
  <c r="EZ12" i="6"/>
  <c r="CN12" i="6"/>
  <c r="BX12" i="6"/>
  <c r="BH12" i="6"/>
  <c r="AB12" i="6"/>
  <c r="FP12" i="6" l="1"/>
  <c r="GC12" i="6"/>
  <c r="FL12" i="6"/>
  <c r="FW12" i="6"/>
  <c r="FY12" i="6"/>
  <c r="B6" i="17"/>
  <c r="C4" i="10"/>
  <c r="C19" i="10" s="1"/>
  <c r="D22" i="9" s="1"/>
  <c r="GX12" i="6"/>
  <c r="GW12" i="6"/>
  <c r="FR12" i="6"/>
  <c r="GA12" i="6"/>
  <c r="GV12" i="6"/>
  <c r="FQ12" i="6"/>
  <c r="FO12" i="6"/>
  <c r="GE12" i="6"/>
  <c r="FZ12" i="6"/>
  <c r="FV12" i="6"/>
  <c r="C6" i="17"/>
  <c r="C12" i="17" s="1"/>
  <c r="C14" i="17" s="1"/>
  <c r="FM12" i="6"/>
  <c r="GD12" i="6"/>
  <c r="FX12" i="6"/>
  <c r="FN12" i="6"/>
  <c r="BI12" i="6"/>
  <c r="GB12" i="6"/>
  <c r="FU12" i="6"/>
  <c r="FT12" i="6"/>
  <c r="ES28" i="10"/>
  <c r="F22" i="9" l="1"/>
  <c r="F23" i="9" s="1"/>
  <c r="E22" i="9"/>
  <c r="E23" i="9" s="1"/>
  <c r="G22" i="9"/>
  <c r="G23" i="9" s="1"/>
  <c r="H22" i="9"/>
  <c r="H23" i="9" s="1"/>
  <c r="AQ10" i="8"/>
  <c r="AQ37" i="8" s="1"/>
  <c r="AQ7" i="32"/>
  <c r="AQ6" i="32" s="1"/>
  <c r="U10" i="8"/>
  <c r="U7" i="32"/>
  <c r="U6" i="32" s="1"/>
  <c r="Q10" i="8"/>
  <c r="Q7" i="32"/>
  <c r="Q6" i="32" s="1"/>
  <c r="X10" i="8"/>
  <c r="X7" i="32"/>
  <c r="X6" i="32" s="1"/>
  <c r="W10" i="8"/>
  <c r="W7" i="32"/>
  <c r="W6" i="32" s="1"/>
  <c r="S10" i="8"/>
  <c r="S7" i="32"/>
  <c r="S6" i="32" s="1"/>
  <c r="G10" i="8"/>
  <c r="G7" i="32"/>
  <c r="R10" i="8"/>
  <c r="R7" i="32"/>
  <c r="R6" i="32" s="1"/>
  <c r="T10" i="8"/>
  <c r="T7" i="32"/>
  <c r="T6" i="32" s="1"/>
  <c r="H10" i="8"/>
  <c r="H7" i="32"/>
  <c r="AO10" i="8"/>
  <c r="AO37" i="8" s="1"/>
  <c r="AO7" i="32"/>
  <c r="AO6" i="32" s="1"/>
  <c r="P10" i="8"/>
  <c r="P7" i="32"/>
  <c r="V10" i="8"/>
  <c r="V7" i="32"/>
  <c r="J10" i="8"/>
  <c r="J7" i="32"/>
  <c r="J6" i="32" s="1"/>
  <c r="F10" i="8"/>
  <c r="F7" i="32"/>
  <c r="E10" i="8"/>
  <c r="E37" i="8" s="1"/>
  <c r="E7" i="32"/>
  <c r="M10" i="8"/>
  <c r="M7" i="32"/>
  <c r="M6" i="32" s="1"/>
  <c r="K10" i="8"/>
  <c r="K7" i="32"/>
  <c r="K6" i="32" s="1"/>
  <c r="N10" i="8"/>
  <c r="N7" i="32"/>
  <c r="N6" i="32" s="1"/>
  <c r="O10" i="8"/>
  <c r="O7" i="32"/>
  <c r="AP10" i="8"/>
  <c r="AP37" i="8" s="1"/>
  <c r="AP7" i="32"/>
  <c r="AP6" i="32" s="1"/>
  <c r="I10" i="8"/>
  <c r="I7" i="32"/>
  <c r="I6" i="32" s="1"/>
  <c r="X30" i="8"/>
  <c r="AM6" i="32"/>
  <c r="Q6" i="8"/>
  <c r="Q30" i="8"/>
  <c r="R6" i="8"/>
  <c r="R30" i="8"/>
  <c r="S6" i="8"/>
  <c r="S30" i="8"/>
  <c r="G6" i="8"/>
  <c r="G30" i="8"/>
  <c r="AO6" i="8"/>
  <c r="AO30" i="8"/>
  <c r="P30" i="8"/>
  <c r="F6" i="8"/>
  <c r="F30" i="8"/>
  <c r="T30" i="8"/>
  <c r="E6" i="8"/>
  <c r="E30" i="8"/>
  <c r="U6" i="8"/>
  <c r="U30" i="8"/>
  <c r="H6" i="8"/>
  <c r="H30" i="8"/>
  <c r="W6" i="8"/>
  <c r="W30" i="8"/>
  <c r="M6" i="8"/>
  <c r="M30" i="8"/>
  <c r="K6" i="8"/>
  <c r="K30" i="8"/>
  <c r="V6" i="8"/>
  <c r="V30" i="8"/>
  <c r="AQ6" i="8"/>
  <c r="AQ30" i="8"/>
  <c r="J6" i="8"/>
  <c r="J30" i="8"/>
  <c r="N6" i="8"/>
  <c r="N30" i="8"/>
  <c r="O6" i="8"/>
  <c r="O30" i="8"/>
  <c r="AP6" i="8"/>
  <c r="AP30" i="8"/>
  <c r="I6" i="8"/>
  <c r="I30" i="8"/>
  <c r="X6" i="8"/>
  <c r="P6" i="8"/>
  <c r="AB37" i="8"/>
  <c r="T6" i="8"/>
  <c r="FM19" i="10"/>
  <c r="FO19" i="10"/>
  <c r="FN19" i="10"/>
  <c r="FP19" i="10"/>
  <c r="FS19" i="10"/>
  <c r="FR19" i="10"/>
  <c r="FQ19" i="10"/>
  <c r="FT19" i="10"/>
  <c r="FU19" i="10"/>
  <c r="FV19" i="10"/>
  <c r="FW19" i="10"/>
  <c r="FX19" i="10"/>
  <c r="FL19" i="10"/>
  <c r="FI19" i="10"/>
  <c r="FJ19" i="10"/>
  <c r="FK19" i="10"/>
  <c r="AR6" i="32"/>
  <c r="V6" i="32"/>
  <c r="BP12" i="6"/>
  <c r="B12" i="6" s="1"/>
  <c r="AA2" i="6"/>
  <c r="Z2" i="6"/>
  <c r="D6" i="17"/>
  <c r="D12" i="17" s="1"/>
  <c r="D14" i="17" s="1"/>
  <c r="C18" i="17"/>
  <c r="C19" i="17" s="1"/>
  <c r="C27" i="17"/>
  <c r="C28" i="17" s="1"/>
  <c r="C20" i="10"/>
  <c r="O15" i="32" l="1"/>
  <c r="E15" i="32"/>
  <c r="P15" i="32"/>
  <c r="R15" i="32"/>
  <c r="X15" i="32"/>
  <c r="N15" i="32"/>
  <c r="F15" i="32"/>
  <c r="AO15" i="32"/>
  <c r="G15" i="32"/>
  <c r="Q15" i="32"/>
  <c r="I15" i="32"/>
  <c r="K15" i="32"/>
  <c r="J15" i="32"/>
  <c r="H15" i="32"/>
  <c r="S15" i="32"/>
  <c r="U15" i="32"/>
  <c r="AP15" i="32"/>
  <c r="M15" i="32"/>
  <c r="V15" i="32"/>
  <c r="T15" i="32"/>
  <c r="W15" i="32"/>
  <c r="AQ15" i="32"/>
  <c r="G14" i="8"/>
  <c r="G20" i="32" s="1"/>
  <c r="G11" i="8"/>
  <c r="G16" i="32" s="1"/>
  <c r="AQ14" i="8"/>
  <c r="AQ20" i="32" s="1"/>
  <c r="AQ11" i="8"/>
  <c r="AQ16" i="32" s="1"/>
  <c r="T14" i="8"/>
  <c r="T20" i="32" s="1"/>
  <c r="T11" i="8"/>
  <c r="T16" i="32" s="1"/>
  <c r="O14" i="8"/>
  <c r="O20" i="32" s="1"/>
  <c r="O11" i="8"/>
  <c r="O16" i="32" s="1"/>
  <c r="V14" i="8"/>
  <c r="V20" i="32" s="1"/>
  <c r="V11" i="8"/>
  <c r="V16" i="32" s="1"/>
  <c r="H14" i="8"/>
  <c r="H20" i="32" s="1"/>
  <c r="H11" i="8"/>
  <c r="H16" i="32" s="1"/>
  <c r="F14" i="8"/>
  <c r="F20" i="32" s="1"/>
  <c r="F11" i="8"/>
  <c r="F16" i="32" s="1"/>
  <c r="S14" i="8"/>
  <c r="S20" i="32" s="1"/>
  <c r="S11" i="8"/>
  <c r="S16" i="32" s="1"/>
  <c r="AP14" i="8"/>
  <c r="AP20" i="32" s="1"/>
  <c r="AP11" i="8"/>
  <c r="AP16" i="32" s="1"/>
  <c r="W14" i="8"/>
  <c r="W20" i="32" s="1"/>
  <c r="W11" i="8"/>
  <c r="W16" i="32" s="1"/>
  <c r="P14" i="8"/>
  <c r="P20" i="32" s="1"/>
  <c r="P11" i="8"/>
  <c r="P16" i="32" s="1"/>
  <c r="K14" i="8"/>
  <c r="K20" i="32" s="1"/>
  <c r="K11" i="8"/>
  <c r="K16" i="32" s="1"/>
  <c r="R14" i="8"/>
  <c r="R20" i="32" s="1"/>
  <c r="R11" i="8"/>
  <c r="R16" i="32" s="1"/>
  <c r="N14" i="8"/>
  <c r="N20" i="32" s="1"/>
  <c r="N11" i="8"/>
  <c r="N16" i="32" s="1"/>
  <c r="X14" i="8"/>
  <c r="X20" i="32" s="1"/>
  <c r="X11" i="8"/>
  <c r="X16" i="32" s="1"/>
  <c r="U14" i="8"/>
  <c r="U20" i="32" s="1"/>
  <c r="U11" i="8"/>
  <c r="U16" i="32" s="1"/>
  <c r="I14" i="8"/>
  <c r="I20" i="32" s="1"/>
  <c r="I11" i="8"/>
  <c r="I16" i="32" s="1"/>
  <c r="J14" i="8"/>
  <c r="J20" i="32" s="1"/>
  <c r="J11" i="8"/>
  <c r="J16" i="32" s="1"/>
  <c r="M14" i="8"/>
  <c r="M20" i="32" s="1"/>
  <c r="M11" i="8"/>
  <c r="M16" i="32" s="1"/>
  <c r="E14" i="8"/>
  <c r="E20" i="32" s="1"/>
  <c r="E11" i="8"/>
  <c r="E16" i="32" s="1"/>
  <c r="AO14" i="8"/>
  <c r="AO20" i="32" s="1"/>
  <c r="AO11" i="8"/>
  <c r="AO16" i="32" s="1"/>
  <c r="Q14" i="8"/>
  <c r="Q20" i="32" s="1"/>
  <c r="Q11" i="8"/>
  <c r="Q16" i="32" s="1"/>
  <c r="AE6" i="32"/>
  <c r="AO29" i="8"/>
  <c r="AP29" i="8"/>
  <c r="AQ29" i="8"/>
  <c r="AI6" i="32"/>
  <c r="O37" i="8"/>
  <c r="S37" i="8"/>
  <c r="H37" i="8"/>
  <c r="U37" i="8"/>
  <c r="I37" i="8"/>
  <c r="T37" i="8"/>
  <c r="AJ37" i="8"/>
  <c r="N37" i="8"/>
  <c r="V37" i="8"/>
  <c r="M37" i="8"/>
  <c r="X37" i="8"/>
  <c r="AF37" i="8"/>
  <c r="AN37" i="8"/>
  <c r="Q37" i="8"/>
  <c r="G37" i="8"/>
  <c r="R37" i="8"/>
  <c r="W37" i="8"/>
  <c r="J37" i="8"/>
  <c r="P37" i="8"/>
  <c r="K37" i="8"/>
  <c r="F37" i="8"/>
  <c r="AF29" i="8"/>
  <c r="AJ29" i="8"/>
  <c r="AN29" i="8"/>
  <c r="AB29" i="8"/>
  <c r="FM20" i="10"/>
  <c r="FO20" i="10"/>
  <c r="FN20" i="10"/>
  <c r="FP20" i="10"/>
  <c r="FR20" i="10"/>
  <c r="FS20" i="10"/>
  <c r="FQ20" i="10"/>
  <c r="FT20" i="10"/>
  <c r="FU20" i="10"/>
  <c r="FV20" i="10"/>
  <c r="FW20" i="10"/>
  <c r="FX20" i="10"/>
  <c r="FI20" i="10"/>
  <c r="FK20" i="10"/>
  <c r="FL20" i="10"/>
  <c r="FJ20" i="10"/>
  <c r="O26" i="32"/>
  <c r="O6" i="32"/>
  <c r="G6" i="32"/>
  <c r="G26" i="32"/>
  <c r="F6" i="32"/>
  <c r="F26" i="32"/>
  <c r="P26" i="32"/>
  <c r="P6" i="32"/>
  <c r="H6" i="32"/>
  <c r="H26" i="32"/>
  <c r="E26" i="32"/>
  <c r="E6" i="32"/>
  <c r="FS12" i="6"/>
  <c r="I29" i="8"/>
  <c r="R29" i="8"/>
  <c r="W29" i="8"/>
  <c r="EN19" i="10"/>
  <c r="ER19" i="10"/>
  <c r="EV19" i="10"/>
  <c r="EZ19" i="10"/>
  <c r="FD19" i="10"/>
  <c r="FH19" i="10"/>
  <c r="GB19" i="10"/>
  <c r="EO19" i="10"/>
  <c r="ES19" i="10"/>
  <c r="EW19" i="10"/>
  <c r="FA19" i="10"/>
  <c r="FE19" i="10"/>
  <c r="FY19" i="10"/>
  <c r="ET19" i="10"/>
  <c r="FB19" i="10"/>
  <c r="FZ19" i="10"/>
  <c r="EP19" i="10"/>
  <c r="EX19" i="10"/>
  <c r="FF19" i="10"/>
  <c r="EQ19" i="10"/>
  <c r="FG19" i="10"/>
  <c r="GA19" i="10"/>
  <c r="EY19" i="10"/>
  <c r="FC19" i="10"/>
  <c r="EU19" i="10"/>
  <c r="G29" i="8"/>
  <c r="O29" i="8"/>
  <c r="F29" i="8"/>
  <c r="H29" i="8"/>
  <c r="X29" i="8"/>
  <c r="V29" i="8"/>
  <c r="Q29" i="8"/>
  <c r="T29" i="8"/>
  <c r="P29" i="8"/>
  <c r="U29" i="8"/>
  <c r="E29" i="8"/>
  <c r="K29" i="8"/>
  <c r="S29" i="8"/>
  <c r="EP20" i="10"/>
  <c r="ET20" i="10"/>
  <c r="EX20" i="10"/>
  <c r="FB20" i="10"/>
  <c r="FF20" i="10"/>
  <c r="FZ20" i="10"/>
  <c r="EQ20" i="10"/>
  <c r="EY20" i="10"/>
  <c r="FC20" i="10"/>
  <c r="FG20" i="10"/>
  <c r="GA20" i="10"/>
  <c r="ER20" i="10"/>
  <c r="EZ20" i="10"/>
  <c r="FH20" i="10"/>
  <c r="EN20" i="10"/>
  <c r="EV20" i="10"/>
  <c r="FD20" i="10"/>
  <c r="GB20" i="10"/>
  <c r="EW20" i="10"/>
  <c r="FA20" i="10"/>
  <c r="EO20" i="10"/>
  <c r="FE20" i="10"/>
  <c r="FY20" i="10"/>
  <c r="ES20" i="10"/>
  <c r="EU20" i="10"/>
  <c r="J29" i="8"/>
  <c r="N29" i="8"/>
  <c r="D27" i="17"/>
  <c r="D28" i="17" s="1"/>
  <c r="D18" i="17"/>
  <c r="D19" i="17" s="1"/>
  <c r="AQ38" i="8" l="1"/>
  <c r="AP38" i="8"/>
  <c r="AO38" i="8"/>
  <c r="AQ15" i="8"/>
  <c r="AQ21" i="32" s="1"/>
  <c r="AQ22" i="32" s="1"/>
  <c r="V15" i="8"/>
  <c r="V21" i="32" s="1"/>
  <c r="V22" i="32" s="1"/>
  <c r="I15" i="8"/>
  <c r="I21" i="32" s="1"/>
  <c r="I22" i="32" s="1"/>
  <c r="AQ43" i="8"/>
  <c r="AO15" i="8"/>
  <c r="AO16" i="8" s="1"/>
  <c r="X15" i="8"/>
  <c r="X16" i="8" s="1"/>
  <c r="X44" i="8" s="1"/>
  <c r="E15" i="8"/>
  <c r="E16" i="8" s="1"/>
  <c r="E44" i="8" s="1"/>
  <c r="U15" i="8"/>
  <c r="U16" i="8" s="1"/>
  <c r="U44" i="8" s="1"/>
  <c r="J15" i="8"/>
  <c r="J16" i="8" s="1"/>
  <c r="J44" i="8" s="1"/>
  <c r="Q15" i="8"/>
  <c r="Q16" i="8" s="1"/>
  <c r="Q44" i="8" s="1"/>
  <c r="F15" i="8"/>
  <c r="F16" i="8" s="1"/>
  <c r="F44" i="8" s="1"/>
  <c r="W15" i="8"/>
  <c r="W16" i="8" s="1"/>
  <c r="W44" i="8" s="1"/>
  <c r="M15" i="8"/>
  <c r="M16" i="8" s="1"/>
  <c r="M44" i="8" s="1"/>
  <c r="S15" i="8"/>
  <c r="R15" i="8"/>
  <c r="R16" i="8" s="1"/>
  <c r="R44" i="8" s="1"/>
  <c r="O15" i="8"/>
  <c r="O16" i="8" s="1"/>
  <c r="O44" i="8" s="1"/>
  <c r="T15" i="8"/>
  <c r="T16" i="8" s="1"/>
  <c r="T44" i="8" s="1"/>
  <c r="K15" i="8"/>
  <c r="K16" i="8" s="1"/>
  <c r="K44" i="8" s="1"/>
  <c r="N15" i="8"/>
  <c r="N16" i="8" s="1"/>
  <c r="N44" i="8" s="1"/>
  <c r="L10" i="8"/>
  <c r="L37" i="8" s="1"/>
  <c r="L7" i="32"/>
  <c r="C7" i="32" s="1"/>
  <c r="G15" i="8"/>
  <c r="G16" i="8" s="1"/>
  <c r="G44" i="8" s="1"/>
  <c r="P15" i="8"/>
  <c r="P16" i="8" s="1"/>
  <c r="P44" i="8" s="1"/>
  <c r="AP15" i="8"/>
  <c r="AP16" i="8" s="1"/>
  <c r="H15" i="8"/>
  <c r="H16" i="8" s="1"/>
  <c r="H44" i="8" s="1"/>
  <c r="E42" i="8"/>
  <c r="U42" i="8"/>
  <c r="K42" i="8"/>
  <c r="S42" i="8"/>
  <c r="O42" i="8"/>
  <c r="M42" i="8"/>
  <c r="X42" i="8"/>
  <c r="P42" i="8"/>
  <c r="F42" i="8"/>
  <c r="T42" i="8"/>
  <c r="Q42" i="8"/>
  <c r="J42" i="8"/>
  <c r="N42" i="8"/>
  <c r="W42" i="8"/>
  <c r="H42" i="8"/>
  <c r="AQ16" i="8"/>
  <c r="AQ44" i="8" s="1"/>
  <c r="AQ42" i="8"/>
  <c r="AO42" i="8"/>
  <c r="I42" i="8"/>
  <c r="R42" i="8"/>
  <c r="AP42" i="8"/>
  <c r="V42" i="8"/>
  <c r="G42" i="8"/>
  <c r="L6" i="8"/>
  <c r="L30" i="8"/>
  <c r="AB41" i="8"/>
  <c r="R38" i="8"/>
  <c r="G38" i="8"/>
  <c r="W38" i="8"/>
  <c r="S38" i="8"/>
  <c r="O38" i="8"/>
  <c r="V38" i="8"/>
  <c r="T38" i="8"/>
  <c r="F38" i="8"/>
  <c r="N38" i="8"/>
  <c r="Q38" i="8"/>
  <c r="K38" i="8"/>
  <c r="H38" i="8"/>
  <c r="I38" i="8"/>
  <c r="M38" i="8"/>
  <c r="J38" i="8"/>
  <c r="P38" i="8"/>
  <c r="X38" i="8"/>
  <c r="U38" i="8"/>
  <c r="E38" i="8"/>
  <c r="I43" i="8" l="1"/>
  <c r="V43" i="8"/>
  <c r="I16" i="8"/>
  <c r="I44" i="8" s="1"/>
  <c r="V16" i="8"/>
  <c r="V44" i="8" s="1"/>
  <c r="F21" i="32"/>
  <c r="F22" i="32" s="1"/>
  <c r="F43" i="8"/>
  <c r="H21" i="32"/>
  <c r="H22" i="32" s="1"/>
  <c r="H43" i="8"/>
  <c r="P21" i="32"/>
  <c r="P22" i="32" s="1"/>
  <c r="P43" i="8"/>
  <c r="M21" i="32"/>
  <c r="M22" i="32" s="1"/>
  <c r="M43" i="8"/>
  <c r="Q21" i="32"/>
  <c r="Q22" i="32" s="1"/>
  <c r="Q43" i="8"/>
  <c r="S21" i="32"/>
  <c r="S22" i="32" s="1"/>
  <c r="S43" i="8"/>
  <c r="S16" i="8"/>
  <c r="S44" i="8" s="1"/>
  <c r="AP21" i="32"/>
  <c r="AP22" i="32" s="1"/>
  <c r="AP43" i="8"/>
  <c r="G21" i="32"/>
  <c r="G22" i="32" s="1"/>
  <c r="G43" i="8"/>
  <c r="W21" i="32"/>
  <c r="W22" i="32" s="1"/>
  <c r="W43" i="8"/>
  <c r="J21" i="32"/>
  <c r="J22" i="32" s="1"/>
  <c r="J43" i="8"/>
  <c r="L15" i="32"/>
  <c r="U21" i="32"/>
  <c r="U22" i="32" s="1"/>
  <c r="U43" i="8"/>
  <c r="N21" i="32"/>
  <c r="N22" i="32" s="1"/>
  <c r="N43" i="8"/>
  <c r="E21" i="32"/>
  <c r="E22" i="32" s="1"/>
  <c r="E43" i="8"/>
  <c r="K21" i="32"/>
  <c r="K22" i="32" s="1"/>
  <c r="K43" i="8"/>
  <c r="O21" i="32"/>
  <c r="O22" i="32" s="1"/>
  <c r="O43" i="8"/>
  <c r="X21" i="32"/>
  <c r="X22" i="32" s="1"/>
  <c r="X43" i="8"/>
  <c r="T21" i="32"/>
  <c r="T22" i="32" s="1"/>
  <c r="T43" i="8"/>
  <c r="R21" i="32"/>
  <c r="R22" i="32" s="1"/>
  <c r="R43" i="8"/>
  <c r="AO21" i="32"/>
  <c r="AO22" i="32" s="1"/>
  <c r="AO43" i="8"/>
  <c r="AP44" i="8"/>
  <c r="AP13" i="8"/>
  <c r="AP19" i="32" s="1"/>
  <c r="AQ13" i="8"/>
  <c r="AQ19" i="32" s="1"/>
  <c r="AO44" i="8"/>
  <c r="AO13" i="8"/>
  <c r="AO19" i="32" s="1"/>
  <c r="L11" i="8"/>
  <c r="L16" i="32" s="1"/>
  <c r="C16" i="32" s="1"/>
  <c r="L14" i="8"/>
  <c r="L20" i="32" s="1"/>
  <c r="AJ13" i="8"/>
  <c r="AN13" i="8"/>
  <c r="AF41" i="8"/>
  <c r="C10" i="8"/>
  <c r="L6" i="32"/>
  <c r="L26" i="32"/>
  <c r="C6" i="32"/>
  <c r="C37" i="8"/>
  <c r="C30" i="8"/>
  <c r="L29" i="8"/>
  <c r="C6" i="8"/>
  <c r="I13" i="8" l="1"/>
  <c r="I19" i="32" s="1"/>
  <c r="L15" i="8"/>
  <c r="L16" i="8" s="1"/>
  <c r="AN41" i="8"/>
  <c r="AN19" i="32"/>
  <c r="AJ41" i="8"/>
  <c r="AJ19" i="32"/>
  <c r="AQ41" i="8"/>
  <c r="AO41" i="8"/>
  <c r="AP41" i="8"/>
  <c r="L42" i="8"/>
  <c r="C42" i="8" s="1"/>
  <c r="H13" i="8"/>
  <c r="H19" i="32" s="1"/>
  <c r="K41" i="8"/>
  <c r="I41" i="8"/>
  <c r="X41" i="8"/>
  <c r="W41" i="8"/>
  <c r="V41" i="8"/>
  <c r="N41" i="8"/>
  <c r="M41" i="8"/>
  <c r="C20" i="32"/>
  <c r="L38" i="8"/>
  <c r="C11" i="8"/>
  <c r="C14" i="8"/>
  <c r="L21" i="32" l="1"/>
  <c r="L22" i="32" s="1"/>
  <c r="L43" i="8"/>
  <c r="AH13" i="8"/>
  <c r="AH19" i="32" s="1"/>
  <c r="L44" i="8"/>
  <c r="H41" i="8"/>
  <c r="C15" i="8"/>
  <c r="C38" i="8"/>
  <c r="AH41" i="8" l="1"/>
  <c r="U41" i="8"/>
  <c r="C21" i="32"/>
  <c r="C16" i="8"/>
  <c r="C43" i="8"/>
  <c r="L41" i="8" l="1"/>
  <c r="C19" i="32"/>
  <c r="C22" i="32"/>
  <c r="C44" i="8"/>
  <c r="C13" i="8"/>
  <c r="C41" i="8" l="1"/>
  <c r="C9" i="7" l="1"/>
  <c r="R10" i="7" s="1"/>
  <c r="B3" i="17"/>
  <c r="B12" i="17" s="1"/>
  <c r="B14" i="17" s="1"/>
  <c r="N12" i="7"/>
  <c r="N22" i="7" s="1"/>
  <c r="M34" i="8" s="1"/>
  <c r="C31" i="8"/>
  <c r="C29" i="8" s="1"/>
  <c r="S10" i="7" l="1"/>
  <c r="Q39" i="8"/>
  <c r="Q17" i="32"/>
  <c r="T14" i="4"/>
  <c r="T15" i="4" s="1"/>
  <c r="AF12" i="32"/>
  <c r="M29" i="8"/>
  <c r="N15" i="7"/>
  <c r="N13" i="7"/>
  <c r="B18" i="17"/>
  <c r="B19" i="17" s="1"/>
  <c r="B27" i="17"/>
  <c r="B28" i="17" s="1"/>
  <c r="O8" i="7"/>
  <c r="O11" i="7" s="1"/>
  <c r="D11" i="16"/>
  <c r="T10" i="7" l="1"/>
  <c r="R17" i="32"/>
  <c r="R39" i="8"/>
  <c r="M12" i="32"/>
  <c r="U10" i="7" l="1"/>
  <c r="S17" i="32"/>
  <c r="S39" i="8"/>
  <c r="P8" i="7"/>
  <c r="P11" i="7" s="1"/>
  <c r="O12" i="7"/>
  <c r="O22" i="7" s="1"/>
  <c r="N34" i="8" s="1"/>
  <c r="V10" i="7" l="1"/>
  <c r="T17" i="32"/>
  <c r="T39" i="8"/>
  <c r="U14" i="4"/>
  <c r="U15" i="4" s="1"/>
  <c r="AG12" i="32"/>
  <c r="O15" i="7"/>
  <c r="O13" i="7"/>
  <c r="W10" i="7" l="1"/>
  <c r="X10" i="7" s="1"/>
  <c r="Y10" i="7" s="1"/>
  <c r="Z10" i="7" s="1"/>
  <c r="AA10" i="7" s="1"/>
  <c r="U39" i="8"/>
  <c r="U17" i="32"/>
  <c r="N12" i="32"/>
  <c r="P12" i="7"/>
  <c r="Q8" i="7"/>
  <c r="Q11" i="7" s="1"/>
  <c r="P22" i="7" l="1"/>
  <c r="O34" i="8" s="1"/>
  <c r="O13" i="32"/>
  <c r="P15" i="7"/>
  <c r="P13" i="7"/>
  <c r="Q12" i="7"/>
  <c r="O12" i="32" l="1"/>
  <c r="V39" i="8"/>
  <c r="V17" i="32"/>
  <c r="V14" i="4"/>
  <c r="V15" i="4" s="1"/>
  <c r="AH12" i="32"/>
  <c r="AE12" i="32"/>
  <c r="Q22" i="7"/>
  <c r="P34" i="8" s="1"/>
  <c r="W39" i="8"/>
  <c r="R8" i="7"/>
  <c r="R11" i="7" s="1"/>
  <c r="Q15" i="7"/>
  <c r="Q13" i="7"/>
  <c r="W17" i="32" l="1"/>
  <c r="W14" i="4"/>
  <c r="W15" i="4" s="1"/>
  <c r="P12" i="32"/>
  <c r="P13" i="32"/>
  <c r="X17" i="32" l="1"/>
  <c r="X39" i="8"/>
  <c r="Y39" i="8"/>
  <c r="S8" i="7"/>
  <c r="S11" i="7" s="1"/>
  <c r="R12" i="7"/>
  <c r="R22" i="7" s="1"/>
  <c r="Q34" i="8" s="1"/>
  <c r="Y17" i="32" l="1"/>
  <c r="X14" i="4"/>
  <c r="X15" i="4" s="1"/>
  <c r="AJ12" i="32"/>
  <c r="Z39" i="8"/>
  <c r="Q12" i="32"/>
  <c r="R13" i="7"/>
  <c r="R15" i="7"/>
  <c r="Z17" i="32" l="1"/>
  <c r="Q13" i="32"/>
  <c r="AB10" i="7"/>
  <c r="AA39" i="8" s="1"/>
  <c r="T8" i="7"/>
  <c r="T11" i="7" s="1"/>
  <c r="S12" i="7"/>
  <c r="S22" i="7" s="1"/>
  <c r="R34" i="8" s="1"/>
  <c r="AA17" i="32" l="1"/>
  <c r="Y14" i="4"/>
  <c r="Y15" i="4" s="1"/>
  <c r="AK12" i="32"/>
  <c r="AB39" i="8"/>
  <c r="R12" i="32"/>
  <c r="S13" i="7"/>
  <c r="S15" i="7"/>
  <c r="AB17" i="32" l="1"/>
  <c r="AC39" i="8"/>
  <c r="R13" i="32"/>
  <c r="U8" i="7"/>
  <c r="U11" i="7" s="1"/>
  <c r="T12" i="7"/>
  <c r="T22" i="7" s="1"/>
  <c r="S34" i="8" s="1"/>
  <c r="AC17" i="32" l="1"/>
  <c r="Z14" i="4"/>
  <c r="Z15" i="4" s="1"/>
  <c r="AL12" i="32"/>
  <c r="AI12" i="32"/>
  <c r="AD39" i="8"/>
  <c r="S12" i="32"/>
  <c r="U12" i="7"/>
  <c r="U22" i="7" s="1"/>
  <c r="T34" i="8" s="1"/>
  <c r="T13" i="7"/>
  <c r="T15" i="7"/>
  <c r="AD17" i="32" l="1"/>
  <c r="AA14" i="4"/>
  <c r="AA15" i="4" s="1"/>
  <c r="S13" i="32"/>
  <c r="T12" i="32"/>
  <c r="U15" i="7"/>
  <c r="U13" i="7"/>
  <c r="V8" i="7"/>
  <c r="V11" i="7" s="1"/>
  <c r="D13" i="16" l="1"/>
  <c r="AE39" i="8"/>
  <c r="AE17" i="32"/>
  <c r="T13" i="32"/>
  <c r="V12" i="7"/>
  <c r="V23" i="7" s="1"/>
  <c r="U35" i="8" s="1"/>
  <c r="AF17" i="32" l="1"/>
  <c r="C17" i="32" s="1"/>
  <c r="AF39" i="8"/>
  <c r="C39" i="8" s="1"/>
  <c r="AN13" i="32"/>
  <c r="C10" i="7"/>
  <c r="V13" i="7"/>
  <c r="AB13" i="32"/>
  <c r="V15" i="7"/>
  <c r="W8" i="7"/>
  <c r="W11" i="7" s="1"/>
  <c r="U13" i="32" l="1"/>
  <c r="X8" i="7"/>
  <c r="X11" i="7" s="1"/>
  <c r="W12" i="7"/>
  <c r="W23" i="7" s="1"/>
  <c r="V35" i="8" s="1"/>
  <c r="AO13" i="32" l="1"/>
  <c r="W13" i="7"/>
  <c r="W15" i="7"/>
  <c r="Y13" i="32" l="1"/>
  <c r="AC13" i="32"/>
  <c r="V13" i="32"/>
  <c r="Y8" i="7"/>
  <c r="Y11" i="7" s="1"/>
  <c r="X12" i="7"/>
  <c r="X23" i="7" s="1"/>
  <c r="W35" i="8" s="1"/>
  <c r="AP13" i="32" l="1"/>
  <c r="AM13" i="32"/>
  <c r="X13" i="7"/>
  <c r="X15" i="7"/>
  <c r="AP26" i="32" l="1"/>
  <c r="AD13" i="32"/>
  <c r="Z13" i="32"/>
  <c r="W13" i="32"/>
  <c r="Z8" i="7"/>
  <c r="Z11" i="7" s="1"/>
  <c r="Y12" i="7"/>
  <c r="Y23" i="7" s="1"/>
  <c r="X35" i="8" s="1"/>
  <c r="Y13" i="7" l="1"/>
  <c r="AA13" i="32"/>
  <c r="Y15" i="7"/>
  <c r="X13" i="32" l="1"/>
  <c r="Z12" i="7"/>
  <c r="AA8" i="7"/>
  <c r="AA11" i="7" s="1"/>
  <c r="Z15" i="7" l="1"/>
  <c r="Z23" i="7"/>
  <c r="Y35" i="8" s="1"/>
  <c r="Z13" i="7"/>
  <c r="AR13" i="32" l="1"/>
  <c r="AR12" i="32"/>
  <c r="AA12" i="7"/>
  <c r="AA23" i="7" s="1"/>
  <c r="Z35" i="8" s="1"/>
  <c r="AB8" i="7"/>
  <c r="AB11" i="7" s="1"/>
  <c r="AC8" i="7" s="1"/>
  <c r="AC11" i="7" s="1"/>
  <c r="AD8" i="7" l="1"/>
  <c r="AA15" i="7"/>
  <c r="AA13" i="7"/>
  <c r="AC12" i="7" l="1"/>
  <c r="AC23" i="7" s="1"/>
  <c r="AB35" i="8" s="1"/>
  <c r="AD11" i="7"/>
  <c r="AE8" i="7" s="1"/>
  <c r="AB12" i="7"/>
  <c r="AB23" i="7" s="1"/>
  <c r="AA35" i="8" s="1"/>
  <c r="AC15" i="7" l="1"/>
  <c r="AC13" i="7"/>
  <c r="AE11" i="7"/>
  <c r="AF8" i="7" s="1"/>
  <c r="AF11" i="7" s="1"/>
  <c r="AD12" i="7"/>
  <c r="AB13" i="7"/>
  <c r="AQ13" i="32"/>
  <c r="AB15" i="7"/>
  <c r="AD13" i="7" l="1"/>
  <c r="AD23" i="7"/>
  <c r="AC35" i="8" s="1"/>
  <c r="AD15" i="7"/>
  <c r="AE12" i="7"/>
  <c r="AF12" i="7"/>
  <c r="AG8" i="7"/>
  <c r="AG11" i="7" s="1"/>
  <c r="AQ12" i="32"/>
  <c r="AF23" i="7" l="1"/>
  <c r="AE35" i="8" s="1"/>
  <c r="AF13" i="7"/>
  <c r="AF15" i="7"/>
  <c r="AH8" i="7"/>
  <c r="AG12" i="7"/>
  <c r="AE23" i="7"/>
  <c r="AD35" i="8" s="1"/>
  <c r="AE13" i="7"/>
  <c r="AE15" i="7"/>
  <c r="C12" i="32"/>
  <c r="C13" i="32"/>
  <c r="AG23" i="7" l="1"/>
  <c r="AF35" i="8" s="1"/>
  <c r="AG13" i="7"/>
  <c r="AG15" i="7"/>
  <c r="AH11" i="7"/>
  <c r="AH12" i="7" s="1"/>
  <c r="C34" i="8"/>
  <c r="C22" i="7"/>
  <c r="AH23" i="7" l="1"/>
  <c r="AG35" i="8" s="1"/>
  <c r="AH13" i="7"/>
  <c r="AH15" i="7"/>
  <c r="AI8" i="7"/>
  <c r="J14" i="4"/>
  <c r="AI11" i="7" l="1"/>
  <c r="AI12" i="7" s="1"/>
  <c r="J15" i="4"/>
  <c r="E14" i="4"/>
  <c r="I26" i="32"/>
  <c r="AI23" i="7" l="1"/>
  <c r="AH35" i="8" s="1"/>
  <c r="AI13" i="7"/>
  <c r="AI15" i="7"/>
  <c r="AJ8" i="7"/>
  <c r="D17" i="9"/>
  <c r="G14" i="4"/>
  <c r="E15" i="4"/>
  <c r="N26" i="32"/>
  <c r="K26" i="32"/>
  <c r="M26" i="32"/>
  <c r="J26" i="32"/>
  <c r="G17" i="9" l="1"/>
  <c r="G19" i="9" s="1"/>
  <c r="G21" i="9" s="1"/>
  <c r="C12" i="10"/>
  <c r="AJ11" i="7"/>
  <c r="AJ12" i="7" s="1"/>
  <c r="E17" i="9"/>
  <c r="E19" i="9" s="1"/>
  <c r="H17" i="9"/>
  <c r="H19" i="9" s="1"/>
  <c r="F17" i="9"/>
  <c r="F19" i="9" s="1"/>
  <c r="I14" i="4"/>
  <c r="G15" i="4"/>
  <c r="I17" i="9"/>
  <c r="FR12" i="10" l="1"/>
  <c r="FR17" i="10" s="1"/>
  <c r="FE12" i="10"/>
  <c r="FE17" i="10" s="1"/>
  <c r="FW12" i="10"/>
  <c r="FW17" i="10" s="1"/>
  <c r="FB12" i="10"/>
  <c r="FB17" i="10" s="1"/>
  <c r="FP12" i="10"/>
  <c r="FP17" i="10" s="1"/>
  <c r="FM12" i="10"/>
  <c r="FM17" i="10" s="1"/>
  <c r="EO12" i="10"/>
  <c r="EO17" i="10" s="1"/>
  <c r="FU12" i="10"/>
  <c r="FU17" i="10" s="1"/>
  <c r="FT12" i="10"/>
  <c r="FT17" i="10" s="1"/>
  <c r="FJ12" i="10"/>
  <c r="FJ17" i="10" s="1"/>
  <c r="FI12" i="10"/>
  <c r="FI17" i="10" s="1"/>
  <c r="FH12" i="10"/>
  <c r="FH17" i="10" s="1"/>
  <c r="EN12" i="10"/>
  <c r="EN17" i="10" s="1"/>
  <c r="FZ12" i="10"/>
  <c r="FZ17" i="10" s="1"/>
  <c r="FF12" i="10"/>
  <c r="FF17" i="10" s="1"/>
  <c r="EP12" i="10"/>
  <c r="EP17" i="10" s="1"/>
  <c r="FV12" i="10"/>
  <c r="FV17" i="10" s="1"/>
  <c r="FL12" i="10"/>
  <c r="FL17" i="10" s="1"/>
  <c r="ET12" i="10"/>
  <c r="ET17" i="10" s="1"/>
  <c r="FK12" i="10"/>
  <c r="FK17" i="10" s="1"/>
  <c r="EQ12" i="10"/>
  <c r="EQ17" i="10" s="1"/>
  <c r="FQ12" i="10"/>
  <c r="FQ17" i="10" s="1"/>
  <c r="EV12" i="10"/>
  <c r="EV17" i="10" s="1"/>
  <c r="FA12" i="10"/>
  <c r="FA17" i="10" s="1"/>
  <c r="FX12" i="10"/>
  <c r="FX17" i="10" s="1"/>
  <c r="ER12" i="10"/>
  <c r="ER17" i="10" s="1"/>
  <c r="FD12" i="10"/>
  <c r="FD17" i="10" s="1"/>
  <c r="EW12" i="10"/>
  <c r="EW17" i="10" s="1"/>
  <c r="FN12" i="10"/>
  <c r="FN17" i="10" s="1"/>
  <c r="FG12" i="10"/>
  <c r="FG17" i="10" s="1"/>
  <c r="EZ12" i="10"/>
  <c r="EZ17" i="10" s="1"/>
  <c r="ES12" i="10"/>
  <c r="ES17" i="10" s="1"/>
  <c r="EY12" i="10"/>
  <c r="EY17" i="10" s="1"/>
  <c r="GB12" i="10"/>
  <c r="GB17" i="10" s="1"/>
  <c r="EX12" i="10"/>
  <c r="EX17" i="10" s="1"/>
  <c r="FC12" i="10"/>
  <c r="FC17" i="10" s="1"/>
  <c r="EU12" i="10"/>
  <c r="EU17" i="10" s="1"/>
  <c r="GA12" i="10"/>
  <c r="GA17" i="10" s="1"/>
  <c r="FS12" i="10"/>
  <c r="FS17" i="10" s="1"/>
  <c r="FO12" i="10"/>
  <c r="FO17" i="10" s="1"/>
  <c r="FY12" i="10"/>
  <c r="FY17" i="10" s="1"/>
  <c r="C11" i="10"/>
  <c r="FQ11" i="10" s="1"/>
  <c r="F21" i="9"/>
  <c r="C13" i="10"/>
  <c r="FJ13" i="10" s="1"/>
  <c r="H21" i="9"/>
  <c r="C10" i="10"/>
  <c r="GA10" i="10" s="1"/>
  <c r="E21" i="9"/>
  <c r="AJ13" i="7"/>
  <c r="AJ23" i="7"/>
  <c r="AI35" i="8" s="1"/>
  <c r="AJ15" i="7"/>
  <c r="AK8" i="7"/>
  <c r="I15" i="4"/>
  <c r="C33" i="16"/>
  <c r="G16" i="4"/>
  <c r="D19" i="9"/>
  <c r="C17" i="10" l="1"/>
  <c r="FU10" i="10"/>
  <c r="EU13" i="10"/>
  <c r="EU18" i="10" s="1"/>
  <c r="FE13" i="10"/>
  <c r="FE18" i="10" s="1"/>
  <c r="FH11" i="10"/>
  <c r="FH16" i="10" s="1"/>
  <c r="EV11" i="10"/>
  <c r="EV16" i="10" s="1"/>
  <c r="FP10" i="10"/>
  <c r="FP15" i="10" s="1"/>
  <c r="FG13" i="10"/>
  <c r="FG18" i="10" s="1"/>
  <c r="FN13" i="10"/>
  <c r="FN18" i="10" s="1"/>
  <c r="FF11" i="10"/>
  <c r="FF16" i="10" s="1"/>
  <c r="FU11" i="10"/>
  <c r="FU16" i="10" s="1"/>
  <c r="FD10" i="10"/>
  <c r="FD15" i="10" s="1"/>
  <c r="FV13" i="10"/>
  <c r="FV18" i="10" s="1"/>
  <c r="EV13" i="10"/>
  <c r="EV18" i="10" s="1"/>
  <c r="FL11" i="10"/>
  <c r="FL16" i="10" s="1"/>
  <c r="GB11" i="10"/>
  <c r="GB16" i="10" s="1"/>
  <c r="FJ10" i="10"/>
  <c r="FF13" i="10"/>
  <c r="FF18" i="10" s="1"/>
  <c r="FX13" i="10"/>
  <c r="FX18" i="10" s="1"/>
  <c r="FM11" i="10"/>
  <c r="FM16" i="10" s="1"/>
  <c r="EY11" i="10"/>
  <c r="EY16" i="10" s="1"/>
  <c r="FO10" i="10"/>
  <c r="FO15" i="10" s="1"/>
  <c r="FD13" i="10"/>
  <c r="FD18" i="10" s="1"/>
  <c r="EN13" i="10"/>
  <c r="EN18" i="10" s="1"/>
  <c r="FA11" i="10"/>
  <c r="FA16" i="10" s="1"/>
  <c r="ER11" i="10"/>
  <c r="ER16" i="10" s="1"/>
  <c r="FT10" i="10"/>
  <c r="FT15" i="10" s="1"/>
  <c r="EX13" i="10"/>
  <c r="EX18" i="10" s="1"/>
  <c r="FR13" i="10"/>
  <c r="FR18" i="10" s="1"/>
  <c r="EZ11" i="10"/>
  <c r="EZ16" i="10" s="1"/>
  <c r="EO11" i="10"/>
  <c r="EO16" i="10" s="1"/>
  <c r="FB10" i="10"/>
  <c r="FB15" i="10" s="1"/>
  <c r="FR10" i="10"/>
  <c r="FR15" i="10" s="1"/>
  <c r="FB13" i="10"/>
  <c r="FB18" i="10" s="1"/>
  <c r="GA13" i="10"/>
  <c r="GA18" i="10" s="1"/>
  <c r="FJ11" i="10"/>
  <c r="FJ16" i="10" s="1"/>
  <c r="EP11" i="10"/>
  <c r="EP16" i="10" s="1"/>
  <c r="FV10" i="10"/>
  <c r="FV15" i="10" s="1"/>
  <c r="FQ10" i="10"/>
  <c r="FQ15" i="10" s="1"/>
  <c r="ET13" i="10"/>
  <c r="ET18" i="10" s="1"/>
  <c r="GB13" i="10"/>
  <c r="GB18" i="10" s="1"/>
  <c r="FC11" i="10"/>
  <c r="FC16" i="10" s="1"/>
  <c r="FR11" i="10"/>
  <c r="FR16" i="10" s="1"/>
  <c r="FK10" i="10"/>
  <c r="FK15" i="10" s="1"/>
  <c r="EY13" i="10"/>
  <c r="EY18" i="10" s="1"/>
  <c r="FU13" i="10"/>
  <c r="FU18" i="10" s="1"/>
  <c r="ES11" i="10"/>
  <c r="ES16" i="10" s="1"/>
  <c r="FS11" i="10"/>
  <c r="FS16" i="10" s="1"/>
  <c r="FO11" i="10"/>
  <c r="FO16" i="10" s="1"/>
  <c r="FI10" i="10"/>
  <c r="FI15" i="10" s="1"/>
  <c r="FQ13" i="10"/>
  <c r="FQ18" i="10" s="1"/>
  <c r="FK13" i="10"/>
  <c r="FK18" i="10" s="1"/>
  <c r="FK11" i="10"/>
  <c r="FK16" i="10" s="1"/>
  <c r="EU11" i="10"/>
  <c r="EU16" i="10" s="1"/>
  <c r="FP11" i="10"/>
  <c r="FP16" i="10" s="1"/>
  <c r="ET10" i="10"/>
  <c r="ET15" i="10" s="1"/>
  <c r="FL13" i="10"/>
  <c r="FL18" i="10" s="1"/>
  <c r="EQ13" i="10"/>
  <c r="EQ18" i="10" s="1"/>
  <c r="FX11" i="10"/>
  <c r="FX16" i="10" s="1"/>
  <c r="EN11" i="10"/>
  <c r="EN16" i="10" s="1"/>
  <c r="EU10" i="10"/>
  <c r="EU15" i="10" s="1"/>
  <c r="FZ13" i="10"/>
  <c r="FZ18" i="10" s="1"/>
  <c r="FA13" i="10"/>
  <c r="FA18" i="10" s="1"/>
  <c r="GA11" i="10"/>
  <c r="GA16" i="10" s="1"/>
  <c r="FE11" i="10"/>
  <c r="FE16" i="10" s="1"/>
  <c r="FG10" i="10"/>
  <c r="FG15" i="10" s="1"/>
  <c r="ES10" i="10"/>
  <c r="ES15" i="10" s="1"/>
  <c r="FD11" i="10"/>
  <c r="FD16" i="10" s="1"/>
  <c r="EO10" i="10"/>
  <c r="EO15" i="10" s="1"/>
  <c r="FY10" i="10"/>
  <c r="FY15" i="10" s="1"/>
  <c r="FH10" i="10"/>
  <c r="FH15" i="10" s="1"/>
  <c r="FS13" i="10"/>
  <c r="FS18" i="10" s="1"/>
  <c r="ER13" i="10"/>
  <c r="ER18" i="10" s="1"/>
  <c r="EX11" i="10"/>
  <c r="EX16" i="10" s="1"/>
  <c r="FN11" i="10"/>
  <c r="FN16" i="10" s="1"/>
  <c r="FE10" i="10"/>
  <c r="FE15" i="10" s="1"/>
  <c r="FA10" i="10"/>
  <c r="FA15" i="10" s="1"/>
  <c r="FC13" i="10"/>
  <c r="FC18" i="10" s="1"/>
  <c r="EO13" i="10"/>
  <c r="EO18" i="10" s="1"/>
  <c r="ET11" i="10"/>
  <c r="ET16" i="10" s="1"/>
  <c r="FY11" i="10"/>
  <c r="FY16" i="10" s="1"/>
  <c r="EW11" i="10"/>
  <c r="EW16" i="10" s="1"/>
  <c r="EX10" i="10"/>
  <c r="EX15" i="10" s="1"/>
  <c r="FN10" i="10"/>
  <c r="FN15" i="10" s="1"/>
  <c r="EP13" i="10"/>
  <c r="EP18" i="10" s="1"/>
  <c r="FY13" i="10"/>
  <c r="FY18" i="10" s="1"/>
  <c r="FT11" i="10"/>
  <c r="FT16" i="10" s="1"/>
  <c r="FZ11" i="10"/>
  <c r="FZ16" i="10" s="1"/>
  <c r="FB11" i="10"/>
  <c r="FB16" i="10" s="1"/>
  <c r="FZ10" i="10"/>
  <c r="FZ15" i="10" s="1"/>
  <c r="FS10" i="10"/>
  <c r="FS15" i="10" s="1"/>
  <c r="FF10" i="10"/>
  <c r="FF15" i="10" s="1"/>
  <c r="EQ10" i="10"/>
  <c r="EQ15" i="10" s="1"/>
  <c r="EZ10" i="10"/>
  <c r="EZ15" i="10" s="1"/>
  <c r="ER10" i="10"/>
  <c r="ER15" i="10" s="1"/>
  <c r="EP10" i="10"/>
  <c r="EP15" i="10" s="1"/>
  <c r="FM10" i="10"/>
  <c r="FM15" i="10" s="1"/>
  <c r="EY10" i="10"/>
  <c r="EY15" i="10" s="1"/>
  <c r="FL10" i="10"/>
  <c r="FL15" i="10" s="1"/>
  <c r="FW10" i="10"/>
  <c r="FW15" i="10" s="1"/>
  <c r="FH13" i="10"/>
  <c r="FH18" i="10" s="1"/>
  <c r="EW13" i="10"/>
  <c r="EW18" i="10" s="1"/>
  <c r="FI13" i="10"/>
  <c r="FI18" i="10" s="1"/>
  <c r="EZ13" i="10"/>
  <c r="EZ18" i="10" s="1"/>
  <c r="FW11" i="10"/>
  <c r="FW16" i="10" s="1"/>
  <c r="FG11" i="10"/>
  <c r="FG16" i="10" s="1"/>
  <c r="EQ11" i="10"/>
  <c r="EQ16" i="10" s="1"/>
  <c r="FC10" i="10"/>
  <c r="FC15" i="10" s="1"/>
  <c r="FX10" i="10"/>
  <c r="FX15" i="10" s="1"/>
  <c r="GB10" i="10"/>
  <c r="GB15" i="10" s="1"/>
  <c r="FW13" i="10"/>
  <c r="FW18" i="10" s="1"/>
  <c r="FM13" i="10"/>
  <c r="FM18" i="10" s="1"/>
  <c r="ES13" i="10"/>
  <c r="ES18" i="10" s="1"/>
  <c r="FO13" i="10"/>
  <c r="FO18" i="10" s="1"/>
  <c r="FI11" i="10"/>
  <c r="FI16" i="10" s="1"/>
  <c r="FV11" i="10"/>
  <c r="FV16" i="10" s="1"/>
  <c r="EV10" i="10"/>
  <c r="EV15" i="10" s="1"/>
  <c r="EW10" i="10"/>
  <c r="EW15" i="10" s="1"/>
  <c r="EN10" i="10"/>
  <c r="EN15" i="10" s="1"/>
  <c r="FT13" i="10"/>
  <c r="FT18" i="10" s="1"/>
  <c r="FP13" i="10"/>
  <c r="FP18" i="10" s="1"/>
  <c r="FQ16" i="10"/>
  <c r="FU15" i="10"/>
  <c r="AK11" i="7"/>
  <c r="AK12" i="7" s="1"/>
  <c r="FJ15" i="10"/>
  <c r="GA15" i="10"/>
  <c r="FJ18" i="10"/>
  <c r="D30" i="16"/>
  <c r="C32" i="16"/>
  <c r="D32" i="16" s="1"/>
  <c r="D31" i="16"/>
  <c r="C9" i="10"/>
  <c r="FO9" i="10" l="1"/>
  <c r="FO14" i="10"/>
  <c r="FN9" i="10"/>
  <c r="FN14" i="10"/>
  <c r="FP9" i="10"/>
  <c r="FP14" i="10"/>
  <c r="FM9" i="10"/>
  <c r="FM14" i="10"/>
  <c r="FS9" i="10"/>
  <c r="FS14" i="10"/>
  <c r="FQ9" i="10"/>
  <c r="FQ14" i="10"/>
  <c r="FR9" i="10"/>
  <c r="FR14" i="10"/>
  <c r="FT9" i="10"/>
  <c r="FT14" i="10"/>
  <c r="FW9" i="10"/>
  <c r="FW14" i="10"/>
  <c r="FU9" i="10"/>
  <c r="FU14" i="10"/>
  <c r="FX9" i="10"/>
  <c r="FX14" i="10"/>
  <c r="FV9" i="10"/>
  <c r="FV14" i="10"/>
  <c r="C18" i="10"/>
  <c r="C15" i="10"/>
  <c r="C16" i="10"/>
  <c r="AK13" i="7"/>
  <c r="AK23" i="7"/>
  <c r="AJ35" i="8" s="1"/>
  <c r="AK15" i="7"/>
  <c r="AL8" i="7"/>
  <c r="EP9" i="10"/>
  <c r="EP14" i="10"/>
  <c r="EO14" i="10"/>
  <c r="EO9" i="10"/>
  <c r="FI9" i="10"/>
  <c r="FI14" i="10"/>
  <c r="FZ9" i="10"/>
  <c r="FZ14" i="10"/>
  <c r="GA9" i="10"/>
  <c r="GA14" i="10"/>
  <c r="EY14" i="10"/>
  <c r="EY9" i="10"/>
  <c r="FF9" i="10"/>
  <c r="FF14" i="10"/>
  <c r="FG9" i="10"/>
  <c r="FG14" i="10"/>
  <c r="EZ14" i="10"/>
  <c r="EZ9" i="10"/>
  <c r="EX14" i="10"/>
  <c r="EX9" i="10"/>
  <c r="EN9" i="10"/>
  <c r="FD14" i="10"/>
  <c r="FD9" i="10"/>
  <c r="FH9" i="10"/>
  <c r="FH14" i="10"/>
  <c r="FA14" i="10"/>
  <c r="FA9" i="10"/>
  <c r="FJ14" i="10"/>
  <c r="FJ9" i="10"/>
  <c r="FY9" i="10"/>
  <c r="FY14" i="10"/>
  <c r="ES9" i="10"/>
  <c r="ES14" i="10"/>
  <c r="ER9" i="10"/>
  <c r="ER14" i="10"/>
  <c r="ET14" i="10"/>
  <c r="ET9" i="10"/>
  <c r="EQ14" i="10"/>
  <c r="EQ9" i="10"/>
  <c r="D33" i="16"/>
  <c r="E33" i="16"/>
  <c r="FL14" i="10"/>
  <c r="FL9" i="10"/>
  <c r="FC9" i="10"/>
  <c r="FC14" i="10"/>
  <c r="FE9" i="10"/>
  <c r="FE14" i="10"/>
  <c r="EU14" i="10"/>
  <c r="EU9" i="10"/>
  <c r="GB14" i="10"/>
  <c r="GB9" i="10"/>
  <c r="EV14" i="10"/>
  <c r="EV9" i="10"/>
  <c r="EW9" i="10"/>
  <c r="EW14" i="10"/>
  <c r="FB9" i="10"/>
  <c r="FB14" i="10"/>
  <c r="FK14" i="10"/>
  <c r="FK9" i="10"/>
  <c r="C14" i="10" l="1"/>
  <c r="AL11" i="7"/>
  <c r="AL12" i="7" s="1"/>
  <c r="EN14" i="10"/>
  <c r="C15" i="32"/>
  <c r="AL23" i="7" l="1"/>
  <c r="AK35" i="8" s="1"/>
  <c r="AL13" i="7"/>
  <c r="AL15" i="7"/>
  <c r="AM8" i="7"/>
  <c r="AM11" i="7" l="1"/>
  <c r="AN8" i="7" s="1"/>
  <c r="AM12" i="7" l="1"/>
  <c r="AN11" i="7"/>
  <c r="AO8" i="7" s="1"/>
  <c r="AN12" i="7" l="1"/>
  <c r="AN13" i="7" s="1"/>
  <c r="AO11" i="7"/>
  <c r="AP8" i="7" s="1"/>
  <c r="AM23" i="7"/>
  <c r="AL35" i="8" s="1"/>
  <c r="AM13" i="7"/>
  <c r="AM15" i="7"/>
  <c r="AN15" i="7" l="1"/>
  <c r="AN23" i="7"/>
  <c r="AM35" i="8" s="1"/>
  <c r="AO12" i="7"/>
  <c r="AO23" i="7" s="1"/>
  <c r="AN35" i="8" s="1"/>
  <c r="AP11" i="7"/>
  <c r="AQ8" i="7" s="1"/>
  <c r="AO15" i="7" l="1"/>
  <c r="AO13" i="7"/>
  <c r="AP12" i="7"/>
  <c r="AQ11" i="7"/>
  <c r="AR8" i="7" s="1"/>
  <c r="AQ12" i="7" l="1"/>
  <c r="AQ23" i="7" s="1"/>
  <c r="AP35" i="8" s="1"/>
  <c r="AR11" i="7"/>
  <c r="AS8" i="7" s="1"/>
  <c r="AP23" i="7"/>
  <c r="AO35" i="8" s="1"/>
  <c r="AP13" i="7"/>
  <c r="AP15" i="7"/>
  <c r="AQ15" i="7" l="1"/>
  <c r="AQ13" i="7"/>
  <c r="AR12" i="7"/>
  <c r="AR13" i="7" s="1"/>
  <c r="AS11" i="7"/>
  <c r="D12" i="16" s="1"/>
  <c r="AR15" i="7" l="1"/>
  <c r="AR23" i="7"/>
  <c r="AQ35" i="8" s="1"/>
  <c r="AS12" i="7"/>
  <c r="AS13" i="7" l="1"/>
  <c r="C13" i="7" s="1"/>
  <c r="C15" i="7" s="1"/>
  <c r="AS23" i="7"/>
  <c r="AR35" i="8" s="1"/>
  <c r="AS15" i="7"/>
  <c r="C12" i="7"/>
  <c r="C35" i="8" l="1"/>
  <c r="C23" i="7"/>
  <c r="C21" i="10" s="1"/>
  <c r="D24" i="9" s="1"/>
  <c r="H24" i="9" s="1"/>
  <c r="H25" i="9" s="1"/>
  <c r="H28" i="9" s="1"/>
  <c r="F24" i="9" l="1"/>
  <c r="F25" i="9" s="1"/>
  <c r="F28" i="9" s="1"/>
  <c r="F29" i="9" s="1"/>
  <c r="F30" i="9" s="1"/>
  <c r="G24" i="9"/>
  <c r="G25" i="9" s="1"/>
  <c r="G28" i="9" s="1"/>
  <c r="E24" i="9"/>
  <c r="E25" i="9" s="1"/>
  <c r="E30" i="9" s="1"/>
  <c r="FO21" i="10"/>
  <c r="FO22" i="10" s="1"/>
  <c r="FO23" i="10" s="1"/>
  <c r="FP21" i="10"/>
  <c r="FP22" i="10" s="1"/>
  <c r="FP23" i="10" s="1"/>
  <c r="FM21" i="10"/>
  <c r="FM22" i="10" s="1"/>
  <c r="FM23" i="10" s="1"/>
  <c r="FN21" i="10"/>
  <c r="FN22" i="10" s="1"/>
  <c r="FN23" i="10" s="1"/>
  <c r="FS21" i="10"/>
  <c r="FS22" i="10" s="1"/>
  <c r="FS23" i="10" s="1"/>
  <c r="FR21" i="10"/>
  <c r="FR22" i="10" s="1"/>
  <c r="FR23" i="10" s="1"/>
  <c r="FQ21" i="10"/>
  <c r="FQ22" i="10" s="1"/>
  <c r="FQ23" i="10" s="1"/>
  <c r="FT21" i="10"/>
  <c r="FT22" i="10" s="1"/>
  <c r="FT23" i="10" s="1"/>
  <c r="FU21" i="10"/>
  <c r="FU22" i="10" s="1"/>
  <c r="FU23" i="10" s="1"/>
  <c r="FV21" i="10"/>
  <c r="FV22" i="10" s="1"/>
  <c r="FV23" i="10" s="1"/>
  <c r="FW21" i="10"/>
  <c r="FW22" i="10" s="1"/>
  <c r="FW23" i="10" s="1"/>
  <c r="FX21" i="10"/>
  <c r="FX22" i="10" s="1"/>
  <c r="FX23" i="10" s="1"/>
  <c r="FK21" i="10"/>
  <c r="FK22" i="10" s="1"/>
  <c r="FE21" i="10"/>
  <c r="FE22" i="10" s="1"/>
  <c r="FE23" i="10" s="1"/>
  <c r="GA21" i="10"/>
  <c r="GA22" i="10" s="1"/>
  <c r="FC21" i="10"/>
  <c r="FC22" i="10" s="1"/>
  <c r="FC23" i="10" s="1"/>
  <c r="FG21" i="10"/>
  <c r="FG22" i="10" s="1"/>
  <c r="FG23" i="10" s="1"/>
  <c r="EU21" i="10"/>
  <c r="EU22" i="10" s="1"/>
  <c r="EU23" i="10" s="1"/>
  <c r="EZ21" i="10"/>
  <c r="EZ22" i="10" s="1"/>
  <c r="EZ23" i="10" s="1"/>
  <c r="EW21" i="10"/>
  <c r="EW22" i="10" s="1"/>
  <c r="EW23" i="10" s="1"/>
  <c r="EP21" i="10"/>
  <c r="EP22" i="10" s="1"/>
  <c r="EP23" i="10" s="1"/>
  <c r="EV21" i="10"/>
  <c r="EV22" i="10" s="1"/>
  <c r="EV23" i="10" s="1"/>
  <c r="GB21" i="10"/>
  <c r="GB22" i="10" s="1"/>
  <c r="GB23" i="10" s="1"/>
  <c r="EY21" i="10"/>
  <c r="EY22" i="10" s="1"/>
  <c r="EY23" i="10" s="1"/>
  <c r="FB21" i="10"/>
  <c r="FB22" i="10" s="1"/>
  <c r="FB23" i="10" s="1"/>
  <c r="FZ21" i="10"/>
  <c r="FZ22" i="10" s="1"/>
  <c r="FA21" i="10"/>
  <c r="FA22" i="10" s="1"/>
  <c r="FA23" i="10" s="1"/>
  <c r="FL21" i="10"/>
  <c r="FL22" i="10" s="1"/>
  <c r="EN21" i="10"/>
  <c r="EN22" i="10" s="1"/>
  <c r="FD21" i="10"/>
  <c r="FD22" i="10" s="1"/>
  <c r="FD23" i="10" s="1"/>
  <c r="FF21" i="10"/>
  <c r="FF22" i="10" s="1"/>
  <c r="FF23" i="10" s="1"/>
  <c r="ET21" i="10"/>
  <c r="ET22" i="10" s="1"/>
  <c r="ET23" i="10" s="1"/>
  <c r="FY21" i="10"/>
  <c r="FY22" i="10" s="1"/>
  <c r="FI21" i="10"/>
  <c r="FI22" i="10" s="1"/>
  <c r="EX21" i="10"/>
  <c r="EX22" i="10" s="1"/>
  <c r="EX23" i="10" s="1"/>
  <c r="EO21" i="10"/>
  <c r="EO22" i="10" s="1"/>
  <c r="EO23" i="10" s="1"/>
  <c r="FH21" i="10"/>
  <c r="FH22" i="10" s="1"/>
  <c r="FH23" i="10" s="1"/>
  <c r="FJ21" i="10"/>
  <c r="FJ22" i="10" s="1"/>
  <c r="ES21" i="10"/>
  <c r="ES22" i="10" s="1"/>
  <c r="ES23" i="10" s="1"/>
  <c r="EQ21" i="10"/>
  <c r="EQ22" i="10" s="1"/>
  <c r="EQ23" i="10" s="1"/>
  <c r="ER21" i="10"/>
  <c r="ER22" i="10" s="1"/>
  <c r="ER23" i="10" s="1"/>
  <c r="E28" i="9" l="1"/>
  <c r="E31" i="9"/>
  <c r="E32" i="9" s="1"/>
  <c r="G40" i="8"/>
  <c r="G18" i="32"/>
  <c r="J40" i="8"/>
  <c r="J18" i="32"/>
  <c r="O40" i="8"/>
  <c r="O18" i="32"/>
  <c r="S40" i="8"/>
  <c r="S18" i="32"/>
  <c r="AJ40" i="8"/>
  <c r="AJ18" i="32"/>
  <c r="AJ10" i="32" s="1"/>
  <c r="AG40" i="8"/>
  <c r="AG18" i="32"/>
  <c r="AG10" i="32" s="1"/>
  <c r="L40" i="8"/>
  <c r="L18" i="32"/>
  <c r="X40" i="8"/>
  <c r="X18" i="32"/>
  <c r="F40" i="8"/>
  <c r="F18" i="32"/>
  <c r="AI40" i="8"/>
  <c r="AI18" i="32"/>
  <c r="AI10" i="32" s="1"/>
  <c r="AR40" i="8"/>
  <c r="AR32" i="8" s="1"/>
  <c r="AR45" i="8" s="1"/>
  <c r="AR18" i="32"/>
  <c r="U40" i="8"/>
  <c r="U18" i="32"/>
  <c r="E40" i="8"/>
  <c r="E18" i="32"/>
  <c r="M40" i="8"/>
  <c r="M18" i="32"/>
  <c r="AN40" i="8"/>
  <c r="AN18" i="32"/>
  <c r="AN10" i="32" s="1"/>
  <c r="AD40" i="8"/>
  <c r="AD18" i="32"/>
  <c r="AD10" i="32" s="1"/>
  <c r="T40" i="8"/>
  <c r="T18" i="32"/>
  <c r="N40" i="8"/>
  <c r="N18" i="32"/>
  <c r="Q40" i="8"/>
  <c r="Q18" i="32"/>
  <c r="P40" i="8"/>
  <c r="P18" i="32"/>
  <c r="AM40" i="8"/>
  <c r="AM18" i="32"/>
  <c r="AM10" i="32" s="1"/>
  <c r="AC40" i="8"/>
  <c r="AC18" i="32"/>
  <c r="AC10" i="32" s="1"/>
  <c r="V40" i="8"/>
  <c r="V18" i="32"/>
  <c r="AH40" i="8"/>
  <c r="AH18" i="32"/>
  <c r="AH10" i="32" s="1"/>
  <c r="K40" i="8"/>
  <c r="K18" i="32"/>
  <c r="AL40" i="8"/>
  <c r="AL18" i="32"/>
  <c r="AL10" i="32" s="1"/>
  <c r="AF40" i="8"/>
  <c r="AF18" i="32"/>
  <c r="AF10" i="32" s="1"/>
  <c r="I40" i="8"/>
  <c r="I18" i="32"/>
  <c r="H40" i="8"/>
  <c r="H18" i="32"/>
  <c r="R40" i="8"/>
  <c r="R18" i="32"/>
  <c r="W40" i="8"/>
  <c r="W18" i="32"/>
  <c r="AK40" i="8"/>
  <c r="AK18" i="32"/>
  <c r="AK10" i="32" s="1"/>
  <c r="AE40" i="8"/>
  <c r="AE18" i="32"/>
  <c r="AE10" i="32" s="1"/>
  <c r="GA23" i="10"/>
  <c r="FJ23" i="10"/>
  <c r="FK23" i="10"/>
  <c r="FK24" i="10" s="1"/>
  <c r="FL23" i="10"/>
  <c r="FI23" i="10"/>
  <c r="FZ23" i="10"/>
  <c r="FY23" i="10"/>
  <c r="GB24" i="10"/>
  <c r="AR12" i="8"/>
  <c r="AR7" i="8" s="1"/>
  <c r="AR17" i="8" s="1"/>
  <c r="K12" i="8"/>
  <c r="O12" i="8"/>
  <c r="C22" i="10"/>
  <c r="EN23" i="10"/>
  <c r="EN24" i="10" s="1"/>
  <c r="AP40" i="8" l="1"/>
  <c r="AP32" i="8" s="1"/>
  <c r="AP45" i="8" s="1"/>
  <c r="AP18" i="32"/>
  <c r="AP10" i="32" s="1"/>
  <c r="AP23" i="32" s="1"/>
  <c r="Y40" i="8"/>
  <c r="Y32" i="8" s="1"/>
  <c r="Y45" i="8" s="1"/>
  <c r="Y18" i="32"/>
  <c r="Y10" i="32" s="1"/>
  <c r="Y23" i="32" s="1"/>
  <c r="AB40" i="8"/>
  <c r="AB32" i="8" s="1"/>
  <c r="AB45" i="8" s="1"/>
  <c r="AB18" i="32"/>
  <c r="AB10" i="32" s="1"/>
  <c r="AB26" i="32" s="1"/>
  <c r="AF26" i="32"/>
  <c r="AF23" i="32"/>
  <c r="AN26" i="32"/>
  <c r="AN23" i="32"/>
  <c r="AK23" i="32"/>
  <c r="AK26" i="32"/>
  <c r="AA40" i="8"/>
  <c r="AA32" i="8" s="1"/>
  <c r="AA45" i="8" s="1"/>
  <c r="AA18" i="32"/>
  <c r="AA10" i="32" s="1"/>
  <c r="AA26" i="32" s="1"/>
  <c r="Z40" i="8"/>
  <c r="Z32" i="8" s="1"/>
  <c r="Z45" i="8" s="1"/>
  <c r="Z18" i="32"/>
  <c r="Z10" i="32" s="1"/>
  <c r="Z23" i="32" s="1"/>
  <c r="AL23" i="32"/>
  <c r="AL26" i="32"/>
  <c r="AI23" i="32"/>
  <c r="AI26" i="32"/>
  <c r="AG26" i="32"/>
  <c r="AG23" i="32"/>
  <c r="AQ40" i="8"/>
  <c r="AQ32" i="8" s="1"/>
  <c r="AQ45" i="8" s="1"/>
  <c r="AQ18" i="32"/>
  <c r="AQ10" i="32" s="1"/>
  <c r="AQ23" i="32" s="1"/>
  <c r="AH23" i="32"/>
  <c r="AH26" i="32"/>
  <c r="FJ24" i="10"/>
  <c r="AE26" i="32"/>
  <c r="AE23" i="32"/>
  <c r="AM26" i="32"/>
  <c r="AM23" i="32"/>
  <c r="AJ23" i="32"/>
  <c r="AJ26" i="32"/>
  <c r="FI24" i="10"/>
  <c r="GA24" i="10"/>
  <c r="AO40" i="8"/>
  <c r="AO32" i="8" s="1"/>
  <c r="AO45" i="8" s="1"/>
  <c r="AO18" i="32"/>
  <c r="AO10" i="32" s="1"/>
  <c r="AB12" i="8"/>
  <c r="AB7" i="8" s="1"/>
  <c r="FZ24" i="10"/>
  <c r="AO12" i="8"/>
  <c r="AO7" i="8" s="1"/>
  <c r="AO17" i="8" s="1"/>
  <c r="AA12" i="8"/>
  <c r="AA7" i="8" s="1"/>
  <c r="AA17" i="8" s="1"/>
  <c r="AR10" i="32"/>
  <c r="AR23" i="32" s="1"/>
  <c r="J29" i="32" s="1"/>
  <c r="J30" i="32" s="1"/>
  <c r="FY24" i="10"/>
  <c r="AP12" i="8"/>
  <c r="AP7" i="8" s="1"/>
  <c r="AP17" i="8" s="1"/>
  <c r="Z12" i="8"/>
  <c r="Z7" i="8" s="1"/>
  <c r="Z17" i="8" s="1"/>
  <c r="FL24" i="10"/>
  <c r="Y12" i="8"/>
  <c r="Y7" i="8" s="1"/>
  <c r="Y17" i="8" s="1"/>
  <c r="AQ12" i="8"/>
  <c r="AQ7" i="8" s="1"/>
  <c r="AQ17" i="8" s="1"/>
  <c r="FG24" i="10"/>
  <c r="W12" i="8"/>
  <c r="W7" i="8" s="1"/>
  <c r="W17" i="8" s="1"/>
  <c r="AG12" i="8"/>
  <c r="AG7" i="8" s="1"/>
  <c r="AG17" i="8" s="1"/>
  <c r="EV24" i="10"/>
  <c r="L12" i="8"/>
  <c r="L7" i="8" s="1"/>
  <c r="L17" i="8" s="1"/>
  <c r="FF24" i="10"/>
  <c r="V12" i="8"/>
  <c r="V7" i="8" s="1"/>
  <c r="V17" i="8" s="1"/>
  <c r="ES24" i="10"/>
  <c r="I12" i="8"/>
  <c r="I7" i="8" s="1"/>
  <c r="I17" i="8" s="1"/>
  <c r="FB24" i="10"/>
  <c r="R12" i="8"/>
  <c r="R7" i="8" s="1"/>
  <c r="R17" i="8" s="1"/>
  <c r="FT24" i="10"/>
  <c r="AJ12" i="8"/>
  <c r="AJ7" i="8" s="1"/>
  <c r="AJ17" i="8" s="1"/>
  <c r="FA24" i="10"/>
  <c r="Q12" i="8"/>
  <c r="Q7" i="8" s="1"/>
  <c r="Q17" i="8" s="1"/>
  <c r="EX24" i="10"/>
  <c r="N12" i="8"/>
  <c r="N7" i="8" s="1"/>
  <c r="N17" i="8" s="1"/>
  <c r="AK12" i="8"/>
  <c r="AK7" i="8" s="1"/>
  <c r="AK17" i="8" s="1"/>
  <c r="AE12" i="8"/>
  <c r="AE7" i="8" s="1"/>
  <c r="AE17" i="8" s="1"/>
  <c r="ER24" i="10"/>
  <c r="H12" i="8"/>
  <c r="H7" i="8" s="1"/>
  <c r="H17" i="8" s="1"/>
  <c r="EP24" i="10"/>
  <c r="F12" i="8"/>
  <c r="F7" i="8" s="1"/>
  <c r="F17" i="8" s="1"/>
  <c r="FE24" i="10"/>
  <c r="U12" i="8"/>
  <c r="U7" i="8" s="1"/>
  <c r="ET24" i="10"/>
  <c r="J12" i="8"/>
  <c r="J7" i="8" s="1"/>
  <c r="J17" i="8" s="1"/>
  <c r="P12" i="8"/>
  <c r="P7" i="8" s="1"/>
  <c r="P17" i="8" s="1"/>
  <c r="AL12" i="8"/>
  <c r="AL7" i="8" s="1"/>
  <c r="AL17" i="8" s="1"/>
  <c r="FP24" i="10"/>
  <c r="AF12" i="8"/>
  <c r="AF7" i="8" s="1"/>
  <c r="AF17" i="8" s="1"/>
  <c r="EO24" i="10"/>
  <c r="E12" i="8"/>
  <c r="E7" i="8" s="1"/>
  <c r="E17" i="8" s="1"/>
  <c r="EW24" i="10"/>
  <c r="M12" i="8"/>
  <c r="M7" i="8" s="1"/>
  <c r="M17" i="8" s="1"/>
  <c r="AM12" i="8"/>
  <c r="AM7" i="8" s="1"/>
  <c r="AM17" i="8" s="1"/>
  <c r="AC12" i="8"/>
  <c r="AC7" i="8" s="1"/>
  <c r="X12" i="8"/>
  <c r="X7" i="8" s="1"/>
  <c r="X17" i="8" s="1"/>
  <c r="FC24" i="10"/>
  <c r="S12" i="8"/>
  <c r="S7" i="8" s="1"/>
  <c r="S17" i="8" s="1"/>
  <c r="FX24" i="10"/>
  <c r="AN12" i="8"/>
  <c r="AN7" i="8" s="1"/>
  <c r="AN17" i="8" s="1"/>
  <c r="AD12" i="8"/>
  <c r="AD7" i="8" s="1"/>
  <c r="AD17" i="8" s="1"/>
  <c r="AI12" i="8"/>
  <c r="AI7" i="8" s="1"/>
  <c r="AI17" i="8" s="1"/>
  <c r="T12" i="8"/>
  <c r="T7" i="8" s="1"/>
  <c r="T17" i="8" s="1"/>
  <c r="EQ24" i="10"/>
  <c r="G12" i="8"/>
  <c r="G7" i="8" s="1"/>
  <c r="G17" i="8" s="1"/>
  <c r="AH12" i="8"/>
  <c r="AH7" i="8" s="1"/>
  <c r="AH17" i="8" s="1"/>
  <c r="FS24" i="10"/>
  <c r="AM32" i="8"/>
  <c r="AM45" i="8" s="1"/>
  <c r="AI32" i="8"/>
  <c r="AI45" i="8" s="1"/>
  <c r="FD24" i="10"/>
  <c r="AF32" i="8"/>
  <c r="AF45" i="8" s="1"/>
  <c r="FR24" i="10"/>
  <c r="AL32" i="8"/>
  <c r="AL45" i="8" s="1"/>
  <c r="AH32" i="8"/>
  <c r="AH45" i="8" s="1"/>
  <c r="FQ24" i="10"/>
  <c r="AK32" i="8"/>
  <c r="AK45" i="8" s="1"/>
  <c r="AG32" i="8"/>
  <c r="AG45" i="8" s="1"/>
  <c r="FU24" i="10"/>
  <c r="FO24" i="10"/>
  <c r="AE32" i="8"/>
  <c r="AE45" i="8" s="1"/>
  <c r="FH24" i="10"/>
  <c r="AN32" i="8"/>
  <c r="AN45" i="8" s="1"/>
  <c r="AJ32" i="8"/>
  <c r="AJ45" i="8" s="1"/>
  <c r="FV24" i="10"/>
  <c r="FW24" i="10"/>
  <c r="FM24" i="10"/>
  <c r="AC32" i="8"/>
  <c r="AC45" i="8" s="1"/>
  <c r="FN24" i="10"/>
  <c r="AD32" i="8"/>
  <c r="AD45" i="8" s="1"/>
  <c r="AC23" i="32"/>
  <c r="AC26" i="32"/>
  <c r="AD23" i="32"/>
  <c r="AD26" i="32"/>
  <c r="O32" i="8"/>
  <c r="O45" i="8" s="1"/>
  <c r="O10" i="32"/>
  <c r="O23" i="32" s="1"/>
  <c r="O7" i="8"/>
  <c r="O17" i="8" s="1"/>
  <c r="P10" i="32"/>
  <c r="P23" i="32" s="1"/>
  <c r="P32" i="8"/>
  <c r="P45" i="8" s="1"/>
  <c r="X10" i="32"/>
  <c r="X32" i="8"/>
  <c r="X45" i="8" s="1"/>
  <c r="J10" i="32"/>
  <c r="J23" i="32" s="1"/>
  <c r="J32" i="8"/>
  <c r="J45" i="8" s="1"/>
  <c r="G10" i="32"/>
  <c r="G23" i="32" s="1"/>
  <c r="G32" i="8"/>
  <c r="G45" i="8" s="1"/>
  <c r="M10" i="32"/>
  <c r="M23" i="32" s="1"/>
  <c r="M32" i="8"/>
  <c r="M45" i="8" s="1"/>
  <c r="K32" i="8"/>
  <c r="K45" i="8" s="1"/>
  <c r="K10" i="32"/>
  <c r="K23" i="32" s="1"/>
  <c r="K7" i="8"/>
  <c r="K17" i="8" s="1"/>
  <c r="I32" i="8"/>
  <c r="I45" i="8" s="1"/>
  <c r="I10" i="32"/>
  <c r="I23" i="32" s="1"/>
  <c r="L32" i="8"/>
  <c r="L45" i="8" s="1"/>
  <c r="L10" i="32"/>
  <c r="L23" i="32" s="1"/>
  <c r="Q10" i="32"/>
  <c r="Q32" i="8"/>
  <c r="Q45" i="8" s="1"/>
  <c r="H10" i="32"/>
  <c r="H23" i="32" s="1"/>
  <c r="H32" i="8"/>
  <c r="H45" i="8" s="1"/>
  <c r="E32" i="8"/>
  <c r="E45" i="8" s="1"/>
  <c r="E10" i="32"/>
  <c r="E23" i="32" s="1"/>
  <c r="W32" i="8"/>
  <c r="W45" i="8" s="1"/>
  <c r="W10" i="32"/>
  <c r="AQ26" i="32"/>
  <c r="F10" i="32"/>
  <c r="F23" i="32" s="1"/>
  <c r="F32" i="8"/>
  <c r="F45" i="8" s="1"/>
  <c r="T10" i="32"/>
  <c r="T32" i="8"/>
  <c r="T45" i="8" s="1"/>
  <c r="U10" i="32"/>
  <c r="U32" i="8"/>
  <c r="U45" i="8" s="1"/>
  <c r="R32" i="8"/>
  <c r="R45" i="8" s="1"/>
  <c r="R10" i="32"/>
  <c r="R26" i="32" s="1"/>
  <c r="N32" i="8"/>
  <c r="N45" i="8" s="1"/>
  <c r="N10" i="32"/>
  <c r="N23" i="32" s="1"/>
  <c r="D12" i="8"/>
  <c r="D18" i="32"/>
  <c r="C23" i="10"/>
  <c r="D40" i="8"/>
  <c r="S10" i="32"/>
  <c r="S32" i="8"/>
  <c r="S45" i="8" s="1"/>
  <c r="V32" i="8"/>
  <c r="V45" i="8" s="1"/>
  <c r="V10" i="32"/>
  <c r="EY24" i="10"/>
  <c r="EU24" i="10"/>
  <c r="EZ24" i="10"/>
  <c r="T23" i="32" l="1"/>
  <c r="T26" i="32"/>
  <c r="R23" i="32"/>
  <c r="S23" i="32"/>
  <c r="S26" i="32"/>
  <c r="Q23" i="32"/>
  <c r="Q26" i="32"/>
  <c r="Y26" i="32"/>
  <c r="AB23" i="32"/>
  <c r="AA23" i="32"/>
  <c r="M49" i="8"/>
  <c r="M50" i="8" s="1"/>
  <c r="Z26" i="32"/>
  <c r="AO26" i="32"/>
  <c r="AO23" i="32"/>
  <c r="AR26" i="32"/>
  <c r="H49" i="8"/>
  <c r="H50" i="8" s="1"/>
  <c r="AC17" i="8"/>
  <c r="N21" i="8" s="1"/>
  <c r="N22" i="8" s="1"/>
  <c r="U17" i="8"/>
  <c r="L21" i="8" s="1"/>
  <c r="L22" i="8" s="1"/>
  <c r="AB17" i="8"/>
  <c r="Q49" i="8"/>
  <c r="Q50" i="8" s="1"/>
  <c r="H21" i="8"/>
  <c r="H22" i="8" s="1"/>
  <c r="I21" i="8"/>
  <c r="O21" i="8"/>
  <c r="O22" i="8" s="1"/>
  <c r="O49" i="8"/>
  <c r="O50" i="8" s="1"/>
  <c r="Q21" i="8"/>
  <c r="Q22" i="8" s="1"/>
  <c r="P21" i="8"/>
  <c r="P22" i="8" s="1"/>
  <c r="P49" i="8"/>
  <c r="P50" i="8" s="1"/>
  <c r="J21" i="8"/>
  <c r="J22" i="8" s="1"/>
  <c r="N49" i="8"/>
  <c r="N50" i="8" s="1"/>
  <c r="K21" i="8"/>
  <c r="K22" i="8" s="1"/>
  <c r="I49" i="8"/>
  <c r="K49" i="8"/>
  <c r="K50" i="8" s="1"/>
  <c r="L49" i="8"/>
  <c r="L50" i="8" s="1"/>
  <c r="J49" i="8"/>
  <c r="J50" i="8" s="1"/>
  <c r="C24" i="10"/>
  <c r="C26" i="10" s="1"/>
  <c r="D7" i="8"/>
  <c r="D17" i="8" s="1"/>
  <c r="G21" i="8" s="1"/>
  <c r="C12" i="8"/>
  <c r="G29" i="32"/>
  <c r="G30" i="32" s="1"/>
  <c r="V23" i="32"/>
  <c r="V26" i="32"/>
  <c r="X23" i="32"/>
  <c r="X26" i="32"/>
  <c r="C40" i="8"/>
  <c r="D32" i="8"/>
  <c r="W23" i="32"/>
  <c r="W26" i="32"/>
  <c r="D10" i="32"/>
  <c r="C18" i="32"/>
  <c r="U23" i="32"/>
  <c r="U26" i="32"/>
  <c r="E29" i="32"/>
  <c r="E30" i="32" s="1"/>
  <c r="F29" i="32"/>
  <c r="F30" i="32" s="1"/>
  <c r="C24" i="8" l="1"/>
  <c r="H29" i="32"/>
  <c r="H30" i="32" s="1"/>
  <c r="C48" i="8"/>
  <c r="M21" i="8"/>
  <c r="M22" i="8" s="1"/>
  <c r="D9" i="16"/>
  <c r="I22" i="8"/>
  <c r="D45" i="8"/>
  <c r="G49" i="8" s="1"/>
  <c r="C32" i="8"/>
  <c r="C45" i="8" s="1"/>
  <c r="I50" i="8"/>
  <c r="C49" i="8" s="1"/>
  <c r="C7" i="8"/>
  <c r="I29" i="32"/>
  <c r="I30" i="32" s="1"/>
  <c r="D23" i="32"/>
  <c r="C10" i="32"/>
  <c r="C23" i="32" s="1"/>
  <c r="C25" i="32" s="1"/>
  <c r="C21" i="8" l="1"/>
  <c r="C29" i="10" s="1"/>
  <c r="C20" i="8"/>
  <c r="C28" i="10" s="1"/>
  <c r="D8" i="16"/>
  <c r="C32" i="10"/>
  <c r="D24" i="32"/>
  <c r="E24" i="32" s="1"/>
  <c r="F24" i="32" s="1"/>
  <c r="G24" i="32" s="1"/>
  <c r="H24" i="32" s="1"/>
  <c r="I24" i="32" s="1"/>
  <c r="J24" i="32" s="1"/>
  <c r="K24" i="32" s="1"/>
  <c r="L24" i="32" s="1"/>
  <c r="M24" i="32" s="1"/>
  <c r="N24" i="32" s="1"/>
  <c r="O24" i="32" s="1"/>
  <c r="P24" i="32" s="1"/>
  <c r="Q24" i="32" s="1"/>
  <c r="R24" i="32" s="1"/>
  <c r="S24" i="32" s="1"/>
  <c r="T24" i="32" s="1"/>
  <c r="U24" i="32" s="1"/>
  <c r="V24" i="32" s="1"/>
  <c r="W24" i="32" s="1"/>
  <c r="X24" i="32" s="1"/>
  <c r="Y24" i="32" s="1"/>
  <c r="Z24" i="32" s="1"/>
  <c r="AA24" i="32" s="1"/>
  <c r="AB24" i="32" s="1"/>
  <c r="AC24" i="32" s="1"/>
  <c r="AD24" i="32" s="1"/>
  <c r="AE24" i="32" s="1"/>
  <c r="AF24" i="32" s="1"/>
  <c r="AG24" i="32" s="1"/>
  <c r="AH24" i="32" s="1"/>
  <c r="AI24" i="32" s="1"/>
  <c r="AJ24" i="32" s="1"/>
  <c r="AK24" i="32" s="1"/>
  <c r="AL24" i="32" s="1"/>
  <c r="AM24" i="32" s="1"/>
  <c r="AN24" i="32" s="1"/>
  <c r="AO24" i="32" s="1"/>
  <c r="AP24" i="32" s="1"/>
  <c r="AQ24" i="32" s="1"/>
  <c r="AR24" i="32" s="1"/>
  <c r="C24" i="32" s="1"/>
  <c r="D29" i="32"/>
  <c r="D30" i="32" s="1"/>
  <c r="C17" i="8"/>
  <c r="G22" i="8"/>
  <c r="D18" i="8"/>
  <c r="E18" i="8" s="1"/>
  <c r="F18" i="8" s="1"/>
  <c r="G18" i="8" s="1"/>
  <c r="H18" i="8" s="1"/>
  <c r="I18" i="8" s="1"/>
  <c r="J18" i="8" s="1"/>
  <c r="K18" i="8" s="1"/>
  <c r="L18" i="8" s="1"/>
  <c r="M18" i="8" s="1"/>
  <c r="N18" i="8" s="1"/>
  <c r="O18" i="8" s="1"/>
  <c r="P18" i="8" s="1"/>
  <c r="Q18" i="8" s="1"/>
  <c r="R18" i="8" s="1"/>
  <c r="S18" i="8" s="1"/>
  <c r="T18" i="8" s="1"/>
  <c r="U18" i="8" s="1"/>
  <c r="V18" i="8" s="1"/>
  <c r="W18" i="8" s="1"/>
  <c r="X18" i="8" s="1"/>
  <c r="Y18" i="8" s="1"/>
  <c r="Z18" i="8" s="1"/>
  <c r="AA18" i="8" s="1"/>
  <c r="AB18" i="8" s="1"/>
  <c r="AC18" i="8" s="1"/>
  <c r="AD18" i="8" s="1"/>
  <c r="AE18" i="8" s="1"/>
  <c r="AF18" i="8" s="1"/>
  <c r="AG18" i="8" s="1"/>
  <c r="AH18" i="8" s="1"/>
  <c r="AI18" i="8" s="1"/>
  <c r="AJ18" i="8" s="1"/>
  <c r="AK18" i="8" s="1"/>
  <c r="AL18" i="8" s="1"/>
  <c r="AM18" i="8" s="1"/>
  <c r="AN18" i="8" s="1"/>
  <c r="AO18" i="8" s="1"/>
  <c r="AP18" i="8" s="1"/>
  <c r="AQ18" i="8" s="1"/>
  <c r="AR18" i="8" s="1"/>
  <c r="C18" i="8" s="1"/>
  <c r="C26" i="8" s="1"/>
  <c r="C23" i="8"/>
  <c r="D46" i="8"/>
  <c r="E46" i="8" s="1"/>
  <c r="F46" i="8" s="1"/>
  <c r="G46" i="8" s="1"/>
  <c r="H46" i="8" s="1"/>
  <c r="I46" i="8" s="1"/>
  <c r="J46" i="8" s="1"/>
  <c r="K46" i="8" s="1"/>
  <c r="L46" i="8" s="1"/>
  <c r="M46" i="8" s="1"/>
  <c r="N46" i="8" s="1"/>
  <c r="O46" i="8" s="1"/>
  <c r="P46" i="8" s="1"/>
  <c r="Q46" i="8" s="1"/>
  <c r="R46" i="8" s="1"/>
  <c r="S46" i="8" s="1"/>
  <c r="T46" i="8" s="1"/>
  <c r="U46" i="8" s="1"/>
  <c r="V46" i="8" s="1"/>
  <c r="W46" i="8" s="1"/>
  <c r="X46" i="8" s="1"/>
  <c r="Y46" i="8" s="1"/>
  <c r="Z46" i="8" s="1"/>
  <c r="AA46" i="8" s="1"/>
  <c r="AB46" i="8" s="1"/>
  <c r="AC46" i="8" s="1"/>
  <c r="AD46" i="8" s="1"/>
  <c r="AE46" i="8" s="1"/>
  <c r="AF46" i="8" s="1"/>
  <c r="AG46" i="8" s="1"/>
  <c r="AH46" i="8" s="1"/>
  <c r="AI46" i="8" s="1"/>
  <c r="AJ46" i="8" s="1"/>
  <c r="AK46" i="8" s="1"/>
  <c r="AL46" i="8" s="1"/>
  <c r="AM46" i="8" s="1"/>
  <c r="AN46" i="8" s="1"/>
  <c r="AO46" i="8" s="1"/>
  <c r="AP46" i="8" s="1"/>
  <c r="AQ46" i="8" s="1"/>
  <c r="AR46" i="8" s="1"/>
  <c r="C46" i="8" s="1"/>
  <c r="G50" i="8"/>
  <c r="D7" i="16"/>
  <c r="F50" i="16" s="1"/>
  <c r="C33" i="10"/>
  <c r="D5" i="16" l="1"/>
  <c r="F37" i="16" s="1"/>
  <c r="D6" i="16"/>
  <c r="Q51" i="8"/>
  <c r="P51" i="8"/>
  <c r="O51" i="8"/>
  <c r="O23" i="8"/>
  <c r="Q23" i="8"/>
  <c r="P23" i="8"/>
  <c r="J23" i="8"/>
  <c r="M23" i="8"/>
  <c r="I23" i="8"/>
  <c r="N23" i="8"/>
  <c r="H23" i="8"/>
  <c r="G23" i="8"/>
  <c r="L23" i="8"/>
  <c r="K23" i="8"/>
  <c r="N51" i="8"/>
  <c r="K51" i="8"/>
  <c r="H51" i="8"/>
  <c r="J51" i="8"/>
  <c r="M51" i="8"/>
  <c r="I51" i="8"/>
  <c r="L51" i="8"/>
  <c r="G51" i="8"/>
  <c r="C50" i="8" l="1"/>
  <c r="D50" i="8" s="1" a="1"/>
  <c r="D50" i="8" s="1"/>
  <c r="D34" i="10" s="1"/>
  <c r="C22" i="8"/>
  <c r="D22" i="8" s="1" a="1"/>
  <c r="D22" i="8" s="1"/>
  <c r="D30" i="10" s="1"/>
  <c r="C34" i="10" l="1"/>
  <c r="C30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 Ngo Hung</author>
  </authors>
  <commentList>
    <comment ref="B11" authorId="0" shapeId="0" xr:uid="{A0D55F0B-A164-48C9-B7DE-A43C1BDEEBF9}">
      <text>
        <r>
          <rPr>
            <b/>
            <sz val="9"/>
            <color indexed="81"/>
            <rFont val="Tahoma"/>
            <family val="2"/>
          </rPr>
          <t>Ha Ngo Hung:</t>
        </r>
        <r>
          <rPr>
            <sz val="9"/>
            <color indexed="81"/>
            <rFont val="Tahoma"/>
            <family val="2"/>
          </rPr>
          <t xml:space="preserve">
Chi phí dự phòng đã được đẩy bớt sang phần tiền sử dụng đất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 Ngo Hung</author>
  </authors>
  <commentList>
    <comment ref="C21" authorId="0" shapeId="0" xr:uid="{B8F17A70-68BE-4B7D-A5D6-D859595FBE68}">
      <text>
        <r>
          <rPr>
            <b/>
            <sz val="9"/>
            <color indexed="81"/>
            <rFont val="Tahoma"/>
            <family val="2"/>
          </rPr>
          <t>Ha Ngo Hung:
31/12/2024: Dừng vốn hóa lãi vay khu II (bắt đầu bán khu II)
31/12/2025: Dừng vốn hóa lãi vay khu I (bắt đầu bán khu I)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 Ngo Hung</author>
  </authors>
  <commentList>
    <comment ref="J3" authorId="0" shapeId="0" xr:uid="{94B59939-6BA8-4FB5-9528-6FF1C8391525}">
      <text>
        <r>
          <rPr>
            <b/>
            <sz val="9"/>
            <color indexed="81"/>
            <rFont val="Tahoma"/>
            <family val="2"/>
          </rPr>
          <t>Ha Ngo Hung:</t>
        </r>
        <r>
          <rPr>
            <sz val="9"/>
            <color indexed="81"/>
            <rFont val="Tahoma"/>
            <family val="2"/>
          </rPr>
          <t xml:space="preserve">
theo KHBH mới của khu I a Đức gửi 14/3/2025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Van Duc</author>
  </authors>
  <commentList>
    <comment ref="D9" authorId="0" shapeId="0" xr:uid="{C07FB262-4EF0-4B3C-AE7C-3B17E6BDAE29}">
      <text>
        <r>
          <rPr>
            <b/>
            <sz val="9"/>
            <color indexed="81"/>
            <rFont val="Tahoma"/>
            <family val="2"/>
          </rPr>
          <t>Nguyen Van Duc:</t>
        </r>
        <r>
          <rPr>
            <sz val="9"/>
            <color indexed="81"/>
            <rFont val="Tahoma"/>
            <family val="2"/>
          </rPr>
          <t xml:space="preserve">
Chỉnh tay h ệ số góc căn 01-05
</t>
        </r>
      </text>
    </comment>
    <comment ref="D30" authorId="0" shapeId="0" xr:uid="{EF19D01C-2EFB-49A0-9F20-DCB7AF6B258F}">
      <text>
        <r>
          <rPr>
            <b/>
            <sz val="9"/>
            <color indexed="81"/>
            <rFont val="Tahoma"/>
            <family val="2"/>
          </rPr>
          <t>Nguyen Van Duc:</t>
        </r>
        <r>
          <rPr>
            <sz val="9"/>
            <color indexed="81"/>
            <rFont val="Tahoma"/>
            <family val="2"/>
          </rPr>
          <t xml:space="preserve">
Chỉnh tay hệ số tổng
</t>
        </r>
      </text>
    </comment>
    <comment ref="D31" authorId="0" shapeId="0" xr:uid="{B582FFB6-054C-4563-A39C-129432AA9871}">
      <text>
        <r>
          <rPr>
            <b/>
            <sz val="9"/>
            <color indexed="81"/>
            <rFont val="Tahoma"/>
            <family val="2"/>
          </rPr>
          <t>Nguyen Van Duc:</t>
        </r>
        <r>
          <rPr>
            <sz val="9"/>
            <color indexed="81"/>
            <rFont val="Tahoma"/>
            <family val="2"/>
          </rPr>
          <t xml:space="preserve">
Chỉnh tay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<sst xmlns="http://schemas.openxmlformats.org/spreadsheetml/2006/main" count="664" uniqueCount="330">
  <si>
    <t>BẢNG TỔNG HỢP</t>
  </si>
  <si>
    <t>I</t>
  </si>
  <si>
    <t>Hiệu quả tài chính của dự án</t>
  </si>
  <si>
    <t>Đơn vị</t>
  </si>
  <si>
    <t>Giá trị</t>
  </si>
  <si>
    <t>Dòng tiền dự án</t>
  </si>
  <si>
    <t>IRR dự án</t>
  </si>
  <si>
    <t>%</t>
  </si>
  <si>
    <t>NPV dự án</t>
  </si>
  <si>
    <t>đồng</t>
  </si>
  <si>
    <t>IRR chủ đầu tư</t>
  </si>
  <si>
    <t>NPV chủ đầu tư</t>
  </si>
  <si>
    <t>Return on Investment (ROI)</t>
  </si>
  <si>
    <t>Dòng tiền ngân hàng</t>
  </si>
  <si>
    <t>Vay ngân hàng</t>
  </si>
  <si>
    <t>Thời gian vay vốn</t>
  </si>
  <si>
    <t>năm</t>
  </si>
  <si>
    <t>Thời gian ân hạn</t>
  </si>
  <si>
    <t>II</t>
  </si>
  <si>
    <t>Phương án Kinh doanh</t>
  </si>
  <si>
    <t>Giá trước thuế</t>
  </si>
  <si>
    <t>Thuế GTGT</t>
  </si>
  <si>
    <t>Giá sau thuế</t>
  </si>
  <si>
    <t>Tỷ lệ tăng giá bán hàng năm</t>
  </si>
  <si>
    <t>III</t>
  </si>
  <si>
    <t>Các chi phí khác</t>
  </si>
  <si>
    <t xml:space="preserve">Chi phí bán hàng </t>
  </si>
  <si>
    <t xml:space="preserve">% doanh thu </t>
  </si>
  <si>
    <t>Chi phí hoa hồng đại lý, môi giới</t>
  </si>
  <si>
    <t>Truyền thông Marketing</t>
  </si>
  <si>
    <t>Chính sách bán hàng</t>
  </si>
  <si>
    <t>Chi phí quản lý doanh nghiệp</t>
  </si>
  <si>
    <t>Thuế VAT</t>
  </si>
  <si>
    <t>Thuế TNDN</t>
  </si>
  <si>
    <t>Lãi vay ngân hàng</t>
  </si>
  <si>
    <t>%/năm</t>
  </si>
  <si>
    <t>IV</t>
  </si>
  <si>
    <t>Cơ cấu vốn</t>
  </si>
  <si>
    <t>Tỷ lệ</t>
  </si>
  <si>
    <t>Chi phí vốn</t>
  </si>
  <si>
    <t>Vốn CSH</t>
  </si>
  <si>
    <t>Vốn vay</t>
  </si>
  <si>
    <t>Vốn huy động khác (doanh thu bán hàng)</t>
  </si>
  <si>
    <t>TMĐT</t>
  </si>
  <si>
    <t>Tỷ lệ thay đổi TMĐT</t>
  </si>
  <si>
    <t>Tỷ lệ thay đổi giá bán</t>
  </si>
  <si>
    <t>BẢNG 2: TỔNG HỢP CÁC CHI PHÍ XÂY DỰNG</t>
  </si>
  <si>
    <t>Đơn vị: vnđ</t>
  </si>
  <si>
    <t>STT</t>
  </si>
  <si>
    <t>Khoản mục chi phí</t>
  </si>
  <si>
    <t>Ký hiệu</t>
  </si>
  <si>
    <t>Diễn giải tính toán</t>
  </si>
  <si>
    <t>Thành tiền 
trước thuế</t>
  </si>
  <si>
    <t>Thành tiền 
sau thuế</t>
  </si>
  <si>
    <t>Ghi chú</t>
  </si>
  <si>
    <t>Tổng</t>
  </si>
  <si>
    <t>A</t>
  </si>
  <si>
    <t>Chi phí xây dựng, thiết bị</t>
  </si>
  <si>
    <t>Gxd</t>
  </si>
  <si>
    <t>Chi phí xây dựng và thiết bị phần hạ tầng kỹ thuật</t>
  </si>
  <si>
    <t>Chi phí xây dựng và thiết bị phần nhà ở, thương mại dịch vụ, công trình công cộng và y tế, giáo dục</t>
  </si>
  <si>
    <t>Chi phí quản lý dự án, chi phí tư vấn và chi phí khác</t>
  </si>
  <si>
    <t>B</t>
  </si>
  <si>
    <t>Chi phí quản lý dự án + tư vấn + khác</t>
  </si>
  <si>
    <t xml:space="preserve"> Gqlda</t>
  </si>
  <si>
    <t>C</t>
  </si>
  <si>
    <t>Chi phí dự phòng</t>
  </si>
  <si>
    <t>Gdp</t>
  </si>
  <si>
    <t>x(A+B+C+D+E)</t>
  </si>
  <si>
    <t>D</t>
  </si>
  <si>
    <t xml:space="preserve">Tổng chi phí đầu tư </t>
  </si>
  <si>
    <t>E</t>
  </si>
  <si>
    <t>LÀM TRÒN</t>
  </si>
  <si>
    <t>A+B+C+D+E+F</t>
  </si>
  <si>
    <t>BẢNG 3: TỔNG MỨC ĐẦU TƯ DỰ ÁN</t>
  </si>
  <si>
    <t>Cách tính</t>
  </si>
  <si>
    <t xml:space="preserve">A </t>
  </si>
  <si>
    <t>Tổng chi phí đầu tư xây dựng dự án</t>
  </si>
  <si>
    <t>Chi phí GPMB và tiền sử dụng đất</t>
  </si>
  <si>
    <t>Chi phí M&amp;A</t>
  </si>
  <si>
    <t>Chi phí PTDA</t>
  </si>
  <si>
    <t>PTDA</t>
  </si>
  <si>
    <t>H</t>
  </si>
  <si>
    <t>Tổng cộng (A+B+C+D)</t>
  </si>
  <si>
    <t>Lãi vay trong giai đoạn xây dựng</t>
  </si>
  <si>
    <t>Lv</t>
  </si>
  <si>
    <t>TỔNG VỐN ĐẦU TƯ (H+I+G)</t>
  </si>
  <si>
    <t>TVĐT</t>
  </si>
  <si>
    <t>BẢNG 4: KẾ HOẠCH VAY VỐN</t>
  </si>
  <si>
    <t>CÁC YẾU TỐ</t>
  </si>
  <si>
    <t>TỔNG CỘNG</t>
  </si>
  <si>
    <t xml:space="preserve">KỲ VAY VỐN </t>
  </si>
  <si>
    <t>Lãi suất</t>
  </si>
  <si>
    <t>Dư nợ đầu kỳ</t>
  </si>
  <si>
    <t>vnđ</t>
  </si>
  <si>
    <t>Giải ngân trong kỳ</t>
  </si>
  <si>
    <t>Trả nợ trong kỳ</t>
  </si>
  <si>
    <t>Dư nợ cuối kỳ</t>
  </si>
  <si>
    <t>Lãi vay trong kỳ</t>
  </si>
  <si>
    <t>Kế hoạch trả lãi trong kỳ</t>
  </si>
  <si>
    <t>TỔNG CẢ GỐC VÀ LÃI</t>
  </si>
  <si>
    <t>Lãi vay</t>
  </si>
  <si>
    <t>Lũy kế chi phí xây dựng, thiết bị</t>
  </si>
  <si>
    <t>Thời điểm kết thúc XD</t>
  </si>
  <si>
    <t>BẢNG 5: KẾ HOẠCH BÁN HÀNG</t>
  </si>
  <si>
    <t>SẢN PHẨM</t>
  </si>
  <si>
    <t>LOẠI SẢN PHẦM</t>
  </si>
  <si>
    <t>THỜI GIAN BÁN</t>
  </si>
  <si>
    <t>KẾ HOẠCH BÁN HÀNG</t>
  </si>
  <si>
    <t>TIẾN ĐỘ THU TIỀN THÔNG THƯỜNG</t>
  </si>
  <si>
    <t>KẾ HOẠCH THU TIỀN THEO THÁNG</t>
  </si>
  <si>
    <t>KẾ HOẠCH THU TIỀN THEO QUÝ</t>
  </si>
  <si>
    <t>MÃ CĂN</t>
  </si>
  <si>
    <t>NOTE 1</t>
  </si>
  <si>
    <t>NOTE 2</t>
  </si>
  <si>
    <t>NOTE 3</t>
  </si>
  <si>
    <t>KHU VỰC</t>
  </si>
  <si>
    <t>Số căn</t>
  </si>
  <si>
    <t>Diện tích xây dựng</t>
  </si>
  <si>
    <t>Diện tích thương phẩm</t>
  </si>
  <si>
    <t>DG đất + xây
(gồm VAT)</t>
  </si>
  <si>
    <t>DG đất + xây
có tăng giá
(gồm VAT)</t>
  </si>
  <si>
    <t>Tổng giá trị hợp đồng</t>
  </si>
  <si>
    <t>Thời điểm ghi nhận doanh thu</t>
  </si>
  <si>
    <t>Đợt 1</t>
  </si>
  <si>
    <t>Đợt 2</t>
  </si>
  <si>
    <t>Đợt 3</t>
  </si>
  <si>
    <t>Đợt 4</t>
  </si>
  <si>
    <t>Đợt 5</t>
  </si>
  <si>
    <t>Đợt 6</t>
  </si>
  <si>
    <t>Đợt 7</t>
  </si>
  <si>
    <t>Đợt 8</t>
  </si>
  <si>
    <t>Tiến độ thu tiền nhà ở xã hội</t>
  </si>
  <si>
    <t>Tiến độ thu tiền nhà liền kề</t>
  </si>
  <si>
    <t>Nhà ở xã hội 1</t>
  </si>
  <si>
    <t>Nhà ở xã hội 2</t>
  </si>
  <si>
    <t>Nhà ở xã hội 3</t>
  </si>
  <si>
    <t>Liền kề 1</t>
  </si>
  <si>
    <t>BẢNG 6: PHÂN BỔ CHI PHÍ ĐẦU TƯ DỰ ÁN</t>
  </si>
  <si>
    <t>Nội dung</t>
  </si>
  <si>
    <t>Tỷ lệ phân bổ</t>
  </si>
  <si>
    <t>Tiêu thức phân bổ</t>
  </si>
  <si>
    <t>Phân bổ các loại chi phí</t>
  </si>
  <si>
    <t>- Phân bổ theo diện tích ô đất</t>
  </si>
  <si>
    <t>Phân bổ chi phí</t>
  </si>
  <si>
    <t>Giá vốn bao gồm lãi vay</t>
  </si>
  <si>
    <t>Giá vốn/m2 đất thương phẩm</t>
  </si>
  <si>
    <t>Phân bổ chi phí bán hàng</t>
  </si>
  <si>
    <t>Chi phí bán hàng/m2 đất thương phẩm</t>
  </si>
  <si>
    <t>Phân bổ chi phí lãi vay</t>
  </si>
  <si>
    <t>Chi phí lãi vay/m2 đất thương phẩm</t>
  </si>
  <si>
    <t>Phân bổ chi phí quản lý</t>
  </si>
  <si>
    <t>Tổng giá vốn phân bổ (chưa bao gồm VAT)</t>
  </si>
  <si>
    <t>KẾT QUẢ KINH DOANH TOÀN DỰ ÁN</t>
  </si>
  <si>
    <t>ĐVT: VNĐ</t>
  </si>
  <si>
    <t>TT</t>
  </si>
  <si>
    <t xml:space="preserve">Tổng </t>
  </si>
  <si>
    <t>Diện tích bán sản phẩm</t>
  </si>
  <si>
    <t>Doanh thu từ bán và chuyển nhượng bất động sản</t>
  </si>
  <si>
    <t>Giá vốn bán hàng</t>
  </si>
  <si>
    <t>Lợi nhuận gộp</t>
  </si>
  <si>
    <t>V</t>
  </si>
  <si>
    <t>VI</t>
  </si>
  <si>
    <r>
      <t xml:space="preserve">Chí phí tài chính:
</t>
    </r>
    <r>
      <rPr>
        <i/>
        <sz val="11"/>
        <color theme="1"/>
        <rFont val="Times New Roman"/>
        <family val="1"/>
      </rPr>
      <t>- Trong đó lãi vay</t>
    </r>
  </si>
  <si>
    <t>VII</t>
  </si>
  <si>
    <t>Lợi nhuận thuần từ hoạt động kinh doanh</t>
  </si>
  <si>
    <t>VIII</t>
  </si>
  <si>
    <t>Chi phí thuế thu nhập doanh nghiệp</t>
  </si>
  <si>
    <t>IX</t>
  </si>
  <si>
    <t>Lợi nhuận sau thuế thu nhập doanh nghiệp</t>
  </si>
  <si>
    <t>ROS</t>
  </si>
  <si>
    <t>Hiệu quả dự án</t>
  </si>
  <si>
    <t xml:space="preserve">NPV </t>
  </si>
  <si>
    <t>IRR</t>
  </si>
  <si>
    <t>Thời gian hoàn vốn</t>
  </si>
  <si>
    <t>Hiệu quả CĐT</t>
  </si>
  <si>
    <t>BẢNG 8: HIỆU QUẢ ĐẦU TƯ DỰ ÁN</t>
  </si>
  <si>
    <t>TỔNG</t>
  </si>
  <si>
    <t>Dòng tiền thu từ dự án (cả VAT)</t>
  </si>
  <si>
    <t>Dòng tiền chi cho dự án (ko lãi vay)</t>
  </si>
  <si>
    <t>Thuế thu nhập doanh nghiệp</t>
  </si>
  <si>
    <t>Thuế VAT phải nộp nhà nước</t>
  </si>
  <si>
    <t>Thuế VAT đầu ra</t>
  </si>
  <si>
    <t>Thuế VAT đầu vào</t>
  </si>
  <si>
    <t>VAT đầu ra - đầu vào</t>
  </si>
  <si>
    <t>Dòng Tiền Thuần</t>
  </si>
  <si>
    <t>Luỹ kế dòng tiền thuần</t>
  </si>
  <si>
    <t>NPV</t>
  </si>
  <si>
    <t>Year</t>
  </si>
  <si>
    <t>MIRR</t>
  </si>
  <si>
    <t>Cash Flow</t>
  </si>
  <si>
    <t>Quy đổi (triệu VNĐ)</t>
  </si>
  <si>
    <t>XNPV</t>
  </si>
  <si>
    <t>Lũy kế</t>
  </si>
  <si>
    <t>XIRR</t>
  </si>
  <si>
    <t>CHECK</t>
  </si>
  <si>
    <t>Dòng tiền chủ đầu tư</t>
  </si>
  <si>
    <t>Dòng vào</t>
  </si>
  <si>
    <t>Tổng chi phí đầu tư xây dựng dự án không bao gồm lãi vay</t>
  </si>
  <si>
    <t>Trả gốc vay</t>
  </si>
  <si>
    <t>BẢNG 9: DÒNG TIỀN CHỦ ĐẦU TƯ</t>
  </si>
  <si>
    <t>Dòng vốn CSH (thực chi)</t>
  </si>
  <si>
    <t>Vốn huy động khác</t>
  </si>
  <si>
    <t>Dòng tiền thực tế:</t>
  </si>
  <si>
    <t>FCPY giải ngân</t>
  </si>
  <si>
    <t>VCSH cần nộp để giải ngân</t>
  </si>
  <si>
    <t>VCSH hiện có</t>
  </si>
  <si>
    <t>Vốn chiếm dụng KH (từ bán hàng)</t>
  </si>
  <si>
    <t>PA1:</t>
  </si>
  <si>
    <t>Tỷ lệ thanh toán cho nhà thầu phụ</t>
  </si>
  <si>
    <t>FCPY thanh toán cho FCI</t>
  </si>
  <si>
    <t>FCI thanh toán cho thầu phụ</t>
  </si>
  <si>
    <t>Dư dòng tiền tại FCI</t>
  </si>
  <si>
    <t>FCI cần chuyển về cho FCP và FCP thanh toán cho FCPY để đưa vào VCSH</t>
  </si>
  <si>
    <t>Dư dòng tiền cuối của FCI</t>
  </si>
  <si>
    <t>PA2:</t>
  </si>
  <si>
    <t>Tỷ lệ giải ngân vay cá nhân (% VCSH/số tiền giải ngân)</t>
  </si>
  <si>
    <t>Số tiền cần giải ngân cá nhân để bù vào VCSH</t>
  </si>
  <si>
    <t>Vốn tự có cần đưa vào để vay cá nhân</t>
  </si>
  <si>
    <t>PA3:</t>
  </si>
  <si>
    <t>Giá nội bộ/giá bán ra bên ngoài</t>
  </si>
  <si>
    <t>Giá bán trung bình ra bên ngoài</t>
  </si>
  <si>
    <t>Giá bán trung bình nội bộ</t>
  </si>
  <si>
    <t>Chênh giá</t>
  </si>
  <si>
    <t>Số căn cần bán</t>
  </si>
  <si>
    <t>Doanh thu đất sau CSBH</t>
  </si>
  <si>
    <t>Diện tích đất</t>
  </si>
  <si>
    <t>Đơn giá đất bình quân</t>
  </si>
  <si>
    <t>đặc biệt</t>
  </si>
  <si>
    <t>Mặt trước</t>
  </si>
  <si>
    <t>sh</t>
  </si>
  <si>
    <t>Mặt sau</t>
  </si>
  <si>
    <t>lk</t>
  </si>
  <si>
    <t>TỔNG PK2</t>
  </si>
  <si>
    <t>PHÂN KHU</t>
  </si>
  <si>
    <t>BLOCK</t>
  </si>
  <si>
    <t>DIỆN TÍCH ĐẤT</t>
  </si>
  <si>
    <t>CÔNG NĂNG</t>
  </si>
  <si>
    <t>MẶT ĐƯỜNG</t>
  </si>
  <si>
    <t>TIỀN XD</t>
  </si>
  <si>
    <t>TIỀN ĐÂT SAU CSBH</t>
  </si>
  <si>
    <t>ĐƠN GIÁ ĐẤT SAU CSBH</t>
  </si>
  <si>
    <t>TIỀN ĐẤT SAU CSBH - DUYỆT CK 10%</t>
  </si>
  <si>
    <t>TỔNG TIỀN NHÀ SAU KHI TRỪ CSBH</t>
  </si>
  <si>
    <t>Tiền nhà gồm HTLS 0% 12 TH (LK) 24TH (SH) - Giá bán công bố</t>
  </si>
  <si>
    <t>Chiết kấu 8% LK. 10% SH</t>
  </si>
  <si>
    <t>TỔNG GIÁ BÁN SAU CK</t>
  </si>
  <si>
    <t>TIỀN ĐẤT SAU CK</t>
  </si>
  <si>
    <t>ĐƠN GIÁ ĐẤT SAU CK</t>
  </si>
  <si>
    <t>ĐƠN GIÁ SAU CK 10%</t>
  </si>
  <si>
    <t>LK42.1</t>
  </si>
  <si>
    <t>LK42.01</t>
  </si>
  <si>
    <t>SH</t>
  </si>
  <si>
    <t>24m</t>
  </si>
  <si>
    <t>LK42.02</t>
  </si>
  <si>
    <t>LK42.03</t>
  </si>
  <si>
    <t>LK42.04</t>
  </si>
  <si>
    <t>LK42.05</t>
  </si>
  <si>
    <t>LK42.06</t>
  </si>
  <si>
    <t>LK42.2</t>
  </si>
  <si>
    <t>LK42.09</t>
  </si>
  <si>
    <t>LK</t>
  </si>
  <si>
    <t>15m</t>
  </si>
  <si>
    <t>LK42.10</t>
  </si>
  <si>
    <t>LK42.11</t>
  </si>
  <si>
    <t>LK42.12</t>
  </si>
  <si>
    <t>LK42.14</t>
  </si>
  <si>
    <t>LK42.15</t>
  </si>
  <si>
    <t>LK42.24</t>
  </si>
  <si>
    <t>LK41.1</t>
  </si>
  <si>
    <t>LK41.05</t>
  </si>
  <si>
    <t>LK41.06</t>
  </si>
  <si>
    <t>LK41.07</t>
  </si>
  <si>
    <t>LK41.08</t>
  </si>
  <si>
    <t>LK41.09</t>
  </si>
  <si>
    <t>LK41.10</t>
  </si>
  <si>
    <t>LK41.11</t>
  </si>
  <si>
    <t>LK41.12</t>
  </si>
  <si>
    <t>LK41.2</t>
  </si>
  <si>
    <t>LK41.13</t>
  </si>
  <si>
    <t>LK41.14</t>
  </si>
  <si>
    <t>LK21A.2</t>
  </si>
  <si>
    <t>LK21A.12</t>
  </si>
  <si>
    <t>LK21A.13</t>
  </si>
  <si>
    <t>LK21B</t>
  </si>
  <si>
    <t>LK21B.01</t>
  </si>
  <si>
    <t>LK21B.02</t>
  </si>
  <si>
    <t>LK21B.05</t>
  </si>
  <si>
    <t>LK21B.06</t>
  </si>
  <si>
    <t>LK21B.07</t>
  </si>
  <si>
    <t>LK21B.08</t>
  </si>
  <si>
    <t>HH9</t>
  </si>
  <si>
    <t>HH9.13</t>
  </si>
  <si>
    <t>42m</t>
  </si>
  <si>
    <t>HH9.14</t>
  </si>
  <si>
    <t>HH9.15</t>
  </si>
  <si>
    <t>HH9.16</t>
  </si>
  <si>
    <t>HH8</t>
  </si>
  <si>
    <t>HH8.04</t>
  </si>
  <si>
    <t>HH8.05</t>
  </si>
  <si>
    <t>HH8.07</t>
  </si>
  <si>
    <t>HH8.08</t>
  </si>
  <si>
    <t>II`</t>
  </si>
  <si>
    <t>HH8.10</t>
  </si>
  <si>
    <t>THANH TOÁN SỚM</t>
  </si>
  <si>
    <t>TỔN DOANH THU</t>
  </si>
  <si>
    <t>TỶ LỆ  DOANH THU KH TTS</t>
  </si>
  <si>
    <t>T12.2024</t>
  </si>
  <si>
    <t>Q1.2025</t>
  </si>
  <si>
    <t>Q2.2025</t>
  </si>
  <si>
    <t>Q3.2025</t>
  </si>
  <si>
    <t>Q4.2025</t>
  </si>
  <si>
    <t>Q1.2026</t>
  </si>
  <si>
    <t>Q2.2026</t>
  </si>
  <si>
    <t>Q3.2026</t>
  </si>
  <si>
    <t>Q4.2026</t>
  </si>
  <si>
    <t>Q1.2027</t>
  </si>
  <si>
    <t>Q2.2027</t>
  </si>
  <si>
    <t>T12/2024</t>
  </si>
  <si>
    <t>THANH TOÁN TIẾN ĐỘ</t>
  </si>
  <si>
    <t>TỶ LỆ  DOANH THU KH TT TTĐ</t>
  </si>
  <si>
    <t>Q2.2026-7</t>
  </si>
  <si>
    <t>Q1/2025</t>
  </si>
  <si>
    <t>Q2/2025</t>
  </si>
  <si>
    <t>Q3/2025</t>
  </si>
  <si>
    <t>Q4/2025</t>
  </si>
  <si>
    <t>Q1/2026</t>
  </si>
  <si>
    <t>Q2/2026</t>
  </si>
  <si>
    <t>Q3/2026</t>
  </si>
  <si>
    <t>Q4/2026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</si>
</sst>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9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_(* #,##0.000_);_(* \(#,##0.000\);_(* &quot;-&quot;??_);_(@_)"/>
    <numFmt numFmtId="166" formatCode="0.0%"/>
    <numFmt numFmtId="167" formatCode="_(* #,##0.0000_);_(* \(#,##0.0000\);_(* &quot;-&quot;????_);_(@_)"/>
    <numFmt numFmtId="168" formatCode="0.0000"/>
    <numFmt numFmtId="169" formatCode="_(* #,##0.0000_);_(* \(#,##0.0000\);_(* &quot;-&quot;??_);_(@_)"/>
    <numFmt numFmtId="170" formatCode="_-* #,##0.00_-;\-* #,##0.00_-;_-* &quot;-&quot;??_-;_-@_-"/>
    <numFmt numFmtId="171" formatCode="0.000%"/>
    <numFmt numFmtId="172" formatCode="mm/yy"/>
    <numFmt numFmtId="173" formatCode="mm/yyyy"/>
    <numFmt numFmtId="174" formatCode="#,##0.0"/>
    <numFmt numFmtId="175" formatCode="_ * #,##0.00_)_đ_ ;_ * \(#,##0.00\)_đ_ ;_ * &quot;-&quot;??_)_đ_ ;_ @_ "/>
    <numFmt numFmtId="176" formatCode="_-* #,##0.00\ _₫_-;\-* #,##0.00\ _₫_-;_-* &quot;-&quot;??\ _₫_-;_-@_-"/>
    <numFmt numFmtId="177" formatCode="#,##0;\(#,##0\)"/>
    <numFmt numFmtId="178" formatCode="_(* #,##0.0_);_(* \(#,##0.0\);_(* &quot;-&quot;?_);_(@_)"/>
    <numFmt numFmtId="179" formatCode="#,##0\ &quot;₫&quot;;\-#,##0\ &quot;₫&quot;"/>
    <numFmt numFmtId="180" formatCode="#,##0\ &quot;₫&quot;;[Red]\-#,##0\ &quot;₫&quot;"/>
    <numFmt numFmtId="181" formatCode="#,##0.00\ &quot;₫&quot;;\-#,##0.00\ &quot;₫&quot;"/>
    <numFmt numFmtId="182" formatCode="#,##0.00\ &quot;₫&quot;;[Red]\-#,##0.00\ &quot;₫&quot;"/>
    <numFmt numFmtId="183" formatCode="_-* #,##0\ &quot;₫&quot;_-;\-* #,##0\ &quot;₫&quot;_-;_-* &quot;-&quot;\ &quot;₫&quot;_-;_-@_-"/>
    <numFmt numFmtId="184" formatCode="_-* #,##0_-;\-* #,##0_-;_-* &quot;-&quot;_-;_-@_-"/>
    <numFmt numFmtId="185" formatCode="_-* #,##0.00\ &quot;₫&quot;_-;\-* #,##0.00\ &quot;₫&quot;_-;_-* &quot;-&quot;??\ &quot;₫&quot;_-;_-@_-"/>
    <numFmt numFmtId="186" formatCode="_-&quot;£&quot;* #,##0_-;\-&quot;£&quot;* #,##0_-;_-&quot;£&quot;* &quot;-&quot;_-;_-@_-"/>
    <numFmt numFmtId="187" formatCode="_(* #,##0.0_);_(* \(#,##0.0\);_(* &quot;-&quot;??_);_(@_)"/>
    <numFmt numFmtId="188" formatCode="0.0"/>
    <numFmt numFmtId="189" formatCode="_(* #,##0_);_(* \(#,##0\);_(* &quot;&quot;\ \-\ &quot;&quot;_);_(@_)"/>
    <numFmt numFmtId="190" formatCode="#,###,"/>
    <numFmt numFmtId="191" formatCode="[$-409]mmm\-yy;@"/>
    <numFmt numFmtId="192" formatCode="#,##0.0_);\(#,##0.0\)"/>
    <numFmt numFmtId="193" formatCode="_-&quot;₫&quot;* #,##0_-;\-&quot;₫&quot;* #,##0_-;_-&quot;₫&quot;* &quot;-&quot;_-;_-@_-"/>
    <numFmt numFmtId="194" formatCode="&quot;₫&quot;#,##0_);&quot;₫&quot;* \(#,##0\)"/>
    <numFmt numFmtId="195" formatCode="#,###_);\(#,###\)"/>
    <numFmt numFmtId="196" formatCode="&quot;₫&quot;#,##0.00;\(&quot;₫&quot;#,##0.00\)"/>
    <numFmt numFmtId="197" formatCode="&quot;£&quot;#,##0_);\(&quot;£&quot;#,##0\)"/>
    <numFmt numFmtId="198" formatCode="&quot;₫&quot;#,##0.0&quot;m&quot;;\-&quot;₫&quot;#,##0.0&quot;m&quot;"/>
    <numFmt numFmtId="199" formatCode="#,##0.0000_);[Red]\(#,##0.0000\)"/>
    <numFmt numFmtId="200" formatCode="&quot;\&quot;#,##0.00;[Red]&quot;\&quot;&quot;\&quot;&quot;\&quot;&quot;\&quot;&quot;\&quot;&quot;\&quot;\-#,##0.00"/>
    <numFmt numFmtId="201" formatCode="&quot;\&quot;#,##0;[Red]&quot;\&quot;&quot;\&quot;\-#,##0"/>
    <numFmt numFmtId="202" formatCode="_(&quot;₫&quot;* #,##0.0000_);_(&quot;₫&quot;* \(#,##0.0000\);_(&quot;₫&quot;* &quot;-&quot;??_);_(@_)"/>
    <numFmt numFmtId="203" formatCode="_ * #,##0_ ;_ * \-#,##0_ ;_ * &quot;-&quot;_ ;_ @_ "/>
    <numFmt numFmtId="204" formatCode="[$$]#,##0_);\([$$]#,##0\);[$$]#,##0_);@_)"/>
    <numFmt numFmtId="205" formatCode="0.0_)\%;\(0.0\)\%;0.0_)\%;@_)_%"/>
    <numFmt numFmtId="206" formatCode="#,##0.0_)_%;\(#,##0.0\)_%;0.0_)_%;@_)_%"/>
    <numFmt numFmtId="207" formatCode="#,##0.0_);\(#,##0.0\);#,##0.0_);@_)"/>
    <numFmt numFmtId="208" formatCode="&quot;₫&quot;_(#,##0.00_);&quot;₫&quot;\(#,##0.00\)"/>
    <numFmt numFmtId="209" formatCode="&quot;£&quot;_(#,##0.00_);&quot;£&quot;\(#,##0.00\)"/>
    <numFmt numFmtId="210" formatCode="0&quot;E&quot;"/>
    <numFmt numFmtId="211" formatCode="0&quot;P&quot;"/>
    <numFmt numFmtId="212" formatCode="&quot;₫&quot;_(#,##0.00_);&quot;₫&quot;\(#,##0.00\);&quot;₫&quot;_(0.00_);@_)"/>
    <numFmt numFmtId="213" formatCode="&quot;₫&quot;#,##0_%_);\(&quot;₫&quot;#,##0\)_%;&quot;₫&quot;#,##0_%_);@_%_)"/>
    <numFmt numFmtId="214" formatCode="#,##0.0;\(#,##0.0\)"/>
    <numFmt numFmtId="215" formatCode="_(&quot;₫&quot;* #,##0.0_);_(&quot;₫&quot;* \(#,##0.0\);_(&quot;₫&quot;* &quot;-&quot;?_);_(@_)"/>
    <numFmt numFmtId="216" formatCode="#,##0.00_);\(#,##0.00\);0.00_);@_)"/>
    <numFmt numFmtId="217" formatCode="#,##0.000_%_);\(#,##0.000\)_%;#,##0.000_%_);@_%_)"/>
    <numFmt numFmtId="218" formatCode="\€_(#,##0.00_);\€\(#,##0.00\);\€_(0.00_);@_)"/>
    <numFmt numFmtId="219" formatCode="_-* #,##0.00\ _F_-;\-* #,##0.00\ _F_-;_-* &quot;-&quot;??\ _F_-;_-@_-"/>
    <numFmt numFmtId="220" formatCode="_(&quot;₫&quot;\ * #,##0_);_(&quot;₫&quot;\ * \(#,##0\);_(&quot;₫&quot;\ * &quot;-&quot;_);_(@_)"/>
    <numFmt numFmtId="221" formatCode="_-* #,##0\ &quot;F&quot;_-;\-* #,##0\ &quot;F&quot;_-;_-* &quot;-&quot;\ &quot;F&quot;_-;_-@_-"/>
    <numFmt numFmtId="222" formatCode="_-* #,##0\ _F_-;\-* #,##0\ _F_-;_-* &quot;-&quot;\ _F_-;_-@_-"/>
    <numFmt numFmtId="223" formatCode="#,##0.0_)\x;\(#,##0.0\)\x"/>
    <numFmt numFmtId="224" formatCode="0.0\x"/>
    <numFmt numFmtId="225" formatCode="#,##0_)\x;\(#,##0\)\x;0_)\x;@_)_x"/>
    <numFmt numFmtId="226" formatCode="&quot;₫&quot;#,##0.00_%_);\(&quot;₫&quot;#,##0.00\)_%;&quot;₫&quot;###0.00_%_);@_%_)"/>
    <numFmt numFmtId="227" formatCode="0.000\x_)_);&quot;NM&quot;_x_)_);0.000\x_)_);@_%_)"/>
    <numFmt numFmtId="228" formatCode="0.0&quot;%&quot;_;\(0.0\)&quot;%&quot;"/>
    <numFmt numFmtId="229" formatCode="&quot;₫&quot;#,##0.0;\(&quot;₫&quot;#,##0.0\);&quot;₫&quot;#,##0.0"/>
    <numFmt numFmtId="230" formatCode="#,##0.0_)_x;\(#,##0.0\)_x"/>
    <numFmt numFmtId="231" formatCode="#,##0_)_x;\(#,##0\)_x;0_)_x;@_)_x"/>
    <numFmt numFmtId="232" formatCode="_(#,##0&quot;y&quot;_)_%;_(\(#,##0\)_%;\ _(&quot;–&quot;_)_%;\ @_(_%"/>
    <numFmt numFmtId="233" formatCode="#,##0.00_);\(#,##0.00\);\-_)"/>
    <numFmt numFmtId="234" formatCode="0.0&quot;%&quot;;\(0.0\)&quot;%&quot;"/>
    <numFmt numFmtId="235" formatCode="\£#,##0.0;\(\£#,##0.0\);\£#,##0.0"/>
    <numFmt numFmtId="236" formatCode="0.0_)\%;\(0.0\)\%"/>
    <numFmt numFmtId="237" formatCode="0.0%;\(0.0\)%"/>
    <numFmt numFmtId="238" formatCode="0.0%;\(0.0%\)"/>
    <numFmt numFmtId="239" formatCode="#,##0.0_)_%;\(#,##0.0\)_%"/>
    <numFmt numFmtId="240" formatCode="0.0_);\(0.0\)"/>
    <numFmt numFmtId="241" formatCode="#,##0.0&quot;¢&quot;;\-#,##0.0&quot;¢&quot;"/>
    <numFmt numFmtId="242" formatCode="\£\ #,##0_);[Red]\(\£\ #,##0\)"/>
    <numFmt numFmtId="243" formatCode="\¥\ #,##0_);[Red]\(\¥\ #,##0\)"/>
    <numFmt numFmtId="244" formatCode="000000"/>
    <numFmt numFmtId="245" formatCode="0.0\ \x"/>
    <numFmt numFmtId="246" formatCode="0.0%;\-0.0%;#"/>
    <numFmt numFmtId="247" formatCode="0_)"/>
    <numFmt numFmtId="248" formatCode="0_);\(0\)"/>
    <numFmt numFmtId="249" formatCode="#,##0.0&quot;x&quot;;\-#,##0.0&quot;x&quot;"/>
    <numFmt numFmtId="250" formatCode="0.0%\ ;\(0.0\)%"/>
    <numFmt numFmtId="251" formatCode="&quot;₫&quot;0,000"/>
    <numFmt numFmtId="252" formatCode="0\A"/>
    <numFmt numFmtId="253" formatCode="* 0.00%"/>
    <numFmt numFmtId="254" formatCode="_ &quot;\&quot;* #,##0_ ;_ &quot;\&quot;* \-#,##0_ ;_ &quot;\&quot;* &quot;-&quot;_ ;_ @_ "/>
    <numFmt numFmtId="255" formatCode="&quot;SFr.&quot;\ #,##0.00;&quot;SFr.&quot;\ \-#,##0.00"/>
    <numFmt numFmtId="256" formatCode="_ &quot;\&quot;* #,##0.00_ ;_ &quot;\&quot;* \-#,##0.00_ ;_ &quot;\&quot;* &quot;-&quot;??_ ;_ @_ "/>
    <numFmt numFmtId="257" formatCode="&quot;SFr.&quot;\ #,##0.00;[Red]&quot;SFr.&quot;\ \-#,##0.00"/>
    <numFmt numFmtId="258" formatCode="#,##0%;\-#,##0%;\-\%"/>
    <numFmt numFmtId="259" formatCode="#,##0.0%;\-#,##0.0%;\-\%"/>
    <numFmt numFmtId="260" formatCode="#,##0.00%;\-#,##0.00%;\-\%"/>
    <numFmt numFmtId="261" formatCode="#,##0;\-#,##0;\-\ "/>
    <numFmt numFmtId="262" formatCode="#,##0.0;\-#,##0.0;\-\ "/>
    <numFmt numFmtId="263" formatCode="#,##0.00;\-#,##0.00;\-\ "/>
    <numFmt numFmtId="264" formatCode="#,##0.0\x;\-#,##0.0\x;\-\ "/>
    <numFmt numFmtId="265" formatCode="#,##0.00\x;\-#,##0.00\x;\-\ "/>
    <numFmt numFmtId="266" formatCode="_ * #,##0.00_ ;_ * \-#,##0.00_ ;_ * &quot;-&quot;??_ ;_ @_ "/>
    <numFmt numFmtId="267" formatCode="&quot;₫&quot;&quot; &quot;#,##0_);\(&quot;₫&quot;&quot; &quot;#,##0\);\-_)"/>
    <numFmt numFmtId="268" formatCode="#,##0_);\(#,##0\);\-_)"/>
    <numFmt numFmtId="269" formatCode="0.0%_);\(0.0%\);\-_)"/>
    <numFmt numFmtId="270" formatCode="0.00%_);\(0.00%\);\-_)"/>
    <numFmt numFmtId="271" formatCode="General_)"/>
    <numFmt numFmtId="272" formatCode="\£#,##0_);\(\£#,##0\)"/>
    <numFmt numFmtId="273" formatCode="\•\ \ @"/>
    <numFmt numFmtId="274" formatCode="##,##0.0;\(#,##0.0\)"/>
    <numFmt numFmtId="275" formatCode="m/dd/yy"/>
    <numFmt numFmtId="276" formatCode="mm/dd/yy_)"/>
    <numFmt numFmtId="277" formatCode="#,##0.00&quot;£&quot;_);&quot;\&quot;&quot;\&quot;\(#,##0.00&quot;£&quot;&quot;\&quot;&quot;\&quot;\)"/>
    <numFmt numFmtId="278" formatCode="#,##0.00;\(#,##0.00"/>
    <numFmt numFmtId="279" formatCode="#,##0.00_%_);\(#,##0.00\)_%;**;@_%_)"/>
    <numFmt numFmtId="280" formatCode="#,##0.0\ \ ;[Red]\-#,##0.0\ \ "/>
    <numFmt numFmtId="281" formatCode="&quot;₫&quot;#,##0.00_%_);\(&quot;₫&quot;#,##0.00\)_%;**;@_%_)"/>
    <numFmt numFmtId="282" formatCode="&quot;₫&quot;#,##0.000_%_);\(&quot;₫&quot;#,##0.000\)_%;**;@_%_)"/>
    <numFmt numFmtId="283" formatCode="&quot;₫&quot;#,##0.0_%_);\(&quot;₫&quot;#,##0.0\)_%;**;@_%_)"/>
    <numFmt numFmtId="284" formatCode="#,##0.000"/>
    <numFmt numFmtId="285" formatCode="&quot;₫&quot;#,##0.00_)\ \ ;\(&quot;₫&quot;#,##0.00\)\ \ "/>
    <numFmt numFmtId="286" formatCode="#.##\:\1"/>
    <numFmt numFmtId="287" formatCode="\ \ _•\–\ \ \ \ @"/>
    <numFmt numFmtId="288" formatCode="d\-mmm\-yy_)"/>
    <numFmt numFmtId="289" formatCode="mmm\-yy_)"/>
    <numFmt numFmtId="290" formatCode="m/d/yy_%_);;**"/>
    <numFmt numFmtId="291" formatCode="d&quot;. &quot;m\o\n\ad\ yyyy"/>
    <numFmt numFmtId="292" formatCode="0.0%_);\(0.0%\)_);\-??_)"/>
    <numFmt numFmtId="293" formatCode="&quot;DM &quot;#,##0_);[Red]\(&quot;DM &quot;#,##0\)"/>
    <numFmt numFmtId="294" formatCode="#,#00"/>
    <numFmt numFmtId="295" formatCode="_-* #,##0.0_-;\-* #,##0.0_-;_-* &quot;-&quot;??_-;_-@_-"/>
    <numFmt numFmtId="296" formatCode="&quot;₫&quot;#,##0.0_)\ \ ;\(&quot;₫&quot;#,##0.0\)\ \ "/>
    <numFmt numFmtId="297" formatCode="0.0\ \x\ \ \ \ ;&quot;NM      &quot;;\ 0.0\ \x\ \ \ \ "/>
    <numFmt numFmtId="298" formatCode="0.0%_)\ \ ;\(0.0%\)\ \ "/>
    <numFmt numFmtId="299" formatCode="#.##000"/>
    <numFmt numFmtId="300" formatCode="#,"/>
    <numFmt numFmtId="301" formatCode="&quot;Tk.&quot;#,##0.000"/>
    <numFmt numFmtId="302" formatCode="_-* #,##0.00\ _€_-;\-* #,##0.00\ _€_-;_-* &quot;-&quot;??\ _€_-;_-@_-"/>
    <numFmt numFmtId="303" formatCode="0.000"/>
    <numFmt numFmtId="304" formatCode="_ * #,##0_)\ _F_ ;_ * \(#,##0\)\ _F_ ;_ * &quot;-&quot;_)\ _F_ ;_ @_ "/>
    <numFmt numFmtId="305" formatCode="_ * #,##0.00_)\ _F_ ;_ * \(#,##0.00\)\ _F_ ;_ * &quot;-&quot;??_)\ _F_ ;_ @_ "/>
    <numFmt numFmtId="306" formatCode="_-&quot;₫&quot;* #,##0.00_-;\-&quot;₫&quot;* #,##0.00_-;_-&quot;₫&quot;* &quot;-&quot;??_-;_-@_-"/>
    <numFmt numFmtId="307" formatCode="_ * #,##0_)\ &quot;F&quot;_ ;_ * \(#,##0\)\ &quot;F&quot;_ ;_ * &quot;-&quot;_)\ &quot;F&quot;_ ;_ @_ "/>
    <numFmt numFmtId="308" formatCode="_ * #,##0.00_)\ &quot;F&quot;_ ;_ * \(#,##0.00\)\ &quot;F&quot;_ ;_ * &quot;-&quot;??_)\ &quot;F&quot;_ ;_ @_ "/>
    <numFmt numFmtId="309" formatCode="#,##0.0_x_)_);&quot;NM&quot;_x_)_);#,##0.0_x_)_);@_x_)_)"/>
    <numFmt numFmtId="310" formatCode="#,##0.0_);[Red]\(#,##0.0\)"/>
    <numFmt numFmtId="311" formatCode="_-&quot;₫&quot;\ * #,##0.00_-;_-&quot;₫&quot;\ * #,##0.00\-;_-&quot;₫&quot;\ * &quot;-&quot;??_-;_-@_-"/>
    <numFmt numFmtId="312" formatCode="#,##0.00;\(#,##0.00\)"/>
    <numFmt numFmtId="313" formatCode="#,##0.00_)\ \ ;\(#,##0.00\)\ \ "/>
    <numFmt numFmtId="314" formatCode="#,##0;\-#,##0;&quot;0&quot;"/>
    <numFmt numFmtId="315" formatCode="0.00%_);\(0.00%\)"/>
    <numFmt numFmtId="316" formatCode="0%_);\(0%\)"/>
    <numFmt numFmtId="317" formatCode="&quot;₫&quot;#,##0,_);[Red]\(&quot;₫&quot;#,##0,\ \)"/>
    <numFmt numFmtId="318" formatCode="#,##0.0\%_);\(#,##0.0\%\);#,##0.0\%_);@_)"/>
    <numFmt numFmtId="319" formatCode="0.0%_);\(0.0%\);**;@_%_)"/>
    <numFmt numFmtId="320" formatCode="0%;\(0%\)"/>
    <numFmt numFmtId="321" formatCode="#\ #/#"/>
    <numFmt numFmtId="322" formatCode="mm/dd/yy"/>
    <numFmt numFmtId="323" formatCode="_-* #,##0.00\ _P_t_s_-;\-* #,##0.00\ _P_t_s_-;_-* &quot;-&quot;??\ _P_t_s_-;_-@_-"/>
    <numFmt numFmtId="324" formatCode="mmm\ dd"/>
    <numFmt numFmtId="325" formatCode="#,###,;\(#,###,\)"/>
    <numFmt numFmtId="326" formatCode="_(#,##0_);_(\-#,##0_)"/>
    <numFmt numFmtId="327" formatCode="_(#,##0.00_);_(\-#,##0.00_)"/>
    <numFmt numFmtId="328" formatCode="_(#,##0.0_);_(\-#,##0.0_)"/>
    <numFmt numFmtId="329" formatCode="mmm\ yy"/>
    <numFmt numFmtId="330" formatCode="_(* #,##0_);_(* \(#,##0\)"/>
    <numFmt numFmtId="331" formatCode="00000"/>
    <numFmt numFmtId="332" formatCode="#,##0.00&quot;£&quot;_);[Red]&quot;\&quot;&quot;\&quot;\(#,##0.00&quot;£&quot;&quot;\&quot;&quot;\&quot;\)"/>
    <numFmt numFmtId="333" formatCode="_-* #,##0.00\ &quot;F&quot;_-;\-* #,##0.00\ &quot;F&quot;_-;_-* &quot;-&quot;??\ &quot;F&quot;_-;_-@_-"/>
    <numFmt numFmtId="334" formatCode="\$#,##0\ ;\(\$#,##0\)"/>
    <numFmt numFmtId="335" formatCode="\$#,#00"/>
    <numFmt numFmtId="336" formatCode="&quot;₫&quot;#,##0.0"/>
    <numFmt numFmtId="337" formatCode="&quot;₫&quot;#,##0\ \ \ "/>
    <numFmt numFmtId="338" formatCode="&quot;₫&quot;#,##0\ \ \ \ "/>
    <numFmt numFmtId="339" formatCode="0\ &quot;năm&quot;"/>
    <numFmt numFmtId="340" formatCode="0\ &quot;tháng&quot;"/>
  </numFmts>
  <fonts count="28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  <charset val="163"/>
    </font>
    <font>
      <sz val="12"/>
      <name val="Arial"/>
      <family val="2"/>
      <charset val="163"/>
    </font>
    <font>
      <b/>
      <sz val="12"/>
      <name val="Times New Roman"/>
      <family val="1"/>
    </font>
    <font>
      <sz val="11"/>
      <color theme="1"/>
      <name val="Calibri"/>
      <family val="2"/>
      <charset val="163"/>
      <scheme val="minor"/>
    </font>
    <font>
      <b/>
      <sz val="14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sz val="10"/>
      <color theme="1"/>
      <name val="Calibri"/>
      <family val="2"/>
      <charset val="163"/>
      <scheme val="minor"/>
    </font>
    <font>
      <sz val="10"/>
      <color theme="1"/>
      <name val="Calibri"/>
      <family val="2"/>
      <scheme val="minor"/>
    </font>
    <font>
      <b/>
      <sz val="11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sz val="10"/>
      <color theme="1"/>
      <name val="Times New Roman"/>
      <family val="1"/>
    </font>
    <font>
      <sz val="14"/>
      <color theme="1"/>
      <name val="Times New Roman"/>
      <family val="1"/>
    </font>
    <font>
      <sz val="10"/>
      <color theme="1"/>
      <name val="Arial"/>
      <family val="2"/>
    </font>
    <font>
      <sz val="10.5"/>
      <color theme="1"/>
      <name val="Times New Roman"/>
      <family val="1"/>
    </font>
    <font>
      <b/>
      <sz val="10.5"/>
      <color theme="1"/>
      <name val="Times New Roman"/>
      <family val="1"/>
    </font>
    <font>
      <sz val="11"/>
      <color rgb="FFFF0000"/>
      <name val="Times New Roman"/>
      <family val="1"/>
    </font>
    <font>
      <sz val="11"/>
      <color theme="1"/>
      <name val="Times New Roman"/>
      <family val="2"/>
    </font>
    <font>
      <sz val="10"/>
      <name val="Arial"/>
      <family val="2"/>
    </font>
    <font>
      <sz val="14"/>
      <name val=".VnTime"/>
      <family val="2"/>
    </font>
    <font>
      <sz val="8"/>
      <name val="Times New Roman"/>
      <family val="1"/>
    </font>
    <font>
      <sz val="9"/>
      <name val="Times New Roman"/>
      <family val="1"/>
    </font>
    <font>
      <i/>
      <sz val="11"/>
      <name val="Times New Roman"/>
      <family val="1"/>
    </font>
    <font>
      <b/>
      <sz val="11"/>
      <color theme="1"/>
      <name val="Times New Roman"/>
      <family val="1"/>
    </font>
    <font>
      <sz val="10"/>
      <name val="Arial"/>
      <family val="2"/>
      <charset val="163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3F3F76"/>
      <name val="Calibri"/>
      <family val="2"/>
      <scheme val="minor"/>
    </font>
    <font>
      <sz val="12"/>
      <name val=".VnTime"/>
      <family val="2"/>
    </font>
    <font>
      <sz val="11"/>
      <color theme="1"/>
      <name val="Arial"/>
      <family val="2"/>
    </font>
    <font>
      <sz val="12"/>
      <name val=".VnArial Narrow"/>
      <family val="2"/>
    </font>
    <font>
      <sz val="10"/>
      <name val=".VnArial"/>
      <family val="2"/>
    </font>
    <font>
      <sz val="14"/>
      <color indexed="8"/>
      <name val="Times New Roman"/>
      <family val="2"/>
    </font>
    <font>
      <sz val="12"/>
      <color theme="1"/>
      <name val="Times New Roman"/>
      <family val="2"/>
    </font>
    <font>
      <sz val="13"/>
      <color theme="1"/>
      <name val="Times New Roman"/>
      <family val="2"/>
    </font>
    <font>
      <sz val="10"/>
      <color theme="1" tint="0.499984740745262"/>
      <name val="Calibri"/>
      <family val="2"/>
      <scheme val="minor"/>
    </font>
    <font>
      <u/>
      <sz val="11"/>
      <color theme="10"/>
      <name val="Times New Roman"/>
      <family val="2"/>
    </font>
    <font>
      <i/>
      <sz val="11"/>
      <color theme="1"/>
      <name val="Times New Roman"/>
      <family val="1"/>
    </font>
    <font>
      <sz val="8"/>
      <name val="Calibri"/>
      <family val="2"/>
      <scheme val="minor"/>
    </font>
    <font>
      <b/>
      <sz val="14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9"/>
      <color indexed="9"/>
      <name val="Arial"/>
      <family val="2"/>
    </font>
    <font>
      <sz val="8"/>
      <name val="Arial"/>
      <family val="2"/>
    </font>
    <font>
      <b/>
      <u val="singleAccounting"/>
      <sz val="9"/>
      <color indexed="9"/>
      <name val="Arial"/>
      <family val="2"/>
    </font>
    <font>
      <sz val="7"/>
      <color indexed="8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b/>
      <sz val="11"/>
      <name val="Arial"/>
      <family val="2"/>
    </font>
    <font>
      <b/>
      <i/>
      <sz val="9"/>
      <name val="Arial"/>
      <family val="2"/>
    </font>
    <font>
      <sz val="11"/>
      <name val=".VnTime"/>
      <family val="2"/>
    </font>
    <font>
      <sz val="12"/>
      <name val="VNI-Times"/>
    </font>
    <font>
      <sz val="12"/>
      <color indexed="8"/>
      <name val="Times New Roman"/>
      <family val="1"/>
    </font>
    <font>
      <sz val="12"/>
      <name val="新細明體"/>
      <family val="1"/>
      <charset val="136"/>
    </font>
    <font>
      <sz val="10"/>
      <name val="Arial MT"/>
      <family val="2"/>
    </font>
    <font>
      <sz val="10"/>
      <name val="Courier"/>
      <family val="3"/>
    </font>
    <font>
      <sz val="10"/>
      <color indexed="16"/>
      <name val="Credit Suisse Type Roman"/>
      <family val="2"/>
    </font>
    <font>
      <sz val="12"/>
      <name val="Weiss"/>
    </font>
    <font>
      <sz val="12"/>
      <name val="돋움체"/>
      <family val="3"/>
      <charset val="129"/>
    </font>
    <font>
      <sz val="10"/>
      <name val="Geneva"/>
      <family val="2"/>
    </font>
    <font>
      <sz val="10"/>
      <name val="GillSans"/>
      <family val="1"/>
    </font>
    <font>
      <b/>
      <sz val="8.5"/>
      <name val="LinePrinter"/>
      <family val="2"/>
    </font>
    <font>
      <sz val="10"/>
      <color indexed="8"/>
      <name val="MS Sans Serif"/>
      <family val="2"/>
    </font>
    <font>
      <sz val="10"/>
      <name val="Times New Roman"/>
      <family val="1"/>
      <charset val="163"/>
    </font>
    <font>
      <sz val="12"/>
      <color indexed="12"/>
      <name val="Times New Roman"/>
      <family val="1"/>
    </font>
    <font>
      <sz val="8"/>
      <color indexed="16"/>
      <name val="Arial"/>
      <family val="2"/>
    </font>
    <font>
      <sz val="12"/>
      <name val="Times New Roman"/>
      <family val="1"/>
      <charset val="163"/>
    </font>
    <font>
      <sz val="10"/>
      <color indexed="16"/>
      <name val="Arial"/>
      <family val="2"/>
      <charset val="163"/>
    </font>
    <font>
      <sz val="9"/>
      <name val="ﾀﾞｯﾁ"/>
      <family val="3"/>
      <charset val="128"/>
    </font>
    <font>
      <sz val="10"/>
      <name val="?? ??"/>
      <family val="1"/>
      <charset val="136"/>
    </font>
    <font>
      <sz val="10"/>
      <name val="VNI-Times"/>
    </font>
    <font>
      <u/>
      <sz val="8.4"/>
      <color indexed="12"/>
      <name val="Arial"/>
      <family val="2"/>
    </font>
    <font>
      <sz val="12"/>
      <name val="????"/>
      <family val="1"/>
      <charset val="136"/>
    </font>
    <font>
      <sz val="12"/>
      <name val="Courier"/>
      <family val="3"/>
    </font>
    <font>
      <sz val="10"/>
      <name val="???"/>
      <family val="3"/>
    </font>
    <font>
      <sz val="12"/>
      <name val="|??¢¥¢¬¨Ï"/>
      <family val="1"/>
      <charset val="129"/>
    </font>
    <font>
      <b/>
      <sz val="9"/>
      <name val="Arial"/>
      <family val="2"/>
    </font>
    <font>
      <sz val="10"/>
      <name val="Helv"/>
    </font>
    <font>
      <sz val="12"/>
      <name val=".VnArial"/>
      <family val="2"/>
    </font>
    <font>
      <sz val="12"/>
      <name val="VNTime"/>
    </font>
    <font>
      <sz val="10"/>
      <name val="Helv"/>
      <family val="2"/>
    </font>
    <font>
      <sz val="10"/>
      <name val="MS Sans Serif"/>
      <family val="2"/>
    </font>
    <font>
      <sz val="10"/>
      <color indexed="9"/>
      <name val="Arial"/>
      <family val="2"/>
      <charset val="163"/>
    </font>
    <font>
      <sz val="10"/>
      <color indexed="8"/>
      <name val="Arial"/>
      <family val="2"/>
      <charset val="163"/>
    </font>
    <font>
      <sz val="10"/>
      <color indexed="15"/>
      <name val="Arial"/>
      <family val="2"/>
      <charset val="163"/>
    </font>
    <font>
      <sz val="10"/>
      <color indexed="18"/>
      <name val="Arial"/>
      <family val="2"/>
    </font>
    <font>
      <sz val="10"/>
      <name val=".VnTime"/>
      <family val="2"/>
    </font>
    <font>
      <sz val="10"/>
      <color indexed="12"/>
      <name val="False"/>
    </font>
    <font>
      <sz val="10"/>
      <color indexed="9"/>
      <name val="False"/>
    </font>
    <font>
      <b/>
      <sz val="22"/>
      <color indexed="18"/>
      <name val="Arial"/>
      <family val="2"/>
    </font>
    <font>
      <b/>
      <sz val="10"/>
      <color indexed="18"/>
      <name val="Times New Roman"/>
      <family val="1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sz val="11"/>
      <name val="–¾’©"/>
      <family val="1"/>
      <charset val="128"/>
    </font>
    <font>
      <sz val="10"/>
      <color indexed="8"/>
      <name val="Palatino"/>
      <family val="1"/>
    </font>
    <font>
      <b/>
      <sz val="11"/>
      <name val="Book Antiqua"/>
      <family val="1"/>
    </font>
    <font>
      <b/>
      <u/>
      <sz val="14"/>
      <color indexed="8"/>
      <name val=".VnBook-AntiquaH"/>
      <family val="2"/>
    </font>
    <font>
      <sz val="12"/>
      <name val="Arial"/>
      <family val="2"/>
    </font>
    <font>
      <sz val="8"/>
      <name val="Arial"/>
      <family val="2"/>
      <charset val="163"/>
    </font>
    <font>
      <sz val="12"/>
      <name val="¹ÙÅÁÃ¼"/>
      <charset val="129"/>
    </font>
    <font>
      <i/>
      <sz val="12"/>
      <color indexed="8"/>
      <name val=".VnBook-AntiquaH"/>
      <family val="2"/>
    </font>
    <font>
      <sz val="11"/>
      <color indexed="8"/>
      <name val="Calibri"/>
      <family val="2"/>
    </font>
    <font>
      <sz val="12"/>
      <name val="Arial Cyr"/>
    </font>
    <font>
      <b/>
      <sz val="12"/>
      <color indexed="8"/>
      <name val=".VnBook-Antiqua"/>
      <family val="2"/>
    </font>
    <font>
      <i/>
      <sz val="12"/>
      <color indexed="8"/>
      <name val=".VnBook-Antiqua"/>
      <family val="2"/>
    </font>
    <font>
      <sz val="14"/>
      <name val=".VnTimeH"/>
      <family val="2"/>
    </font>
    <font>
      <sz val="11"/>
      <color indexed="9"/>
      <name val="Calibri"/>
      <family val="2"/>
    </font>
    <font>
      <sz val="12"/>
      <name val="Arial MT"/>
    </font>
    <font>
      <u val="singleAccounting"/>
      <sz val="10"/>
      <name val="Times New Roman"/>
      <family val="1"/>
    </font>
    <font>
      <b/>
      <sz val="8"/>
      <name val="Tms Rmn"/>
    </font>
    <font>
      <sz val="11"/>
      <name val="±¼¸²Ã¼"/>
      <family val="3"/>
      <charset val="129"/>
    </font>
    <font>
      <sz val="12"/>
      <name val="¹UAAA¼"/>
      <family val="3"/>
      <charset val="129"/>
    </font>
    <font>
      <sz val="8"/>
      <name val="Times"/>
      <family val="1"/>
    </font>
    <font>
      <sz val="8"/>
      <color indexed="8"/>
      <name val="Times New Roman"/>
      <family val="1"/>
    </font>
    <font>
      <sz val="9"/>
      <name val="ＭＳ ゴシック"/>
      <family val="3"/>
      <charset val="128"/>
    </font>
    <font>
      <sz val="10"/>
      <color indexed="9"/>
      <name val="Tahoma"/>
      <family val="2"/>
    </font>
    <font>
      <b/>
      <sz val="11"/>
      <color indexed="63"/>
      <name val="Calibri"/>
      <family val="2"/>
    </font>
    <font>
      <sz val="11"/>
      <name val=".VnArial"/>
      <family val="2"/>
    </font>
    <font>
      <sz val="12"/>
      <color indexed="8"/>
      <name val="Times New Roman"/>
      <family val="1"/>
      <charset val="163"/>
    </font>
    <font>
      <sz val="10"/>
      <color indexed="24"/>
      <name val="Arial"/>
      <family val="2"/>
    </font>
    <font>
      <sz val="10"/>
      <color indexed="12"/>
      <name val="Arial"/>
      <family val="2"/>
      <charset val="163"/>
    </font>
    <font>
      <sz val="11"/>
      <color indexed="20"/>
      <name val="Calibri"/>
      <family val="2"/>
    </font>
    <font>
      <b/>
      <i/>
      <sz val="14"/>
      <name val="VNTime"/>
      <family val="2"/>
    </font>
    <font>
      <b/>
      <sz val="11"/>
      <color indexed="52"/>
      <name val="Calibri"/>
      <family val="2"/>
    </font>
    <font>
      <sz val="10"/>
      <color indexed="8"/>
      <name val="Times New Roman"/>
      <family val="1"/>
    </font>
    <font>
      <sz val="8"/>
      <color indexed="12"/>
      <name val="Tms Rmn"/>
      <family val="1"/>
    </font>
    <font>
      <sz val="12"/>
      <name val="Tms Rmn"/>
    </font>
    <font>
      <b/>
      <sz val="9"/>
      <name val="Helv"/>
    </font>
    <font>
      <b/>
      <sz val="12"/>
      <name val="Palatino"/>
      <family val="1"/>
    </font>
    <font>
      <u val="singleAccounting"/>
      <sz val="10"/>
      <name val="Arial"/>
      <family val="2"/>
    </font>
    <font>
      <b/>
      <sz val="10"/>
      <color indexed="8"/>
      <name val="Times New Roman"/>
      <family val="1"/>
    </font>
    <font>
      <sz val="8"/>
      <color indexed="12"/>
      <name val="Helv"/>
      <family val="2"/>
    </font>
    <font>
      <sz val="12"/>
      <name val="Helv"/>
    </font>
    <font>
      <sz val="9"/>
      <color indexed="8"/>
      <name val="Helvetica-Narrow"/>
      <family val="2"/>
    </font>
    <font>
      <sz val="8"/>
      <name val="Tms Rmn"/>
    </font>
    <font>
      <sz val="10"/>
      <color indexed="18"/>
      <name val="Times New Roman"/>
      <family val="1"/>
    </font>
    <font>
      <sz val="9"/>
      <color indexed="9"/>
      <name val="Times New Roman"/>
      <family val="1"/>
    </font>
    <font>
      <b/>
      <sz val="14"/>
      <color indexed="21"/>
      <name val="Tms Rmn"/>
    </font>
    <font>
      <b/>
      <sz val="11"/>
      <color indexed="9"/>
      <name val="Calibri"/>
      <family val="2"/>
    </font>
    <font>
      <b/>
      <sz val="8"/>
      <name val="Book Antiqua"/>
      <family val="1"/>
    </font>
    <font>
      <b/>
      <sz val="12"/>
      <name val="Arial"/>
      <family val="2"/>
    </font>
    <font>
      <b/>
      <u val="singleAccounting"/>
      <sz val="8"/>
      <name val="Arial"/>
      <family val="2"/>
    </font>
    <font>
      <sz val="8"/>
      <name val="Palatino"/>
      <family val="1"/>
    </font>
    <font>
      <sz val="10"/>
      <name val="Tms Rmn"/>
    </font>
    <font>
      <sz val="8"/>
      <color indexed="8"/>
      <name val="HelveticaNeue LT 45 Lt"/>
      <family val="2"/>
    </font>
    <font>
      <sz val="11"/>
      <name val="VNHelvet"/>
    </font>
    <font>
      <sz val="11"/>
      <color indexed="8"/>
      <name val="Arial"/>
      <family val="2"/>
    </font>
    <font>
      <sz val="10"/>
      <color indexed="12"/>
      <name val="Book Antiqua"/>
      <family val="1"/>
    </font>
    <font>
      <sz val="10"/>
      <name val="Book Antiqua"/>
      <family val="1"/>
    </font>
    <font>
      <sz val="8"/>
      <color indexed="16"/>
      <name val="MS Sans Serif"/>
      <family val="2"/>
    </font>
    <font>
      <sz val="10"/>
      <name val="MS Serif"/>
      <family val="1"/>
    </font>
    <font>
      <sz val="11"/>
      <color indexed="12"/>
      <name val="Book Antiqua"/>
      <family val="1"/>
    </font>
    <font>
      <sz val="8"/>
      <color indexed="16"/>
      <name val="Palatino"/>
      <family val="1"/>
    </font>
    <font>
      <sz val="10"/>
      <color indexed="8"/>
      <name val="Arial"/>
      <family val="2"/>
    </font>
    <font>
      <sz val="1"/>
      <color indexed="8"/>
      <name val="Courier"/>
      <family val="3"/>
    </font>
    <font>
      <sz val="10"/>
      <name val="Times New Roman"/>
      <family val="1"/>
      <charset val="177"/>
    </font>
    <font>
      <sz val="8"/>
      <color indexed="14"/>
      <name val="Times New Roman"/>
      <family val="1"/>
    </font>
    <font>
      <u val="doubleAccounting"/>
      <sz val="10"/>
      <name val="Arial"/>
      <family val="2"/>
    </font>
    <font>
      <sz val="5"/>
      <name val="Arial"/>
      <family val="2"/>
    </font>
    <font>
      <sz val="11"/>
      <color indexed="62"/>
      <name val="Calibri"/>
      <family val="2"/>
    </font>
    <font>
      <sz val="11"/>
      <color indexed="12"/>
      <name val="Arial"/>
      <family val="2"/>
    </font>
    <font>
      <sz val="10"/>
      <color indexed="16"/>
      <name val="MS Serif"/>
      <family val="1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b/>
      <sz val="10"/>
      <color indexed="42"/>
      <name val="Arial"/>
      <family val="2"/>
    </font>
    <font>
      <i/>
      <sz val="8"/>
      <name val="Tms Rmn"/>
    </font>
    <font>
      <sz val="14"/>
      <color indexed="22"/>
      <name val="Arial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name val="Tms Rmn"/>
    </font>
    <font>
      <b/>
      <sz val="12"/>
      <name val="Tms Rmn"/>
    </font>
    <font>
      <b/>
      <sz val="8"/>
      <name val="MS Sans Serif"/>
      <family val="2"/>
    </font>
    <font>
      <i/>
      <sz val="8"/>
      <color indexed="56"/>
      <name val="Verdana"/>
      <family val="2"/>
    </font>
    <font>
      <sz val="10"/>
      <color indexed="12"/>
      <name val="Arial"/>
      <family val="2"/>
    </font>
    <font>
      <u/>
      <sz val="10"/>
      <color indexed="12"/>
      <name val="Arial"/>
      <family val="2"/>
    </font>
    <font>
      <u/>
      <sz val="10"/>
      <color indexed="36"/>
      <name val="Arial"/>
      <family val="2"/>
    </font>
    <font>
      <sz val="8"/>
      <color indexed="12"/>
      <name val="Palatino"/>
      <family val="1"/>
    </font>
    <font>
      <b/>
      <sz val="1"/>
      <color indexed="8"/>
      <name val="Courier"/>
      <family val="3"/>
    </font>
    <font>
      <b/>
      <sz val="9"/>
      <name val="Arial Narrow"/>
      <family val="2"/>
    </font>
    <font>
      <b/>
      <sz val="12"/>
      <name val="Arial Narrow"/>
      <family val="2"/>
    </font>
    <font>
      <sz val="10"/>
      <name val="Arial Narrow"/>
      <family val="2"/>
    </font>
    <font>
      <b/>
      <sz val="10"/>
      <name val="Arial Narrow"/>
      <family val="2"/>
    </font>
    <font>
      <sz val="11"/>
      <name val="Arial Narrow"/>
      <family val="2"/>
    </font>
    <font>
      <b/>
      <sz val="11"/>
      <name val="Arial Narrow"/>
      <family val="2"/>
    </font>
    <font>
      <sz val="11"/>
      <color indexed="52"/>
      <name val="Calibri"/>
      <family val="2"/>
    </font>
    <font>
      <sz val="12"/>
      <color indexed="9"/>
      <name val="Helv"/>
    </font>
    <font>
      <sz val="9"/>
      <name val="Book Antiqua"/>
      <family val="1"/>
    </font>
    <font>
      <sz val="10"/>
      <name val="Palatino"/>
      <family val="1"/>
    </font>
    <font>
      <sz val="10"/>
      <color indexed="9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sz val="6"/>
      <name val="TimesNewRomanPS"/>
    </font>
    <font>
      <sz val="8"/>
      <name val="TimesNewRomanPS"/>
    </font>
    <font>
      <b/>
      <sz val="8"/>
      <name val="TimesNewRomanPS"/>
    </font>
    <font>
      <sz val="11"/>
      <name val="CG Times"/>
      <family val="1"/>
    </font>
    <font>
      <sz val="10"/>
      <name val="Trebuchet MS"/>
      <family val="2"/>
    </font>
    <font>
      <sz val="10"/>
      <color indexed="12"/>
      <name val="Times New Roman"/>
      <family val="1"/>
    </font>
    <font>
      <sz val="10"/>
      <name val="Arial CE"/>
      <family val="2"/>
    </font>
    <font>
      <sz val="10"/>
      <color indexed="8"/>
      <name val="바탕"/>
      <family val="2"/>
      <charset val="129"/>
    </font>
    <font>
      <b/>
      <i/>
      <sz val="10"/>
      <color indexed="8"/>
      <name val="Arial"/>
      <family val="2"/>
    </font>
    <font>
      <b/>
      <sz val="10"/>
      <color indexed="9"/>
      <name val="Arial"/>
      <family val="2"/>
    </font>
    <font>
      <b/>
      <sz val="10"/>
      <color indexed="17"/>
      <name val="Arial"/>
      <family val="2"/>
    </font>
    <font>
      <b/>
      <sz val="10"/>
      <color indexed="13"/>
      <name val="Arial"/>
      <family val="2"/>
    </font>
    <font>
      <b/>
      <sz val="26"/>
      <name val="Times New Roman"/>
      <family val="1"/>
    </font>
    <font>
      <b/>
      <sz val="18"/>
      <name val="Times New Roman"/>
      <family val="1"/>
    </font>
    <font>
      <sz val="10"/>
      <color indexed="16"/>
      <name val="Helvetica-Black"/>
    </font>
    <font>
      <sz val="9"/>
      <name val="Helv"/>
    </font>
    <font>
      <sz val="12"/>
      <color theme="1"/>
      <name val="Calibri"/>
      <family val="1"/>
      <charset val="136"/>
      <scheme val="minor"/>
    </font>
    <font>
      <sz val="8"/>
      <name val="Univers (WN)"/>
      <family val="2"/>
    </font>
    <font>
      <sz val="12"/>
      <name val="Benguiat Bk BT"/>
      <family val="1"/>
    </font>
    <font>
      <b/>
      <sz val="10"/>
      <name val="MS Sans Serif"/>
      <family val="2"/>
    </font>
    <font>
      <sz val="8"/>
      <name val="Wingdings"/>
      <charset val="2"/>
    </font>
    <font>
      <sz val="8"/>
      <name val="Helv"/>
    </font>
    <font>
      <b/>
      <i/>
      <sz val="12"/>
      <color indexed="9"/>
      <name val="Arial"/>
      <family val="2"/>
    </font>
    <font>
      <sz val="9"/>
      <color indexed="8"/>
      <name val="Times New Roman"/>
      <family val="1"/>
    </font>
    <font>
      <sz val="10"/>
      <name val="Futura UBS Bk"/>
      <family val="2"/>
    </font>
    <font>
      <b/>
      <sz val="16"/>
      <color indexed="16"/>
      <name val="Arial"/>
      <family val="2"/>
    </font>
    <font>
      <sz val="8"/>
      <name val="MS Sans Serif"/>
      <family val="2"/>
    </font>
    <font>
      <i/>
      <sz val="8"/>
      <name val="Times New Roman"/>
      <family val="1"/>
    </font>
    <font>
      <b/>
      <sz val="12"/>
      <color indexed="10"/>
      <name val="Swis721 Cn BT"/>
      <family val="2"/>
    </font>
    <font>
      <b/>
      <sz val="12"/>
      <color indexed="10"/>
      <name val="Helv"/>
    </font>
    <font>
      <b/>
      <sz val="11"/>
      <color indexed="9"/>
      <name val="Arial"/>
      <family val="2"/>
    </font>
    <font>
      <b/>
      <sz val="10"/>
      <color indexed="8"/>
      <name val="Arial"/>
      <family val="2"/>
    </font>
    <font>
      <sz val="12"/>
      <color indexed="8"/>
      <name val="Arial"/>
      <family val="2"/>
    </font>
    <font>
      <b/>
      <sz val="8"/>
      <color indexed="17"/>
      <name val="Arial"/>
      <family val="2"/>
    </font>
    <font>
      <b/>
      <sz val="8"/>
      <color indexed="8"/>
      <name val="Helv"/>
    </font>
    <font>
      <b/>
      <sz val="9"/>
      <name val="Palatino"/>
      <family val="1"/>
    </font>
    <font>
      <sz val="9"/>
      <color indexed="21"/>
      <name val="Helvetica-Black"/>
    </font>
    <font>
      <b/>
      <sz val="10"/>
      <name val="Palatino"/>
      <family val="1"/>
    </font>
    <font>
      <b/>
      <sz val="12"/>
      <color indexed="60"/>
      <name val="Swis721 Cn BT"/>
      <family val="2"/>
    </font>
    <font>
      <sz val="9"/>
      <name val="Palatino"/>
      <family val="1"/>
    </font>
    <font>
      <sz val="12"/>
      <color indexed="8"/>
      <name val="Palatino"/>
      <family val="1"/>
    </font>
    <font>
      <sz val="11"/>
      <name val="Helvetica-Black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i/>
      <sz val="16"/>
      <color indexed="48"/>
      <name val="Photina Casual Black"/>
      <family val="1"/>
    </font>
    <font>
      <b/>
      <sz val="8"/>
      <name val="Palatino"/>
      <family val="1"/>
    </font>
    <font>
      <sz val="8"/>
      <color indexed="12"/>
      <name val="Arial"/>
      <family val="2"/>
    </font>
    <font>
      <sz val="9"/>
      <color indexed="21"/>
      <name val="Helv"/>
    </font>
    <font>
      <sz val="11"/>
      <color indexed="10"/>
      <name val="Calibri"/>
      <family val="2"/>
    </font>
    <font>
      <sz val="11"/>
      <name val="ZapfCalligr BT"/>
      <family val="1"/>
    </font>
    <font>
      <sz val="18"/>
      <color indexed="22"/>
      <name val="Times New Roman"/>
      <family val="1"/>
    </font>
    <font>
      <sz val="12"/>
      <color indexed="22"/>
      <name val="Arial"/>
      <family val="2"/>
    </font>
    <font>
      <b/>
      <sz val="18"/>
      <color indexed="56"/>
      <name val="Cambria"/>
      <family val="1"/>
    </font>
    <font>
      <sz val="10"/>
      <name val="돋움"/>
      <family val="3"/>
      <charset val="129"/>
    </font>
    <font>
      <sz val="12"/>
      <name val="바탕체"/>
      <family val="3"/>
      <charset val="129"/>
    </font>
    <font>
      <sz val="12"/>
      <name val="宋体"/>
      <charset val="134"/>
    </font>
    <font>
      <sz val="11"/>
      <color indexed="17"/>
      <name val="宋体"/>
      <charset val="134"/>
    </font>
    <font>
      <sz val="11"/>
      <color indexed="20"/>
      <name val="宋体"/>
      <charset val="134"/>
    </font>
    <font>
      <sz val="12"/>
      <name val="ＭＳ Ｐゴシック"/>
      <family val="3"/>
      <charset val="128"/>
    </font>
    <font>
      <i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b/>
      <i/>
      <sz val="11"/>
      <name val="Times New Roman"/>
      <family val="1"/>
    </font>
    <font>
      <b/>
      <sz val="16"/>
      <color theme="1"/>
      <name val="Times New Roman"/>
      <family val="1"/>
    </font>
    <font>
      <b/>
      <sz val="18"/>
      <color theme="1"/>
      <name val="Times New Roman"/>
      <family val="1"/>
    </font>
    <font>
      <b/>
      <sz val="20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Aptos Narrow"/>
      <family val="2"/>
    </font>
    <font>
      <b/>
      <sz val="10"/>
      <color rgb="FFFFFFFF"/>
      <name val="Aptos Narrow"/>
      <family val="2"/>
    </font>
    <font>
      <b/>
      <sz val="10"/>
      <color theme="1"/>
      <name val="Aptos Narrow"/>
      <family val="2"/>
    </font>
    <font>
      <sz val="10"/>
      <name val="Aptos Narrow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0" tint="-0.14999847407452621"/>
      <name val="Times New Roman"/>
      <family val="1"/>
    </font>
    <font>
      <sz val="10"/>
      <color theme="0" tint="-0.14999847407452621"/>
      <name val="Times New Roman"/>
      <family val="1"/>
    </font>
    <font>
      <b/>
      <sz val="12"/>
      <color theme="2"/>
      <name val="Times New Roman"/>
      <family val="1"/>
    </font>
    <font>
      <sz val="12"/>
      <color rgb="FFFF0000"/>
      <name val="Times New Roman"/>
      <family val="1"/>
    </font>
  </fonts>
  <fills count="7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99"/>
      </patternFill>
    </fill>
    <fill>
      <patternFill patternType="solid">
        <fgColor theme="3" tint="9.9948118533890809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92D4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</patternFill>
    </fill>
    <fill>
      <patternFill patternType="solid">
        <fgColor indexed="18"/>
      </patternFill>
    </fill>
    <fill>
      <patternFill patternType="solid">
        <fgColor indexed="19"/>
      </patternFill>
    </fill>
    <fill>
      <patternFill patternType="solid">
        <fgColor indexed="10"/>
      </patternFill>
    </fill>
    <fill>
      <patternFill patternType="solid">
        <fgColor indexed="11"/>
      </patternFill>
    </fill>
    <fill>
      <patternFill patternType="solid">
        <fgColor indexed="13"/>
      </patternFill>
    </fill>
    <fill>
      <patternFill patternType="solid">
        <fgColor indexed="14"/>
      </patternFill>
    </fill>
    <fill>
      <patternFill patternType="solid">
        <fgColor indexed="15"/>
      </patternFill>
    </fill>
    <fill>
      <patternFill patternType="solid">
        <fgColor indexed="20"/>
      </patternFill>
    </fill>
    <fill>
      <patternFill patternType="solid">
        <fgColor indexed="16"/>
      </patternFill>
    </fill>
    <fill>
      <patternFill patternType="solid">
        <fgColor indexed="9"/>
      </patternFill>
    </fill>
    <fill>
      <patternFill patternType="solid">
        <fgColor indexed="21"/>
      </patternFill>
    </fill>
    <fill>
      <patternFill patternType="solid">
        <fgColor indexed="47"/>
      </patternFill>
    </fill>
    <fill>
      <patternFill patternType="solid">
        <fgColor indexed="17"/>
      </patternFill>
    </fill>
    <fill>
      <patternFill patternType="solid">
        <fgColor indexed="43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13"/>
        <bgColor indexed="64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43"/>
        <bgColor indexed="64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22"/>
      </patternFill>
    </fill>
    <fill>
      <patternFill patternType="lightGray">
        <fgColor indexed="15"/>
      </patternFill>
    </fill>
    <fill>
      <patternFill patternType="solid">
        <fgColor indexed="63"/>
        <bgColor indexed="64"/>
      </patternFill>
    </fill>
    <fill>
      <patternFill patternType="solid">
        <fgColor indexed="55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26"/>
        <bgColor indexed="64"/>
      </patternFill>
    </fill>
    <fill>
      <patternFill patternType="lightGray">
        <bgColor indexed="27"/>
      </patternFill>
    </fill>
    <fill>
      <patternFill patternType="solid">
        <fgColor indexed="49"/>
        <bgColor indexed="64"/>
      </patternFill>
    </fill>
    <fill>
      <patternFill patternType="solid">
        <fgColor indexed="33"/>
        <bgColor indexed="64"/>
      </patternFill>
    </fill>
    <fill>
      <patternFill patternType="solid">
        <fgColor indexed="26"/>
      </patternFill>
    </fill>
    <fill>
      <patternFill patternType="lightGray">
        <fgColor indexed="38"/>
        <bgColor indexed="23"/>
      </patternFill>
    </fill>
    <fill>
      <patternFill patternType="mediumGray">
        <fgColor indexed="22"/>
      </patternFill>
    </fill>
    <fill>
      <patternFill patternType="darkVertical"/>
    </fill>
    <fill>
      <patternFill patternType="solid">
        <fgColor indexed="8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DC393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6E3FF"/>
        <bgColor indexed="64"/>
      </patternFill>
    </fill>
    <fill>
      <patternFill patternType="solid">
        <fgColor rgb="FFFFC000"/>
        <bgColor indexed="64"/>
      </patternFill>
    </fill>
  </fills>
  <borders count="4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theme="8" tint="-0.24994659260841701"/>
      </top>
      <bottom style="thin">
        <color theme="8" tint="-0.2499465926084170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dotted">
        <color indexed="64"/>
      </bottom>
      <diagonal/>
    </border>
    <border>
      <left/>
      <right/>
      <top/>
      <bottom style="hair">
        <color auto="1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55"/>
      </right>
      <top style="thin">
        <color indexed="9"/>
      </top>
      <bottom style="thin">
        <color indexed="55"/>
      </bottom>
      <diagonal/>
    </border>
    <border>
      <left/>
      <right/>
      <top/>
      <bottom style="thin">
        <color indexed="1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auto="1"/>
      </bottom>
      <diagonal/>
    </border>
    <border>
      <left style="double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indexed="12"/>
      </left>
      <right style="thick">
        <color indexed="12"/>
      </right>
      <top style="thick">
        <color indexed="12"/>
      </top>
      <bottom style="thick">
        <color indexed="1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dotted">
        <color indexed="55"/>
      </bottom>
      <diagonal/>
    </border>
    <border>
      <left/>
      <right/>
      <top/>
      <bottom style="double">
        <color indexed="55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/>
      <bottom/>
      <diagonal/>
    </border>
    <border>
      <left/>
      <right style="thin">
        <color indexed="22"/>
      </right>
      <top/>
      <bottom/>
      <diagonal/>
    </border>
    <border>
      <left/>
      <right/>
      <top style="thin">
        <color indexed="22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22"/>
      </left>
      <right/>
      <top style="thin">
        <color indexed="22"/>
      </top>
      <bottom/>
      <diagonal/>
    </border>
    <border>
      <left/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/>
      <top/>
      <bottom style="thin">
        <color indexed="22"/>
      </bottom>
      <diagonal/>
    </border>
    <border>
      <left/>
      <right style="thin">
        <color indexed="22"/>
      </right>
      <top/>
      <bottom style="thin">
        <color indexed="22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dotted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55"/>
      </right>
      <top style="thin">
        <color indexed="9"/>
      </top>
      <bottom style="thin">
        <color indexed="55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22"/>
      </left>
      <right/>
      <top style="thin">
        <color indexed="22"/>
      </top>
      <bottom/>
      <diagonal/>
    </border>
    <border>
      <left/>
      <right style="thin">
        <color indexed="22"/>
      </right>
      <top style="thin">
        <color indexed="2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55"/>
      </right>
      <top style="thin">
        <color indexed="9"/>
      </top>
      <bottom style="thin">
        <color indexed="55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55"/>
      </right>
      <top style="thin">
        <color indexed="9"/>
      </top>
      <bottom style="thin">
        <color indexed="55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 style="thin">
        <color indexed="22"/>
      </left>
      <right/>
      <top style="thin">
        <color indexed="22"/>
      </top>
      <bottom/>
      <diagonal/>
    </border>
    <border>
      <left/>
      <right style="thin">
        <color indexed="22"/>
      </right>
      <top style="thin">
        <color indexed="22"/>
      </top>
      <bottom/>
      <diagonal/>
    </border>
    <border>
      <left style="thin">
        <color indexed="9"/>
      </left>
      <right style="thin">
        <color indexed="55"/>
      </right>
      <top style="thin">
        <color indexed="9"/>
      </top>
      <bottom style="thin">
        <color indexed="55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 style="thin">
        <color indexed="22"/>
      </left>
      <right/>
      <top style="thin">
        <color indexed="22"/>
      </top>
      <bottom/>
      <diagonal/>
    </border>
    <border>
      <left/>
      <right style="thin">
        <color indexed="22"/>
      </right>
      <top style="thin">
        <color indexed="22"/>
      </top>
      <bottom/>
      <diagonal/>
    </border>
    <border>
      <left style="thin">
        <color indexed="9"/>
      </left>
      <right style="thin">
        <color indexed="55"/>
      </right>
      <top style="thin">
        <color indexed="9"/>
      </top>
      <bottom style="thin">
        <color indexed="55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22"/>
      </left>
      <right/>
      <top style="thin">
        <color indexed="22"/>
      </top>
      <bottom/>
      <diagonal/>
    </border>
    <border>
      <left/>
      <right style="thin">
        <color indexed="22"/>
      </right>
      <top style="thin">
        <color indexed="22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55"/>
      </right>
      <top style="thin">
        <color indexed="9"/>
      </top>
      <bottom style="thin">
        <color indexed="55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55"/>
      </right>
      <top style="thin">
        <color indexed="9"/>
      </top>
      <bottom style="thin">
        <color indexed="55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 style="thin">
        <color indexed="22"/>
      </left>
      <right/>
      <top style="thin">
        <color indexed="22"/>
      </top>
      <bottom/>
      <diagonal/>
    </border>
    <border>
      <left/>
      <right style="thin">
        <color indexed="22"/>
      </right>
      <top style="thin">
        <color indexed="22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indexed="9"/>
      </left>
      <right style="thin">
        <color indexed="55"/>
      </right>
      <top style="thin">
        <color indexed="9"/>
      </top>
      <bottom style="thin">
        <color indexed="55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indexed="9"/>
      </left>
      <right style="thin">
        <color indexed="55"/>
      </right>
      <top style="thin">
        <color indexed="9"/>
      </top>
      <bottom style="thin">
        <color indexed="55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indexed="9"/>
      </left>
      <right style="thin">
        <color indexed="55"/>
      </right>
      <top style="thin">
        <color indexed="9"/>
      </top>
      <bottom style="thin">
        <color indexed="55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22"/>
      </left>
      <right/>
      <top style="thin">
        <color indexed="22"/>
      </top>
      <bottom/>
      <diagonal/>
    </border>
    <border>
      <left/>
      <right style="thin">
        <color indexed="22"/>
      </right>
      <top style="thin">
        <color indexed="22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55"/>
      </right>
      <top style="thin">
        <color indexed="9"/>
      </top>
      <bottom style="thin">
        <color indexed="55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 style="thin">
        <color indexed="22"/>
      </left>
      <right/>
      <top style="thin">
        <color indexed="22"/>
      </top>
      <bottom/>
      <diagonal/>
    </border>
    <border>
      <left/>
      <right style="thin">
        <color indexed="22"/>
      </right>
      <top style="thin">
        <color indexed="22"/>
      </top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indexed="9"/>
      </left>
      <right style="thin">
        <color indexed="55"/>
      </right>
      <top style="thin">
        <color indexed="9"/>
      </top>
      <bottom style="thin">
        <color indexed="55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indexed="64"/>
      </right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22"/>
      </left>
      <right/>
      <top style="thin">
        <color indexed="22"/>
      </top>
      <bottom/>
      <diagonal/>
    </border>
    <border>
      <left/>
      <right style="thin">
        <color indexed="22"/>
      </right>
      <top style="thin">
        <color indexed="22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55"/>
      </right>
      <top style="thin">
        <color indexed="9"/>
      </top>
      <bottom style="thin">
        <color indexed="55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thin">
        <color auto="1"/>
      </right>
      <top style="hair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798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3" fillId="0" borderId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170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0" fontId="13" fillId="0" borderId="0"/>
    <xf numFmtId="170" fontId="2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9" fillId="0" borderId="0"/>
    <xf numFmtId="43" fontId="30" fillId="0" borderId="0" applyFont="0" applyFill="0" applyBorder="0" applyAlignment="0" applyProtection="0"/>
    <xf numFmtId="0" fontId="30" fillId="0" borderId="0"/>
    <xf numFmtId="0" fontId="31" fillId="0" borderId="0"/>
    <xf numFmtId="9" fontId="30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9" fillId="0" borderId="0"/>
    <xf numFmtId="43" fontId="29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36" fillId="0" borderId="0"/>
    <xf numFmtId="43" fontId="2" fillId="0" borderId="0" applyFont="0" applyFill="0" applyBorder="0" applyAlignment="0" applyProtection="0"/>
    <xf numFmtId="0" fontId="37" fillId="0" borderId="0"/>
    <xf numFmtId="43" fontId="38" fillId="0" borderId="0" applyFont="0" applyFill="0" applyBorder="0" applyAlignment="0" applyProtection="0"/>
    <xf numFmtId="0" fontId="1" fillId="0" borderId="0"/>
    <xf numFmtId="0" fontId="1" fillId="0" borderId="0"/>
    <xf numFmtId="43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170" fontId="29" fillId="0" borderId="0" applyFont="0" applyFill="0" applyBorder="0" applyAlignment="0" applyProtection="0"/>
    <xf numFmtId="0" fontId="39" fillId="6" borderId="8" applyNumberFormat="0" applyAlignment="0" applyProtection="0"/>
    <xf numFmtId="0" fontId="40" fillId="0" borderId="0"/>
    <xf numFmtId="0" fontId="13" fillId="0" borderId="0"/>
    <xf numFmtId="43" fontId="1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1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0" fillId="0" borderId="0" applyFont="0" applyFill="0" applyBorder="0" applyAlignment="0" applyProtection="0"/>
    <xf numFmtId="0" fontId="36" fillId="0" borderId="0"/>
    <xf numFmtId="43" fontId="36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1" fillId="0" borderId="0"/>
    <xf numFmtId="0" fontId="41" fillId="0" borderId="0"/>
    <xf numFmtId="0" fontId="41" fillId="0" borderId="0"/>
    <xf numFmtId="0" fontId="42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43" fillId="0" borderId="0"/>
    <xf numFmtId="9" fontId="1" fillId="0" borderId="0" applyFont="0" applyFill="0" applyBorder="0" applyAlignment="0" applyProtection="0"/>
    <xf numFmtId="175" fontId="44" fillId="0" borderId="0" applyFont="0" applyFill="0" applyBorder="0" applyAlignment="0" applyProtection="0"/>
    <xf numFmtId="174" fontId="44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5" fillId="0" borderId="0"/>
    <xf numFmtId="0" fontId="46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5" fillId="0" borderId="0"/>
    <xf numFmtId="43" fontId="45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176" fontId="2" fillId="0" borderId="0" applyFont="0" applyFill="0" applyBorder="0" applyAlignment="0" applyProtection="0"/>
    <xf numFmtId="0" fontId="47" fillId="7" borderId="0">
      <alignment vertical="center"/>
    </xf>
    <xf numFmtId="0" fontId="2" fillId="0" borderId="0"/>
    <xf numFmtId="0" fontId="4" fillId="0" borderId="0"/>
    <xf numFmtId="43" fontId="4" fillId="0" borderId="0" applyFont="0" applyFill="0" applyBorder="0" applyAlignment="0" applyProtection="0"/>
    <xf numFmtId="43" fontId="37" fillId="0" borderId="0" applyFon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0"/>
    <xf numFmtId="43" fontId="37" fillId="0" borderId="0" applyFont="0" applyFill="0" applyBorder="0" applyAlignment="0" applyProtection="0"/>
    <xf numFmtId="0" fontId="8" fillId="0" borderId="0"/>
    <xf numFmtId="170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43" fontId="37" fillId="0" borderId="0" applyFont="0" applyFill="0" applyBorder="0" applyAlignment="0" applyProtection="0"/>
    <xf numFmtId="170" fontId="45" fillId="0" borderId="0" applyFont="0" applyFill="0" applyBorder="0" applyAlignment="0" applyProtection="0"/>
    <xf numFmtId="185" fontId="45" fillId="0" borderId="0" applyFont="0" applyFill="0" applyBorder="0" applyAlignment="0" applyProtection="0"/>
    <xf numFmtId="49" fontId="56" fillId="10" borderId="0">
      <alignment vertical="center"/>
    </xf>
    <xf numFmtId="189" fontId="57" fillId="11" borderId="0">
      <alignment horizontal="right"/>
    </xf>
    <xf numFmtId="0" fontId="56" fillId="12" borderId="0">
      <alignment horizontal="right" vertical="center"/>
    </xf>
    <xf numFmtId="0" fontId="56" fillId="13" borderId="0">
      <alignment horizontal="right" vertical="center"/>
    </xf>
    <xf numFmtId="49" fontId="58" fillId="10" borderId="0">
      <alignment horizontal="centerContinuous" vertical="center"/>
    </xf>
    <xf numFmtId="0" fontId="55" fillId="0" borderId="0"/>
    <xf numFmtId="0" fontId="59" fillId="11" borderId="0">
      <alignment horizontal="left" vertical="top" wrapText="1"/>
    </xf>
    <xf numFmtId="9" fontId="55" fillId="0" borderId="0" applyFont="0" applyFill="0" applyBorder="0" applyAlignment="0" applyProtection="0"/>
    <xf numFmtId="0" fontId="56" fillId="10" borderId="0">
      <alignment horizontal="right" vertical="center"/>
    </xf>
    <xf numFmtId="0" fontId="60" fillId="11" borderId="0"/>
    <xf numFmtId="0" fontId="57" fillId="11" borderId="0">
      <alignment horizontal="left"/>
    </xf>
    <xf numFmtId="0" fontId="57" fillId="11" borderId="0">
      <alignment horizontal="left" indent="1"/>
    </xf>
    <xf numFmtId="0" fontId="57" fillId="11" borderId="0">
      <alignment horizontal="left" vertical="center" indent="2"/>
    </xf>
    <xf numFmtId="170" fontId="2" fillId="0" borderId="0" applyFont="0" applyFill="0" applyBorder="0" applyAlignment="0" applyProtection="0"/>
    <xf numFmtId="3" fontId="2" fillId="0" borderId="1"/>
    <xf numFmtId="185" fontId="2" fillId="0" borderId="0" applyFont="0" applyFill="0" applyBorder="0" applyAlignment="0" applyProtection="0"/>
    <xf numFmtId="0" fontId="64" fillId="0" borderId="0"/>
    <xf numFmtId="193" fontId="65" fillId="0" borderId="0" applyFont="0" applyFill="0" applyBorder="0" applyAlignment="0" applyProtection="0"/>
    <xf numFmtId="187" fontId="66" fillId="0" borderId="0">
      <alignment horizontal="right"/>
    </xf>
    <xf numFmtId="194" fontId="67" fillId="0" borderId="0" applyFill="0" applyBorder="0" applyAlignment="0" applyProtection="0"/>
    <xf numFmtId="0" fontId="40" fillId="0" borderId="0" applyNumberFormat="0" applyFill="0" applyBorder="0" applyAlignment="0" applyProtection="0"/>
    <xf numFmtId="0" fontId="68" fillId="0" borderId="0"/>
    <xf numFmtId="40" fontId="69" fillId="0" borderId="0"/>
    <xf numFmtId="40" fontId="69" fillId="0" borderId="0"/>
    <xf numFmtId="40" fontId="69" fillId="0" borderId="0"/>
    <xf numFmtId="40" fontId="69" fillId="0" borderId="0"/>
    <xf numFmtId="40" fontId="69" fillId="0" borderId="0"/>
    <xf numFmtId="40" fontId="69" fillId="0" borderId="0"/>
    <xf numFmtId="40" fontId="69" fillId="0" borderId="0"/>
    <xf numFmtId="40" fontId="69" fillId="0" borderId="0"/>
    <xf numFmtId="40" fontId="69" fillId="0" borderId="0"/>
    <xf numFmtId="40" fontId="69" fillId="0" borderId="0"/>
    <xf numFmtId="40" fontId="69" fillId="0" borderId="0"/>
    <xf numFmtId="40" fontId="69" fillId="0" borderId="0"/>
    <xf numFmtId="40" fontId="69" fillId="0" borderId="0"/>
    <xf numFmtId="40" fontId="69" fillId="0" borderId="0"/>
    <xf numFmtId="40" fontId="69" fillId="0" borderId="0"/>
    <xf numFmtId="40" fontId="69" fillId="0" borderId="0"/>
    <xf numFmtId="40" fontId="69" fillId="0" borderId="0"/>
    <xf numFmtId="40" fontId="69" fillId="0" borderId="0"/>
    <xf numFmtId="40" fontId="69" fillId="0" borderId="0"/>
    <xf numFmtId="40" fontId="69" fillId="0" borderId="0"/>
    <xf numFmtId="40" fontId="69" fillId="0" borderId="0"/>
    <xf numFmtId="40" fontId="69" fillId="0" borderId="0"/>
    <xf numFmtId="40" fontId="69" fillId="0" borderId="0"/>
    <xf numFmtId="40" fontId="69" fillId="0" borderId="0"/>
    <xf numFmtId="40" fontId="69" fillId="0" borderId="0"/>
    <xf numFmtId="40" fontId="69" fillId="0" borderId="0"/>
    <xf numFmtId="40" fontId="69" fillId="0" borderId="0"/>
    <xf numFmtId="40" fontId="69" fillId="0" borderId="0"/>
    <xf numFmtId="40" fontId="69" fillId="0" borderId="0"/>
    <xf numFmtId="40" fontId="69" fillId="0" borderId="0"/>
    <xf numFmtId="40" fontId="69" fillId="0" borderId="0"/>
    <xf numFmtId="40" fontId="69" fillId="0" borderId="0"/>
    <xf numFmtId="40" fontId="69" fillId="0" borderId="0"/>
    <xf numFmtId="40" fontId="69" fillId="0" borderId="0"/>
    <xf numFmtId="40" fontId="69" fillId="0" borderId="0"/>
    <xf numFmtId="40" fontId="69" fillId="0" borderId="0"/>
    <xf numFmtId="40" fontId="69" fillId="0" borderId="0"/>
    <xf numFmtId="40" fontId="69" fillId="0" borderId="0"/>
    <xf numFmtId="40" fontId="69" fillId="0" borderId="0"/>
    <xf numFmtId="40" fontId="69" fillId="0" borderId="0"/>
    <xf numFmtId="40" fontId="69" fillId="0" borderId="0"/>
    <xf numFmtId="40" fontId="69" fillId="0" borderId="0"/>
    <xf numFmtId="40" fontId="69" fillId="0" borderId="0"/>
    <xf numFmtId="40" fontId="69" fillId="0" borderId="0"/>
    <xf numFmtId="40" fontId="69" fillId="0" borderId="0"/>
    <xf numFmtId="40" fontId="69" fillId="0" borderId="0"/>
    <xf numFmtId="40" fontId="69" fillId="0" borderId="0"/>
    <xf numFmtId="40" fontId="69" fillId="0" borderId="0"/>
    <xf numFmtId="40" fontId="69" fillId="0" borderId="0"/>
    <xf numFmtId="40" fontId="69" fillId="0" borderId="0"/>
    <xf numFmtId="40" fontId="69" fillId="0" borderId="0"/>
    <xf numFmtId="40" fontId="69" fillId="0" borderId="0"/>
    <xf numFmtId="40" fontId="69" fillId="0" borderId="0"/>
    <xf numFmtId="40" fontId="69" fillId="0" borderId="0"/>
    <xf numFmtId="40" fontId="69" fillId="0" borderId="0"/>
    <xf numFmtId="40" fontId="69" fillId="0" borderId="0"/>
    <xf numFmtId="40" fontId="69" fillId="0" borderId="0"/>
    <xf numFmtId="40" fontId="69" fillId="0" borderId="0"/>
    <xf numFmtId="40" fontId="69" fillId="0" borderId="0"/>
    <xf numFmtId="40" fontId="69" fillId="0" borderId="0"/>
    <xf numFmtId="40" fontId="69" fillId="0" borderId="0"/>
    <xf numFmtId="40" fontId="69" fillId="0" borderId="0"/>
    <xf numFmtId="40" fontId="69" fillId="0" borderId="0"/>
    <xf numFmtId="40" fontId="69" fillId="0" borderId="0"/>
    <xf numFmtId="40" fontId="69" fillId="0" borderId="0"/>
    <xf numFmtId="40" fontId="69" fillId="0" borderId="0"/>
    <xf numFmtId="40" fontId="69" fillId="0" borderId="0"/>
    <xf numFmtId="40" fontId="69" fillId="0" borderId="0"/>
    <xf numFmtId="40" fontId="69" fillId="0" borderId="0"/>
    <xf numFmtId="40" fontId="69" fillId="0" borderId="0"/>
    <xf numFmtId="40" fontId="69" fillId="0" borderId="0"/>
    <xf numFmtId="40" fontId="69" fillId="0" borderId="0"/>
    <xf numFmtId="40" fontId="69" fillId="0" borderId="0"/>
    <xf numFmtId="40" fontId="69" fillId="0" borderId="0"/>
    <xf numFmtId="40" fontId="69" fillId="0" borderId="0"/>
    <xf numFmtId="40" fontId="69" fillId="0" borderId="0"/>
    <xf numFmtId="40" fontId="69" fillId="0" borderId="0"/>
    <xf numFmtId="40" fontId="69" fillId="0" borderId="0"/>
    <xf numFmtId="40" fontId="69" fillId="0" borderId="0"/>
    <xf numFmtId="40" fontId="69" fillId="0" borderId="0"/>
    <xf numFmtId="40" fontId="69" fillId="0" borderId="0"/>
    <xf numFmtId="40" fontId="69" fillId="0" borderId="0"/>
    <xf numFmtId="40" fontId="69" fillId="0" borderId="0"/>
    <xf numFmtId="40" fontId="69" fillId="0" borderId="0"/>
    <xf numFmtId="40" fontId="69" fillId="0" borderId="0"/>
    <xf numFmtId="40" fontId="69" fillId="0" borderId="0"/>
    <xf numFmtId="40" fontId="69" fillId="0" borderId="0"/>
    <xf numFmtId="40" fontId="69" fillId="0" borderId="0"/>
    <xf numFmtId="40" fontId="69" fillId="0" borderId="0"/>
    <xf numFmtId="40" fontId="69" fillId="0" borderId="0"/>
    <xf numFmtId="40" fontId="69" fillId="0" borderId="0"/>
    <xf numFmtId="40" fontId="69" fillId="0" borderId="0"/>
    <xf numFmtId="40" fontId="69" fillId="0" borderId="0"/>
    <xf numFmtId="0" fontId="2" fillId="0" borderId="0"/>
    <xf numFmtId="0" fontId="70" fillId="0" borderId="0"/>
    <xf numFmtId="195" fontId="71" fillId="0" borderId="0" applyFont="0" applyFill="0" applyBorder="0" applyAlignment="0" applyProtection="0"/>
    <xf numFmtId="3" fontId="72" fillId="0" borderId="1"/>
    <xf numFmtId="179" fontId="73" fillId="0" borderId="0" applyFont="0" applyFill="0" applyBorder="0" applyAlignment="0" applyProtection="0"/>
    <xf numFmtId="182" fontId="73" fillId="0" borderId="0" applyFont="0" applyFill="0" applyBorder="0" applyAlignment="0" applyProtection="0"/>
    <xf numFmtId="0" fontId="32" fillId="0" borderId="0">
      <alignment horizontal="right"/>
    </xf>
    <xf numFmtId="196" fontId="32" fillId="0" borderId="0">
      <alignment horizontal="right"/>
    </xf>
    <xf numFmtId="197" fontId="14" fillId="0" borderId="0"/>
    <xf numFmtId="197" fontId="14" fillId="0" borderId="0"/>
    <xf numFmtId="197" fontId="14" fillId="0" borderId="0"/>
    <xf numFmtId="197" fontId="14" fillId="0" borderId="0"/>
    <xf numFmtId="197" fontId="14" fillId="0" borderId="0"/>
    <xf numFmtId="197" fontId="14" fillId="0" borderId="0"/>
    <xf numFmtId="197" fontId="14" fillId="0" borderId="0"/>
    <xf numFmtId="179" fontId="73" fillId="0" borderId="0" applyFont="0" applyFill="0" applyBorder="0" applyAlignment="0" applyProtection="0"/>
    <xf numFmtId="0" fontId="69" fillId="0" borderId="0"/>
    <xf numFmtId="0" fontId="74" fillId="0" borderId="0"/>
    <xf numFmtId="0" fontId="74" fillId="0" borderId="0"/>
    <xf numFmtId="197" fontId="14" fillId="0" borderId="0"/>
    <xf numFmtId="197" fontId="14" fillId="0" borderId="0"/>
    <xf numFmtId="197" fontId="14" fillId="0" borderId="0"/>
    <xf numFmtId="197" fontId="14" fillId="0" borderId="0"/>
    <xf numFmtId="197" fontId="14" fillId="0" borderId="0"/>
    <xf numFmtId="197" fontId="14" fillId="0" borderId="0"/>
    <xf numFmtId="0" fontId="75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69" fillId="0" borderId="0" applyFont="0" applyFill="0" applyBorder="0" applyAlignment="0" applyProtection="0"/>
    <xf numFmtId="198" fontId="71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76" fillId="0" borderId="0" applyNumberFormat="0" applyFont="0" applyFill="0" applyBorder="0" applyAlignment="0" applyProtection="0"/>
    <xf numFmtId="199" fontId="77" fillId="0" borderId="0" applyFont="0" applyFill="0" applyBorder="0" applyAlignment="0" applyProtection="0"/>
    <xf numFmtId="10" fontId="73" fillId="0" borderId="0" applyFont="0" applyFill="0" applyBorder="0" applyAlignment="0" applyProtection="0"/>
    <xf numFmtId="10" fontId="78" fillId="0" borderId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192" fontId="79" fillId="0" borderId="0"/>
    <xf numFmtId="10" fontId="78" fillId="0" borderId="0"/>
    <xf numFmtId="10" fontId="78" fillId="0" borderId="0"/>
    <xf numFmtId="9" fontId="73" fillId="0" borderId="0" applyFont="0" applyFill="0" applyBorder="0" applyAlignment="0" applyProtection="0"/>
    <xf numFmtId="9" fontId="80" fillId="0" borderId="0"/>
    <xf numFmtId="0" fontId="75" fillId="0" borderId="0" applyFont="0" applyFill="0" applyBorder="0" applyAlignment="0" applyProtection="0"/>
    <xf numFmtId="166" fontId="80" fillId="0" borderId="0"/>
    <xf numFmtId="10" fontId="80" fillId="0" borderId="0"/>
    <xf numFmtId="0" fontId="70" fillId="0" borderId="0"/>
    <xf numFmtId="0" fontId="81" fillId="14" borderId="0" applyBorder="0" applyAlignment="0"/>
    <xf numFmtId="38" fontId="82" fillId="0" borderId="0" applyFont="0" applyFill="0" applyBorder="0" applyAlignment="0" applyProtection="0"/>
    <xf numFmtId="0" fontId="14" fillId="0" borderId="0" applyFont="0" applyFill="0" applyBorder="0" applyAlignment="0"/>
    <xf numFmtId="0" fontId="33" fillId="0" borderId="0" applyFill="0" applyBorder="0" applyAlignment="0" applyProtection="0"/>
    <xf numFmtId="200" fontId="2" fillId="0" borderId="0" applyFont="0" applyFill="0" applyBorder="0" applyAlignment="0" applyProtection="0"/>
    <xf numFmtId="0" fontId="83" fillId="0" borderId="0" applyFont="0" applyFill="0" applyBorder="0" applyAlignment="0" applyProtection="0"/>
    <xf numFmtId="201" fontId="2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202" fontId="84" fillId="0" borderId="0" applyFont="0" applyFill="0" applyBorder="0" applyAlignment="0" applyProtection="0"/>
    <xf numFmtId="0" fontId="85" fillId="0" borderId="0" applyNumberFormat="0" applyFill="0" applyBorder="0" applyAlignment="0" applyProtection="0">
      <alignment vertical="top"/>
      <protection locked="0"/>
    </xf>
    <xf numFmtId="203" fontId="43" fillId="0" borderId="0" applyFont="0" applyFill="0" applyBorder="0" applyAlignment="0" applyProtection="0"/>
    <xf numFmtId="184" fontId="86" fillId="0" borderId="0" applyFont="0" applyFill="0" applyBorder="0" applyAlignment="0" applyProtection="0"/>
    <xf numFmtId="170" fontId="86" fillId="0" borderId="0" applyFont="0" applyFill="0" applyBorder="0" applyAlignment="0" applyProtection="0"/>
    <xf numFmtId="183" fontId="87" fillId="0" borderId="0" applyFont="0" applyFill="0" applyBorder="0" applyAlignment="0" applyProtection="0"/>
    <xf numFmtId="0" fontId="88" fillId="0" borderId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89" fillId="0" borderId="0"/>
    <xf numFmtId="0" fontId="2" fillId="0" borderId="0" applyNumberFormat="0" applyFill="0" applyBorder="0" applyAlignment="0" applyProtection="0"/>
    <xf numFmtId="204" fontId="57" fillId="0" borderId="0">
      <alignment horizontal="right"/>
    </xf>
    <xf numFmtId="204" fontId="57" fillId="0" borderId="0">
      <alignment horizontal="right"/>
    </xf>
    <xf numFmtId="0" fontId="32" fillId="0" borderId="0"/>
    <xf numFmtId="204" fontId="57" fillId="0" borderId="0">
      <alignment horizontal="right"/>
    </xf>
    <xf numFmtId="204" fontId="57" fillId="0" borderId="0">
      <alignment horizontal="right"/>
    </xf>
    <xf numFmtId="204" fontId="57" fillId="0" borderId="0">
      <alignment horizontal="right"/>
    </xf>
    <xf numFmtId="204" fontId="57" fillId="0" borderId="0">
      <alignment horizontal="right"/>
    </xf>
    <xf numFmtId="0" fontId="14" fillId="0" borderId="0"/>
    <xf numFmtId="0" fontId="90" fillId="0" borderId="0" applyFont="0" applyAlignment="0">
      <alignment horizontal="center" vertical="center"/>
    </xf>
    <xf numFmtId="0" fontId="90" fillId="0" borderId="0" applyFont="0" applyAlignment="0">
      <alignment horizontal="center" vertical="center"/>
    </xf>
    <xf numFmtId="0" fontId="90" fillId="0" borderId="0" applyFont="0" applyAlignment="0">
      <alignment horizontal="center" vertical="center"/>
    </xf>
    <xf numFmtId="0" fontId="90" fillId="0" borderId="0" applyFont="0" applyAlignment="0">
      <alignment horizontal="center" vertical="center"/>
    </xf>
    <xf numFmtId="0" fontId="90" fillId="0" borderId="0" applyFont="0" applyAlignment="0">
      <alignment horizontal="center" vertical="center"/>
    </xf>
    <xf numFmtId="0" fontId="90" fillId="0" borderId="0" applyFont="0" applyAlignment="0">
      <alignment horizontal="center" vertical="center"/>
    </xf>
    <xf numFmtId="0" fontId="14" fillId="0" borderId="0"/>
    <xf numFmtId="0" fontId="14" fillId="0" borderId="0"/>
    <xf numFmtId="205" fontId="2" fillId="0" borderId="0" applyFont="0" applyFill="0" applyBorder="0" applyAlignment="0" applyProtection="0"/>
    <xf numFmtId="206" fontId="2" fillId="0" borderId="0" applyFont="0" applyFill="0" applyBorder="0" applyAlignment="0" applyProtection="0"/>
    <xf numFmtId="0" fontId="9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0" fillId="0" borderId="0"/>
    <xf numFmtId="0" fontId="70" fillId="0" borderId="0"/>
    <xf numFmtId="0" fontId="70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1" fillId="0" borderId="0"/>
    <xf numFmtId="0" fontId="92" fillId="0" borderId="0"/>
    <xf numFmtId="0" fontId="93" fillId="0" borderId="0"/>
    <xf numFmtId="0" fontId="2" fillId="0" borderId="0" applyBorder="0"/>
    <xf numFmtId="0" fontId="2" fillId="0" borderId="0" applyBorder="0"/>
    <xf numFmtId="0" fontId="2" fillId="0" borderId="0" applyBorder="0"/>
    <xf numFmtId="0" fontId="2" fillId="0" borderId="0" applyBorder="0"/>
    <xf numFmtId="0" fontId="2" fillId="0" borderId="0" applyBorder="0"/>
    <xf numFmtId="0" fontId="2" fillId="0" borderId="0" applyBorder="0"/>
    <xf numFmtId="0" fontId="2" fillId="0" borderId="0" applyBorder="0"/>
    <xf numFmtId="0" fontId="2" fillId="0" borderId="0" applyBorder="0"/>
    <xf numFmtId="0" fontId="2" fillId="0" borderId="0"/>
    <xf numFmtId="0" fontId="2" fillId="0" borderId="0">
      <alignment vertical="top"/>
    </xf>
    <xf numFmtId="0" fontId="2" fillId="0" borderId="0">
      <alignment vertical="top"/>
    </xf>
    <xf numFmtId="0" fontId="76" fillId="0" borderId="0" applyNumberFormat="0" applyFont="0" applyFill="0" applyBorder="0" applyAlignment="0" applyProtection="0"/>
    <xf numFmtId="177" fontId="14" fillId="0" borderId="0" applyFont="0" applyFill="0" applyBorder="0" applyAlignment="0" applyProtection="0">
      <protection locked="0"/>
    </xf>
    <xf numFmtId="0" fontId="91" fillId="0" borderId="0"/>
    <xf numFmtId="0" fontId="2" fillId="0" borderId="0" applyFont="0" applyFill="0" applyBorder="0" applyAlignment="0" applyProtection="0"/>
    <xf numFmtId="0" fontId="2" fillId="0" borderId="0"/>
    <xf numFmtId="0" fontId="94" fillId="0" borderId="0"/>
    <xf numFmtId="0" fontId="95" fillId="0" borderId="0"/>
    <xf numFmtId="0" fontId="91" fillId="0" borderId="0"/>
    <xf numFmtId="0" fontId="91" fillId="0" borderId="0"/>
    <xf numFmtId="0" fontId="2" fillId="0" borderId="0" applyNumberFormat="0" applyFill="0" applyBorder="0" applyAlignment="0" applyProtection="0"/>
    <xf numFmtId="0" fontId="4" fillId="0" borderId="0"/>
    <xf numFmtId="0" fontId="4" fillId="0" borderId="0"/>
    <xf numFmtId="0" fontId="2" fillId="0" borderId="0"/>
    <xf numFmtId="0" fontId="76" fillId="0" borderId="0" applyNumberFormat="0" applyFill="0" applyBorder="0" applyAlignment="0" applyProtection="0"/>
    <xf numFmtId="0" fontId="76" fillId="0" borderId="0" applyNumberFormat="0" applyFont="0" applyFill="0" applyBorder="0" applyAlignment="0" applyProtection="0"/>
    <xf numFmtId="0" fontId="76" fillId="0" borderId="0" applyNumberFormat="0" applyFont="0" applyFill="0" applyBorder="0" applyAlignment="0" applyProtection="0"/>
    <xf numFmtId="0" fontId="2" fillId="0" borderId="0"/>
    <xf numFmtId="0" fontId="76" fillId="0" borderId="0" applyNumberFormat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96" fillId="15" borderId="0">
      <alignment horizontal="left"/>
    </xf>
    <xf numFmtId="0" fontId="96" fillId="16" borderId="0">
      <alignment horizontal="left"/>
    </xf>
    <xf numFmtId="0" fontId="96" fillId="15" borderId="0">
      <alignment horizontal="left"/>
    </xf>
    <xf numFmtId="0" fontId="96" fillId="16" borderId="0">
      <alignment horizontal="left"/>
    </xf>
    <xf numFmtId="49" fontId="96" fillId="17" borderId="0">
      <alignment horizontal="left"/>
    </xf>
    <xf numFmtId="49" fontId="96" fillId="18" borderId="0">
      <alignment horizontal="left"/>
    </xf>
    <xf numFmtId="49" fontId="96" fillId="17" borderId="0">
      <alignment horizontal="left"/>
    </xf>
    <xf numFmtId="49" fontId="96" fillId="18" borderId="0">
      <alignment horizontal="left"/>
    </xf>
    <xf numFmtId="0" fontId="96" fillId="18" borderId="0">
      <alignment horizontal="left"/>
    </xf>
    <xf numFmtId="0" fontId="96" fillId="19" borderId="0">
      <alignment horizontal="left"/>
    </xf>
    <xf numFmtId="0" fontId="96" fillId="18" borderId="0">
      <alignment horizontal="left"/>
    </xf>
    <xf numFmtId="0" fontId="96" fillId="19" borderId="0">
      <alignment horizontal="left"/>
    </xf>
    <xf numFmtId="49" fontId="96" fillId="19" borderId="0">
      <alignment horizontal="left"/>
    </xf>
    <xf numFmtId="49" fontId="96" fillId="20" borderId="0">
      <alignment horizontal="left"/>
    </xf>
    <xf numFmtId="49" fontId="96" fillId="19" borderId="0">
      <alignment horizontal="left"/>
    </xf>
    <xf numFmtId="49" fontId="96" fillId="20" borderId="0">
      <alignment horizontal="left"/>
    </xf>
    <xf numFmtId="0" fontId="96" fillId="20" borderId="0">
      <alignment horizontal="left"/>
    </xf>
    <xf numFmtId="0" fontId="96" fillId="21" borderId="0">
      <alignment horizontal="left"/>
    </xf>
    <xf numFmtId="0" fontId="96" fillId="20" borderId="0">
      <alignment horizontal="left"/>
    </xf>
    <xf numFmtId="0" fontId="96" fillId="21" borderId="0">
      <alignment horizontal="left"/>
    </xf>
    <xf numFmtId="0" fontId="97" fillId="21" borderId="0">
      <alignment horizontal="left"/>
    </xf>
    <xf numFmtId="0" fontId="96" fillId="22" borderId="0">
      <alignment horizontal="left"/>
    </xf>
    <xf numFmtId="0" fontId="97" fillId="21" borderId="0">
      <alignment horizontal="left"/>
    </xf>
    <xf numFmtId="0" fontId="96" fillId="22" borderId="0">
      <alignment horizontal="left"/>
    </xf>
    <xf numFmtId="0" fontId="98" fillId="23" borderId="0">
      <alignment horizontal="left"/>
    </xf>
    <xf numFmtId="0" fontId="97" fillId="24" borderId="0">
      <alignment horizontal="left"/>
    </xf>
    <xf numFmtId="0" fontId="98" fillId="23" borderId="0">
      <alignment horizontal="left"/>
    </xf>
    <xf numFmtId="0" fontId="97" fillId="24" borderId="0">
      <alignment horizontal="left"/>
    </xf>
    <xf numFmtId="0" fontId="97" fillId="24" borderId="0">
      <alignment horizontal="left"/>
    </xf>
    <xf numFmtId="0" fontId="97" fillId="25" borderId="0">
      <alignment horizontal="left"/>
    </xf>
    <xf numFmtId="0" fontId="97" fillId="24" borderId="0">
      <alignment horizontal="left"/>
    </xf>
    <xf numFmtId="0" fontId="97" fillId="25" borderId="0">
      <alignment horizontal="left"/>
    </xf>
    <xf numFmtId="192" fontId="2" fillId="0" borderId="0" applyFont="0" applyFill="0" applyBorder="0" applyAlignment="0" applyProtection="0"/>
    <xf numFmtId="192" fontId="2" fillId="0" borderId="0" applyFont="0" applyFill="0" applyBorder="0" applyAlignment="0" applyProtection="0"/>
    <xf numFmtId="207" fontId="2" fillId="0" borderId="0" applyFont="0" applyFill="0" applyBorder="0" applyAlignment="0" applyProtection="0"/>
    <xf numFmtId="207" fontId="55" fillId="0" borderId="0" applyFont="0" applyFill="0" applyBorder="0" applyAlignment="0" applyProtection="0"/>
    <xf numFmtId="207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4" fillId="0" borderId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83" fontId="84" fillId="0" borderId="0" applyFont="0" applyFill="0" applyBorder="0" applyAlignment="0" applyProtection="0"/>
    <xf numFmtId="0" fontId="76" fillId="0" borderId="0" applyNumberFormat="0" applyFont="0" applyFill="0" applyBorder="0" applyAlignment="0" applyProtection="0"/>
    <xf numFmtId="208" fontId="2" fillId="0" borderId="0" applyFont="0" applyFill="0" applyBorder="0" applyAlignment="0" applyProtection="0"/>
    <xf numFmtId="209" fontId="2" fillId="0" borderId="0" applyFont="0" applyFill="0" applyBorder="0" applyAlignment="0" applyProtection="0"/>
    <xf numFmtId="208" fontId="2" fillId="0" borderId="0" applyFont="0" applyFill="0" applyBorder="0" applyAlignment="0" applyProtection="0"/>
    <xf numFmtId="208" fontId="2" fillId="0" borderId="0" applyFont="0" applyFill="0" applyBorder="0" applyAlignment="0" applyProtection="0"/>
    <xf numFmtId="210" fontId="77" fillId="0" borderId="0" applyFont="0" applyFill="0" applyBorder="0" applyAlignment="0" applyProtection="0"/>
    <xf numFmtId="211" fontId="77" fillId="0" borderId="0" applyFont="0" applyFill="0" applyBorder="0" applyAlignment="0" applyProtection="0"/>
    <xf numFmtId="208" fontId="2" fillId="0" borderId="0" applyFont="0" applyFill="0" applyBorder="0" applyAlignment="0" applyProtection="0"/>
    <xf numFmtId="212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213" fontId="77" fillId="0" borderId="0" applyFont="0" applyFill="0" applyBorder="0" applyAlignment="0" applyProtection="0"/>
    <xf numFmtId="212" fontId="2" fillId="0" borderId="0" applyFont="0" applyFill="0" applyBorder="0" applyAlignment="0" applyProtection="0"/>
    <xf numFmtId="214" fontId="2" fillId="0" borderId="0" applyFont="0" applyFill="0" applyBorder="0" applyAlignment="0" applyProtection="0"/>
    <xf numFmtId="164" fontId="77" fillId="0" borderId="0" applyFont="0" applyFill="0" applyBorder="0" applyAlignment="0" applyProtection="0"/>
    <xf numFmtId="214" fontId="2" fillId="0" borderId="0" applyFont="0" applyFill="0" applyBorder="0" applyAlignment="0" applyProtection="0"/>
    <xf numFmtId="214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214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214" fontId="2" fillId="0" borderId="0" applyFont="0" applyFill="0" applyBorder="0" applyAlignment="0" applyProtection="0"/>
    <xf numFmtId="215" fontId="2" fillId="0" borderId="0" applyFont="0" applyFill="0" applyBorder="0" applyAlignment="0" applyProtection="0"/>
    <xf numFmtId="39" fontId="2" fillId="0" borderId="0" applyFont="0" applyFill="0" applyBorder="0" applyAlignment="0" applyProtection="0"/>
    <xf numFmtId="216" fontId="2" fillId="0" borderId="0" applyFont="0" applyFill="0" applyBorder="0" applyAlignment="0" applyProtection="0"/>
    <xf numFmtId="39" fontId="2" fillId="0" borderId="0" applyFont="0" applyFill="0" applyBorder="0" applyAlignment="0" applyProtection="0"/>
    <xf numFmtId="39" fontId="2" fillId="0" borderId="0" applyFont="0" applyFill="0" applyBorder="0" applyAlignment="0" applyProtection="0"/>
    <xf numFmtId="216" fontId="2" fillId="0" borderId="0" applyFont="0" applyFill="0" applyBorder="0" applyAlignment="0" applyProtection="0"/>
    <xf numFmtId="217" fontId="77" fillId="0" borderId="0" applyFont="0" applyFill="0" applyBorder="0" applyAlignment="0" applyProtection="0"/>
    <xf numFmtId="216" fontId="2" fillId="0" borderId="0" applyFont="0" applyFill="0" applyBorder="0" applyAlignment="0" applyProtection="0"/>
    <xf numFmtId="216" fontId="2" fillId="0" borderId="0" applyFont="0" applyFill="0" applyBorder="0" applyAlignment="0" applyProtection="0"/>
    <xf numFmtId="39" fontId="2" fillId="0" borderId="0" applyFont="0" applyFill="0" applyBorder="0" applyAlignment="0" applyProtection="0"/>
    <xf numFmtId="4" fontId="99" fillId="26" borderId="16" applyBorder="0"/>
    <xf numFmtId="4" fontId="99" fillId="27" borderId="16" applyBorder="0"/>
    <xf numFmtId="4" fontId="99" fillId="26" borderId="16" applyBorder="0"/>
    <xf numFmtId="4" fontId="99" fillId="27" borderId="16" applyBorder="0"/>
    <xf numFmtId="0" fontId="4" fillId="0" borderId="0"/>
    <xf numFmtId="0" fontId="2" fillId="0" borderId="0"/>
    <xf numFmtId="0" fontId="2" fillId="0" borderId="0"/>
    <xf numFmtId="183" fontId="84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218" fontId="2" fillId="0" borderId="0" applyFont="0" applyFill="0" applyBorder="0" applyAlignment="0" applyProtection="0"/>
    <xf numFmtId="0" fontId="2" fillId="0" borderId="0"/>
    <xf numFmtId="0" fontId="76" fillId="0" borderId="0" applyNumberFormat="0" applyFont="0" applyFill="0" applyBorder="0" applyAlignment="0" applyProtection="0"/>
    <xf numFmtId="0" fontId="76" fillId="0" borderId="0" applyNumberFormat="0" applyFont="0" applyFill="0" applyBorder="0" applyAlignment="0" applyProtection="0"/>
    <xf numFmtId="0" fontId="76" fillId="0" borderId="0" applyNumberFormat="0" applyFont="0" applyFill="0" applyBorder="0" applyAlignment="0" applyProtection="0"/>
    <xf numFmtId="0" fontId="76" fillId="0" borderId="0" applyNumberFormat="0" applyFont="0" applyFill="0" applyBorder="0" applyAlignment="0" applyProtection="0"/>
    <xf numFmtId="0" fontId="100" fillId="0" borderId="0" applyNumberFormat="0" applyFill="0" applyBorder="0" applyAlignment="0" applyProtection="0"/>
    <xf numFmtId="0" fontId="2" fillId="0" borderId="0" applyBorder="0"/>
    <xf numFmtId="0" fontId="2" fillId="0" borderId="0" applyBorder="0"/>
    <xf numFmtId="0" fontId="2" fillId="0" borderId="0" applyBorder="0"/>
    <xf numFmtId="0" fontId="2" fillId="0" borderId="0" applyBorder="0"/>
    <xf numFmtId="0" fontId="2" fillId="0" borderId="0" applyBorder="0"/>
    <xf numFmtId="0" fontId="2" fillId="0" borderId="0" applyBorder="0"/>
    <xf numFmtId="0" fontId="2" fillId="0" borderId="0" applyBorder="0"/>
    <xf numFmtId="0" fontId="2" fillId="0" borderId="0" applyBorder="0"/>
    <xf numFmtId="0" fontId="101" fillId="28" borderId="0"/>
    <xf numFmtId="0" fontId="102" fillId="16" borderId="0"/>
    <xf numFmtId="0" fontId="101" fillId="28" borderId="0"/>
    <xf numFmtId="0" fontId="102" fillId="16" borderId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2" fillId="29" borderId="0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6" fillId="0" borderId="0" applyNumberFormat="0" applyFont="0" applyFill="0" applyBorder="0" applyAlignment="0" applyProtection="0"/>
    <xf numFmtId="0" fontId="2" fillId="0" borderId="0" applyFont="0" applyFill="0" applyBorder="0" applyAlignment="0" applyProtection="0"/>
    <xf numFmtId="0" fontId="76" fillId="0" borderId="0" applyNumberFormat="0" applyFill="0" applyBorder="0" applyAlignment="0" applyProtection="0"/>
    <xf numFmtId="0" fontId="94" fillId="0" borderId="0"/>
    <xf numFmtId="183" fontId="84" fillId="0" borderId="0" applyFont="0" applyFill="0" applyBorder="0" applyAlignment="0" applyProtection="0"/>
    <xf numFmtId="193" fontId="65" fillId="0" borderId="0" applyFont="0" applyFill="0" applyBorder="0" applyAlignment="0" applyProtection="0"/>
    <xf numFmtId="170" fontId="65" fillId="0" borderId="0" applyFont="0" applyFill="0" applyBorder="0" applyAlignment="0" applyProtection="0"/>
    <xf numFmtId="170" fontId="84" fillId="0" borderId="0" applyFont="0" applyFill="0" applyBorder="0" applyAlignment="0" applyProtection="0"/>
    <xf numFmtId="219" fontId="84" fillId="0" borderId="0" applyFont="0" applyFill="0" applyBorder="0" applyAlignment="0" applyProtection="0"/>
    <xf numFmtId="184" fontId="65" fillId="0" borderId="0" applyFont="0" applyFill="0" applyBorder="0" applyAlignment="0" applyProtection="0"/>
    <xf numFmtId="183" fontId="84" fillId="0" borderId="0" applyFont="0" applyFill="0" applyBorder="0" applyAlignment="0" applyProtection="0"/>
    <xf numFmtId="220" fontId="84" fillId="0" borderId="0" applyFont="0" applyFill="0" applyBorder="0" applyAlignment="0" applyProtection="0"/>
    <xf numFmtId="221" fontId="65" fillId="0" borderId="0" applyFont="0" applyFill="0" applyBorder="0" applyAlignment="0" applyProtection="0"/>
    <xf numFmtId="221" fontId="84" fillId="0" borderId="0" applyFont="0" applyFill="0" applyBorder="0" applyAlignment="0" applyProtection="0"/>
    <xf numFmtId="170" fontId="84" fillId="0" borderId="0" applyFont="0" applyFill="0" applyBorder="0" applyAlignment="0" applyProtection="0"/>
    <xf numFmtId="219" fontId="84" fillId="0" borderId="0" applyFont="0" applyFill="0" applyBorder="0" applyAlignment="0" applyProtection="0"/>
    <xf numFmtId="170" fontId="65" fillId="0" borderId="0" applyFont="0" applyFill="0" applyBorder="0" applyAlignment="0" applyProtection="0"/>
    <xf numFmtId="184" fontId="84" fillId="0" borderId="0" applyFont="0" applyFill="0" applyBorder="0" applyAlignment="0" applyProtection="0"/>
    <xf numFmtId="222" fontId="84" fillId="0" borderId="0" applyFont="0" applyFill="0" applyBorder="0" applyAlignment="0" applyProtection="0"/>
    <xf numFmtId="220" fontId="84" fillId="0" borderId="0" applyFont="0" applyFill="0" applyBorder="0" applyAlignment="0" applyProtection="0"/>
    <xf numFmtId="221" fontId="65" fillId="0" borderId="0" applyFont="0" applyFill="0" applyBorder="0" applyAlignment="0" applyProtection="0"/>
    <xf numFmtId="221" fontId="84" fillId="0" borderId="0" applyFont="0" applyFill="0" applyBorder="0" applyAlignment="0" applyProtection="0"/>
    <xf numFmtId="184" fontId="65" fillId="0" borderId="0" applyFont="0" applyFill="0" applyBorder="0" applyAlignment="0" applyProtection="0"/>
    <xf numFmtId="170" fontId="65" fillId="0" borderId="0" applyFont="0" applyFill="0" applyBorder="0" applyAlignment="0" applyProtection="0"/>
    <xf numFmtId="184" fontId="84" fillId="0" borderId="0" applyFont="0" applyFill="0" applyBorder="0" applyAlignment="0" applyProtection="0"/>
    <xf numFmtId="222" fontId="84" fillId="0" borderId="0" applyFont="0" applyFill="0" applyBorder="0" applyAlignment="0" applyProtection="0"/>
    <xf numFmtId="170" fontId="84" fillId="0" borderId="0" applyFont="0" applyFill="0" applyBorder="0" applyAlignment="0" applyProtection="0"/>
    <xf numFmtId="219" fontId="84" fillId="0" borderId="0" applyFont="0" applyFill="0" applyBorder="0" applyAlignment="0" applyProtection="0"/>
    <xf numFmtId="184" fontId="65" fillId="0" borderId="0" applyFont="0" applyFill="0" applyBorder="0" applyAlignment="0" applyProtection="0"/>
    <xf numFmtId="193" fontId="65" fillId="0" borderId="0" applyFont="0" applyFill="0" applyBorder="0" applyAlignment="0" applyProtection="0"/>
    <xf numFmtId="0" fontId="70" fillId="0" borderId="0"/>
    <xf numFmtId="0" fontId="70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2" fillId="0" borderId="0" applyFont="0" applyFill="0" applyBorder="0" applyAlignment="0" applyProtection="0"/>
    <xf numFmtId="223" fontId="2" fillId="0" borderId="0" applyFont="0" applyFill="0" applyBorder="0" applyAlignment="0" applyProtection="0"/>
    <xf numFmtId="224" fontId="14" fillId="0" borderId="0" applyFont="0" applyFill="0" applyBorder="0" applyAlignment="0" applyProtection="0"/>
    <xf numFmtId="225" fontId="2" fillId="0" borderId="0" applyFont="0" applyFill="0" applyBorder="0" applyAlignment="0" applyProtection="0"/>
    <xf numFmtId="226" fontId="77" fillId="0" borderId="0" applyFont="0" applyFill="0" applyBorder="0" applyAlignment="0" applyProtection="0"/>
    <xf numFmtId="223" fontId="2" fillId="0" borderId="0" applyFont="0" applyFill="0" applyBorder="0" applyAlignment="0" applyProtection="0"/>
    <xf numFmtId="225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227" fontId="77" fillId="0" borderId="0" applyFont="0" applyFill="0" applyBorder="0" applyAlignment="0" applyProtection="0"/>
    <xf numFmtId="225" fontId="2" fillId="0" borderId="0" applyFont="0" applyFill="0" applyBorder="0" applyAlignment="0" applyProtection="0"/>
    <xf numFmtId="228" fontId="2" fillId="0" borderId="0" applyFont="0" applyFill="0" applyBorder="0" applyAlignment="0" applyProtection="0"/>
    <xf numFmtId="229" fontId="77" fillId="0" borderId="0" applyFont="0" applyFill="0" applyBorder="0" applyAlignment="0" applyProtection="0"/>
    <xf numFmtId="230" fontId="2" fillId="0" borderId="0" applyFont="0" applyFill="0" applyBorder="0" applyAlignment="0" applyProtection="0"/>
    <xf numFmtId="231" fontId="2" fillId="0" borderId="0" applyFont="0" applyFill="0" applyBorder="0" applyProtection="0">
      <alignment horizontal="right"/>
    </xf>
    <xf numFmtId="232" fontId="77" fillId="0" borderId="0" applyFont="0" applyFill="0" applyBorder="0" applyAlignment="0" applyProtection="0"/>
    <xf numFmtId="210" fontId="77" fillId="0" borderId="0" applyFont="0" applyFill="0" applyBorder="0" applyAlignment="0" applyProtection="0"/>
    <xf numFmtId="230" fontId="2" fillId="0" borderId="0" applyFont="0" applyFill="0" applyBorder="0" applyAlignment="0" applyProtection="0"/>
    <xf numFmtId="231" fontId="2" fillId="0" borderId="0" applyFont="0" applyFill="0" applyBorder="0" applyProtection="0">
      <alignment horizontal="right"/>
    </xf>
    <xf numFmtId="0" fontId="2" fillId="0" borderId="0" applyFont="0" applyFill="0" applyBorder="0" applyAlignment="0" applyProtection="0"/>
    <xf numFmtId="233" fontId="77" fillId="0" borderId="0" applyFont="0" applyFill="0" applyBorder="0" applyProtection="0">
      <alignment horizontal="right"/>
    </xf>
    <xf numFmtId="231" fontId="2" fillId="0" borderId="0" applyFont="0" applyFill="0" applyBorder="0" applyProtection="0">
      <alignment horizontal="right"/>
    </xf>
    <xf numFmtId="234" fontId="2" fillId="0" borderId="0" applyFont="0" applyFill="0" applyBorder="0" applyAlignment="0" applyProtection="0"/>
    <xf numFmtId="235" fontId="77" fillId="0" borderId="0" applyFont="0" applyFill="0" applyBorder="0" applyAlignment="0" applyProtection="0"/>
    <xf numFmtId="0" fontId="97" fillId="27" borderId="0" applyNumberFormat="0" applyFont="0" applyFill="0" applyBorder="0" applyAlignment="0" applyProtection="0"/>
    <xf numFmtId="0" fontId="2" fillId="0" borderId="0"/>
    <xf numFmtId="178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 applyFont="0" applyFill="0" applyBorder="0" applyAlignment="0" applyProtection="0"/>
    <xf numFmtId="236" fontId="2" fillId="0" borderId="0" applyFont="0" applyFill="0" applyBorder="0" applyAlignment="0" applyProtection="0"/>
    <xf numFmtId="237" fontId="14" fillId="0" borderId="0" applyFont="0" applyFill="0" applyBorder="0" applyAlignment="0" applyProtection="0"/>
    <xf numFmtId="236" fontId="2" fillId="0" borderId="0" applyFont="0" applyFill="0" applyBorder="0" applyAlignment="0" applyProtection="0"/>
    <xf numFmtId="236" fontId="2" fillId="0" borderId="0" applyFont="0" applyFill="0" applyBorder="0" applyAlignment="0" applyProtection="0"/>
    <xf numFmtId="37" fontId="77" fillId="0" borderId="0" applyFont="0" applyFill="0" applyBorder="0" applyAlignment="0" applyProtection="0"/>
    <xf numFmtId="232" fontId="77" fillId="0" borderId="0" applyFont="0" applyFill="0" applyBorder="0" applyAlignment="0" applyProtection="0"/>
    <xf numFmtId="37" fontId="77" fillId="0" borderId="0" applyFont="0" applyFill="0" applyBorder="0" applyAlignment="0" applyProtection="0"/>
    <xf numFmtId="214" fontId="2" fillId="0" borderId="0" applyFont="0" applyFill="0" applyBorder="0" applyAlignment="0" applyProtection="0"/>
    <xf numFmtId="238" fontId="77" fillId="0" borderId="0" applyFont="0" applyFill="0" applyBorder="0" applyAlignment="0" applyProtection="0"/>
    <xf numFmtId="214" fontId="2" fillId="0" borderId="0" applyFont="0" applyFill="0" applyBorder="0" applyAlignment="0" applyProtection="0"/>
    <xf numFmtId="239" fontId="2" fillId="0" borderId="0" applyFont="0" applyFill="0" applyBorder="0" applyAlignment="0" applyProtection="0"/>
    <xf numFmtId="179" fontId="77" fillId="0" borderId="0" applyFont="0" applyFill="0" applyBorder="0" applyAlignment="0" applyProtection="0"/>
    <xf numFmtId="0" fontId="2" fillId="0" borderId="0" applyFont="0" applyFill="0" applyBorder="0" applyAlignment="0" applyProtection="0"/>
    <xf numFmtId="240" fontId="2" fillId="0" borderId="0" applyFont="0" applyFill="0" applyBorder="0" applyAlignment="0" applyProtection="0"/>
    <xf numFmtId="195" fontId="77" fillId="0" borderId="0" applyFont="0" applyFill="0" applyBorder="0" applyAlignment="0" applyProtection="0"/>
    <xf numFmtId="220" fontId="84" fillId="0" borderId="0" applyFont="0" applyFill="0" applyBorder="0" applyAlignment="0" applyProtection="0"/>
    <xf numFmtId="221" fontId="65" fillId="0" borderId="0" applyFont="0" applyFill="0" applyBorder="0" applyAlignment="0" applyProtection="0"/>
    <xf numFmtId="221" fontId="84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 applyFont="0" applyFill="0" applyBorder="0" applyAlignment="0" applyProtection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6" fillId="15" borderId="0"/>
    <xf numFmtId="0" fontId="96" fillId="16" borderId="0"/>
    <xf numFmtId="0" fontId="96" fillId="15" borderId="0"/>
    <xf numFmtId="0" fontId="96" fillId="16" borderId="0"/>
    <xf numFmtId="0" fontId="2" fillId="10" borderId="0"/>
    <xf numFmtId="0" fontId="96" fillId="17" borderId="0"/>
    <xf numFmtId="0" fontId="96" fillId="18" borderId="0"/>
    <xf numFmtId="0" fontId="96" fillId="17" borderId="0"/>
    <xf numFmtId="0" fontId="96" fillId="18" borderId="0"/>
    <xf numFmtId="0" fontId="96" fillId="18" borderId="0"/>
    <xf numFmtId="0" fontId="96" fillId="19" borderId="0"/>
    <xf numFmtId="0" fontId="96" fillId="18" borderId="0"/>
    <xf numFmtId="0" fontId="96" fillId="19" borderId="0"/>
    <xf numFmtId="0" fontId="96" fillId="19" borderId="0"/>
    <xf numFmtId="0" fontId="96" fillId="20" borderId="0"/>
    <xf numFmtId="0" fontId="96" fillId="19" borderId="0"/>
    <xf numFmtId="0" fontId="96" fillId="20" borderId="0"/>
    <xf numFmtId="0" fontId="96" fillId="20" borderId="0"/>
    <xf numFmtId="0" fontId="96" fillId="21" borderId="0"/>
    <xf numFmtId="0" fontId="96" fillId="20" borderId="0"/>
    <xf numFmtId="0" fontId="96" fillId="21" borderId="0"/>
    <xf numFmtId="0" fontId="97" fillId="21" borderId="0"/>
    <xf numFmtId="0" fontId="96" fillId="22" borderId="0"/>
    <xf numFmtId="0" fontId="97" fillId="21" borderId="0"/>
    <xf numFmtId="0" fontId="96" fillId="22" borderId="0"/>
    <xf numFmtId="0" fontId="98" fillId="23" borderId="0"/>
    <xf numFmtId="0" fontId="97" fillId="24" borderId="0"/>
    <xf numFmtId="0" fontId="98" fillId="23" borderId="0"/>
    <xf numFmtId="0" fontId="97" fillId="24" borderId="0"/>
    <xf numFmtId="0" fontId="97" fillId="24" borderId="0" applyNumberFormat="0" applyProtection="0"/>
    <xf numFmtId="0" fontId="97" fillId="25" borderId="0" applyNumberFormat="0" applyProtection="0"/>
    <xf numFmtId="0" fontId="97" fillId="24" borderId="0" applyNumberFormat="0" applyProtection="0"/>
    <xf numFmtId="0" fontId="97" fillId="25" borderId="0" applyNumberFormat="0" applyProtection="0"/>
    <xf numFmtId="0" fontId="104" fillId="0" borderId="0" applyNumberFormat="0" applyFill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 applyFont="0" applyFill="0" applyBorder="0" applyAlignment="0" applyProtection="0"/>
    <xf numFmtId="0" fontId="2" fillId="0" borderId="0"/>
    <xf numFmtId="0" fontId="2" fillId="0" borderId="0"/>
    <xf numFmtId="0" fontId="95" fillId="0" borderId="0"/>
    <xf numFmtId="0" fontId="2" fillId="0" borderId="0"/>
    <xf numFmtId="0" fontId="2" fillId="0" borderId="0"/>
    <xf numFmtId="0" fontId="5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105" fillId="0" borderId="0" applyNumberFormat="0" applyFill="0" applyBorder="0" applyProtection="0">
      <alignment vertical="top"/>
    </xf>
    <xf numFmtId="0" fontId="105" fillId="0" borderId="0" applyNumberFormat="0" applyFill="0" applyBorder="0" applyAlignment="0" applyProtection="0">
      <alignment vertical="top"/>
    </xf>
    <xf numFmtId="0" fontId="105" fillId="0" borderId="0" applyNumberFormat="0" applyFill="0" applyBorder="0" applyProtection="0">
      <alignment vertical="top"/>
    </xf>
    <xf numFmtId="0" fontId="105" fillId="0" borderId="0" applyNumberFormat="0" applyFill="0" applyBorder="0" applyProtection="0">
      <alignment vertical="top"/>
    </xf>
    <xf numFmtId="0" fontId="105" fillId="0" borderId="0" applyNumberFormat="0" applyFill="0" applyBorder="0" applyProtection="0">
      <alignment vertical="top"/>
    </xf>
    <xf numFmtId="0" fontId="105" fillId="0" borderId="0" applyNumberFormat="0" applyFill="0" applyBorder="0" applyProtection="0">
      <alignment vertical="top"/>
    </xf>
    <xf numFmtId="0" fontId="105" fillId="0" borderId="0" applyNumberFormat="0" applyFill="0" applyBorder="0" applyProtection="0">
      <alignment vertical="top"/>
    </xf>
    <xf numFmtId="0" fontId="105" fillId="0" borderId="0" applyNumberFormat="0" applyFill="0" applyBorder="0" applyProtection="0">
      <alignment vertical="top"/>
    </xf>
    <xf numFmtId="0" fontId="105" fillId="0" borderId="0" applyNumberFormat="0" applyFill="0" applyBorder="0" applyProtection="0">
      <alignment vertical="top"/>
    </xf>
    <xf numFmtId="0" fontId="105" fillId="0" borderId="0" applyNumberFormat="0" applyFill="0" applyBorder="0" applyProtection="0">
      <alignment vertical="top"/>
    </xf>
    <xf numFmtId="0" fontId="105" fillId="0" borderId="0" applyNumberFormat="0" applyFill="0" applyBorder="0" applyProtection="0">
      <alignment vertical="top"/>
    </xf>
    <xf numFmtId="0" fontId="105" fillId="0" borderId="0" applyNumberFormat="0" applyFill="0" applyBorder="0" applyProtection="0">
      <alignment vertical="top"/>
    </xf>
    <xf numFmtId="0" fontId="105" fillId="0" borderId="0" applyNumberFormat="0" applyFill="0" applyBorder="0" applyProtection="0">
      <alignment vertical="top"/>
    </xf>
    <xf numFmtId="0" fontId="104" fillId="0" borderId="17" applyNumberFormat="0" applyFill="0" applyProtection="0">
      <alignment horizontal="centerContinuous"/>
    </xf>
    <xf numFmtId="0" fontId="106" fillId="0" borderId="18" applyNumberFormat="0" applyFill="0" applyAlignment="0" applyProtection="0"/>
    <xf numFmtId="0" fontId="106" fillId="0" borderId="18" applyNumberFormat="0" applyFill="0" applyAlignment="0" applyProtection="0"/>
    <xf numFmtId="0" fontId="106" fillId="0" borderId="18" applyNumberFormat="0" applyFill="0" applyAlignment="0" applyProtection="0"/>
    <xf numFmtId="0" fontId="106" fillId="0" borderId="18" applyNumberFormat="0" applyFill="0" applyAlignment="0" applyProtection="0"/>
    <xf numFmtId="0" fontId="106" fillId="0" borderId="18" applyNumberFormat="0" applyFill="0" applyAlignment="0" applyProtection="0"/>
    <xf numFmtId="0" fontId="106" fillId="0" borderId="18" applyNumberFormat="0" applyFill="0" applyAlignment="0" applyProtection="0"/>
    <xf numFmtId="0" fontId="107" fillId="0" borderId="19" applyNumberFormat="0" applyFill="0" applyProtection="0">
      <alignment horizontal="center"/>
    </xf>
    <xf numFmtId="0" fontId="107" fillId="0" borderId="19" applyNumberFormat="0" applyFill="0" applyProtection="0">
      <alignment horizontal="center"/>
    </xf>
    <xf numFmtId="0" fontId="107" fillId="0" borderId="19" applyNumberFormat="0" applyFill="0" applyProtection="0">
      <alignment horizontal="center"/>
    </xf>
    <xf numFmtId="0" fontId="107" fillId="0" borderId="0" applyNumberFormat="0" applyFill="0" applyBorder="0" applyProtection="0">
      <alignment horizontal="left"/>
    </xf>
    <xf numFmtId="0" fontId="108" fillId="0" borderId="0" applyNumberFormat="0" applyFill="0" applyBorder="0" applyProtection="0">
      <alignment horizontal="centerContinuous"/>
    </xf>
    <xf numFmtId="0" fontId="108" fillId="0" borderId="0" applyNumberFormat="0" applyFill="0" applyBorder="0" applyProtection="0">
      <alignment horizontal="centerContinuous"/>
    </xf>
    <xf numFmtId="0" fontId="4" fillId="0" borderId="0"/>
    <xf numFmtId="0" fontId="76" fillId="0" borderId="0" applyNumberFormat="0" applyFont="0" applyFill="0" applyBorder="0" applyAlignment="0" applyProtection="0"/>
    <xf numFmtId="214" fontId="66" fillId="0" borderId="0">
      <alignment horizontal="right"/>
    </xf>
    <xf numFmtId="184" fontId="65" fillId="0" borderId="0" applyFont="0" applyFill="0" applyBorder="0" applyAlignment="0" applyProtection="0"/>
    <xf numFmtId="184" fontId="84" fillId="0" borderId="0" applyFont="0" applyFill="0" applyBorder="0" applyAlignment="0" applyProtection="0"/>
    <xf numFmtId="222" fontId="84" fillId="0" borderId="0" applyFont="0" applyFill="0" applyBorder="0" applyAlignment="0" applyProtection="0"/>
    <xf numFmtId="170" fontId="84" fillId="0" borderId="0" applyFont="0" applyFill="0" applyBorder="0" applyAlignment="0" applyProtection="0"/>
    <xf numFmtId="219" fontId="84" fillId="0" borderId="0" applyFont="0" applyFill="0" applyBorder="0" applyAlignment="0" applyProtection="0"/>
    <xf numFmtId="193" fontId="65" fillId="0" borderId="0" applyFont="0" applyFill="0" applyBorder="0" applyAlignment="0" applyProtection="0"/>
    <xf numFmtId="170" fontId="65" fillId="0" borderId="0" applyFont="0" applyFill="0" applyBorder="0" applyAlignment="0" applyProtection="0"/>
    <xf numFmtId="0" fontId="2" fillId="0" borderId="0"/>
    <xf numFmtId="0" fontId="2" fillId="0" borderId="0"/>
    <xf numFmtId="0" fontId="76" fillId="0" borderId="0" applyNumberFormat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4" fillId="0" borderId="0"/>
    <xf numFmtId="185" fontId="14" fillId="0" borderId="0" applyFont="0" applyFill="0" applyBorder="0" applyAlignment="0" applyProtection="0"/>
    <xf numFmtId="183" fontId="14" fillId="0" borderId="0" applyFont="0" applyFill="0" applyBorder="0" applyAlignment="0" applyProtection="0"/>
    <xf numFmtId="241" fontId="71" fillId="0" borderId="0" applyFont="0" applyFill="0" applyBorder="0" applyAlignment="0" applyProtection="0"/>
    <xf numFmtId="214" fontId="71" fillId="0" borderId="0" applyFont="0" applyFill="0" applyBorder="0" applyAlignment="0" applyProtection="0"/>
    <xf numFmtId="214" fontId="71" fillId="0" borderId="0" applyFont="0" applyFill="0" applyBorder="0" applyAlignment="0" applyProtection="0"/>
    <xf numFmtId="242" fontId="4" fillId="0" borderId="0" applyFont="0" applyFill="0" applyBorder="0" applyAlignment="0" applyProtection="0"/>
    <xf numFmtId="243" fontId="4" fillId="0" borderId="0" applyFont="0" applyFill="0" applyBorder="0" applyAlignment="0" applyProtection="0"/>
    <xf numFmtId="0" fontId="2" fillId="0" borderId="0"/>
    <xf numFmtId="244" fontId="2" fillId="0" borderId="0">
      <protection locked="0"/>
    </xf>
    <xf numFmtId="244" fontId="2" fillId="0" borderId="0">
      <protection locked="0"/>
    </xf>
    <xf numFmtId="0" fontId="14" fillId="0" borderId="0"/>
    <xf numFmtId="0" fontId="109" fillId="0" borderId="0"/>
    <xf numFmtId="0" fontId="2" fillId="0" borderId="0"/>
    <xf numFmtId="1" fontId="95" fillId="0" borderId="0"/>
    <xf numFmtId="9" fontId="2" fillId="0" borderId="0"/>
    <xf numFmtId="0" fontId="4" fillId="0" borderId="0"/>
    <xf numFmtId="0" fontId="4" fillId="0" borderId="0"/>
    <xf numFmtId="0" fontId="64" fillId="0" borderId="0"/>
    <xf numFmtId="214" fontId="95" fillId="0" borderId="0"/>
    <xf numFmtId="245" fontId="110" fillId="0" borderId="0">
      <alignment horizontal="left"/>
      <protection locked="0"/>
    </xf>
    <xf numFmtId="246" fontId="71" fillId="0" borderId="0" applyFont="0" applyFill="0" applyBorder="0" applyAlignment="0" applyProtection="0"/>
    <xf numFmtId="188" fontId="95" fillId="0" borderId="0"/>
    <xf numFmtId="2" fontId="95" fillId="0" borderId="0"/>
    <xf numFmtId="10" fontId="95" fillId="0" borderId="0"/>
    <xf numFmtId="0" fontId="111" fillId="0" borderId="20" applyFont="0" applyFill="0" applyBorder="0" applyAlignment="0" applyProtection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214" fontId="95" fillId="0" borderId="0"/>
    <xf numFmtId="247" fontId="95" fillId="0" borderId="0"/>
    <xf numFmtId="247" fontId="95" fillId="0" borderId="0"/>
    <xf numFmtId="214" fontId="95" fillId="0" borderId="0"/>
    <xf numFmtId="247" fontId="95" fillId="0" borderId="0"/>
    <xf numFmtId="214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77" fontId="4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77" fontId="4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1" fontId="95" fillId="0" borderId="0"/>
    <xf numFmtId="248" fontId="71" fillId="0" borderId="0" applyFont="0" applyFill="0" applyBorder="0" applyAlignment="0" applyProtection="0"/>
    <xf numFmtId="249" fontId="2" fillId="0" borderId="0" applyFont="0" applyFill="0" applyBorder="0" applyAlignment="0" applyProtection="0"/>
    <xf numFmtId="0" fontId="112" fillId="14" borderId="0"/>
    <xf numFmtId="250" fontId="113" fillId="0" borderId="0" applyFill="0" applyBorder="0" applyAlignment="0" applyProtection="0"/>
    <xf numFmtId="0" fontId="2" fillId="0" borderId="0"/>
    <xf numFmtId="192" fontId="114" fillId="0" borderId="0"/>
    <xf numFmtId="0" fontId="4" fillId="0" borderId="0"/>
    <xf numFmtId="170" fontId="2" fillId="0" borderId="0" applyFont="0" applyFill="0" applyBorder="0" applyAlignment="0" applyProtection="0"/>
    <xf numFmtId="0" fontId="2" fillId="0" borderId="0"/>
    <xf numFmtId="9" fontId="115" fillId="0" borderId="0" applyFont="0" applyFill="0" applyBorder="0" applyAlignment="0" applyProtection="0"/>
    <xf numFmtId="0" fontId="116" fillId="14" borderId="0"/>
    <xf numFmtId="0" fontId="117" fillId="30" borderId="0" applyNumberFormat="0" applyBorder="0" applyAlignment="0" applyProtection="0"/>
    <xf numFmtId="0" fontId="117" fillId="31" borderId="0" applyNumberFormat="0" applyBorder="0" applyAlignment="0" applyProtection="0"/>
    <xf numFmtId="0" fontId="117" fillId="32" borderId="0" applyNumberFormat="0" applyBorder="0" applyAlignment="0" applyProtection="0"/>
    <xf numFmtId="0" fontId="117" fillId="33" borderId="0" applyNumberFormat="0" applyBorder="0" applyAlignment="0" applyProtection="0"/>
    <xf numFmtId="0" fontId="117" fillId="34" borderId="0" applyNumberFormat="0" applyBorder="0" applyAlignment="0" applyProtection="0"/>
    <xf numFmtId="0" fontId="117" fillId="27" borderId="0" applyNumberFormat="0" applyBorder="0" applyAlignment="0" applyProtection="0"/>
    <xf numFmtId="0" fontId="117" fillId="30" borderId="0" applyNumberFormat="0" applyBorder="0" applyAlignment="0" applyProtection="0"/>
    <xf numFmtId="0" fontId="117" fillId="31" borderId="0" applyNumberFormat="0" applyBorder="0" applyAlignment="0" applyProtection="0"/>
    <xf numFmtId="0" fontId="117" fillId="32" borderId="0" applyNumberFormat="0" applyBorder="0" applyAlignment="0" applyProtection="0"/>
    <xf numFmtId="0" fontId="117" fillId="33" borderId="0" applyNumberFormat="0" applyBorder="0" applyAlignment="0" applyProtection="0"/>
    <xf numFmtId="0" fontId="117" fillId="34" borderId="0" applyNumberFormat="0" applyBorder="0" applyAlignment="0" applyProtection="0"/>
    <xf numFmtId="0" fontId="117" fillId="27" borderId="0" applyNumberFormat="0" applyBorder="0" applyAlignment="0" applyProtection="0"/>
    <xf numFmtId="0" fontId="117" fillId="30" borderId="0" applyNumberFormat="0" applyBorder="0" applyAlignment="0" applyProtection="0"/>
    <xf numFmtId="0" fontId="117" fillId="31" borderId="0" applyNumberFormat="0" applyBorder="0" applyAlignment="0" applyProtection="0"/>
    <xf numFmtId="0" fontId="117" fillId="32" borderId="0" applyNumberFormat="0" applyBorder="0" applyAlignment="0" applyProtection="0"/>
    <xf numFmtId="0" fontId="117" fillId="33" borderId="0" applyNumberFormat="0" applyBorder="0" applyAlignment="0" applyProtection="0"/>
    <xf numFmtId="0" fontId="117" fillId="34" borderId="0" applyNumberFormat="0" applyBorder="0" applyAlignment="0" applyProtection="0"/>
    <xf numFmtId="0" fontId="117" fillId="27" borderId="0" applyNumberFormat="0" applyBorder="0" applyAlignment="0" applyProtection="0"/>
    <xf numFmtId="0" fontId="14" fillId="0" borderId="0"/>
    <xf numFmtId="0" fontId="118" fillId="0" borderId="0"/>
    <xf numFmtId="0" fontId="119" fillId="14" borderId="0"/>
    <xf numFmtId="0" fontId="2" fillId="0" borderId="0"/>
    <xf numFmtId="0" fontId="2" fillId="0" borderId="0"/>
    <xf numFmtId="0" fontId="14" fillId="35" borderId="1"/>
    <xf numFmtId="0" fontId="120" fillId="0" borderId="0">
      <alignment wrapText="1"/>
    </xf>
    <xf numFmtId="0" fontId="117" fillId="36" borderId="0" applyNumberFormat="0" applyBorder="0" applyAlignment="0" applyProtection="0"/>
    <xf numFmtId="0" fontId="117" fillId="37" borderId="0" applyNumberFormat="0" applyBorder="0" applyAlignment="0" applyProtection="0"/>
    <xf numFmtId="0" fontId="117" fillId="19" borderId="0" applyNumberFormat="0" applyBorder="0" applyAlignment="0" applyProtection="0"/>
    <xf numFmtId="0" fontId="117" fillId="33" borderId="0" applyNumberFormat="0" applyBorder="0" applyAlignment="0" applyProtection="0"/>
    <xf numFmtId="0" fontId="117" fillId="36" borderId="0" applyNumberFormat="0" applyBorder="0" applyAlignment="0" applyProtection="0"/>
    <xf numFmtId="0" fontId="117" fillId="38" borderId="0" applyNumberFormat="0" applyBorder="0" applyAlignment="0" applyProtection="0"/>
    <xf numFmtId="0" fontId="117" fillId="36" borderId="0" applyNumberFormat="0" applyBorder="0" applyAlignment="0" applyProtection="0"/>
    <xf numFmtId="0" fontId="117" fillId="37" borderId="0" applyNumberFormat="0" applyBorder="0" applyAlignment="0" applyProtection="0"/>
    <xf numFmtId="0" fontId="117" fillId="19" borderId="0" applyNumberFormat="0" applyBorder="0" applyAlignment="0" applyProtection="0"/>
    <xf numFmtId="0" fontId="117" fillId="33" borderId="0" applyNumberFormat="0" applyBorder="0" applyAlignment="0" applyProtection="0"/>
    <xf numFmtId="0" fontId="117" fillId="36" borderId="0" applyNumberFormat="0" applyBorder="0" applyAlignment="0" applyProtection="0"/>
    <xf numFmtId="0" fontId="117" fillId="38" borderId="0" applyNumberFormat="0" applyBorder="0" applyAlignment="0" applyProtection="0"/>
    <xf numFmtId="0" fontId="117" fillId="36" borderId="0" applyNumberFormat="0" applyBorder="0" applyAlignment="0" applyProtection="0"/>
    <xf numFmtId="0" fontId="117" fillId="37" borderId="0" applyNumberFormat="0" applyBorder="0" applyAlignment="0" applyProtection="0"/>
    <xf numFmtId="0" fontId="117" fillId="19" borderId="0" applyNumberFormat="0" applyBorder="0" applyAlignment="0" applyProtection="0"/>
    <xf numFmtId="0" fontId="117" fillId="33" borderId="0" applyNumberFormat="0" applyBorder="0" applyAlignment="0" applyProtection="0"/>
    <xf numFmtId="0" fontId="117" fillId="36" borderId="0" applyNumberFormat="0" applyBorder="0" applyAlignment="0" applyProtection="0"/>
    <xf numFmtId="0" fontId="117" fillId="38" borderId="0" applyNumberFormat="0" applyBorder="0" applyAlignment="0" applyProtection="0"/>
    <xf numFmtId="0" fontId="95" fillId="0" borderId="0"/>
    <xf numFmtId="164" fontId="121" fillId="0" borderId="21" applyNumberFormat="0" applyFont="0" applyBorder="0" applyAlignment="0">
      <alignment horizontal="center" vertical="center"/>
    </xf>
    <xf numFmtId="164" fontId="121" fillId="0" borderId="21" applyNumberFormat="0" applyFont="0" applyBorder="0" applyAlignment="0">
      <alignment horizontal="center" vertical="center"/>
    </xf>
    <xf numFmtId="0" fontId="100" fillId="0" borderId="0"/>
    <xf numFmtId="0" fontId="2" fillId="0" borderId="0"/>
    <xf numFmtId="0" fontId="122" fillId="39" borderId="0" applyNumberFormat="0" applyBorder="0" applyAlignment="0" applyProtection="0"/>
    <xf numFmtId="0" fontId="122" fillId="37" borderId="0" applyNumberFormat="0" applyBorder="0" applyAlignment="0" applyProtection="0"/>
    <xf numFmtId="0" fontId="122" fillId="19" borderId="0" applyNumberFormat="0" applyBorder="0" applyAlignment="0" applyProtection="0"/>
    <xf numFmtId="0" fontId="122" fillId="40" borderId="0" applyNumberFormat="0" applyBorder="0" applyAlignment="0" applyProtection="0"/>
    <xf numFmtId="0" fontId="122" fillId="41" borderId="0" applyNumberFormat="0" applyBorder="0" applyAlignment="0" applyProtection="0"/>
    <xf numFmtId="0" fontId="122" fillId="42" borderId="0" applyNumberFormat="0" applyBorder="0" applyAlignment="0" applyProtection="0"/>
    <xf numFmtId="0" fontId="122" fillId="39" borderId="0" applyNumberFormat="0" applyBorder="0" applyAlignment="0" applyProtection="0"/>
    <xf numFmtId="0" fontId="122" fillId="37" borderId="0" applyNumberFormat="0" applyBorder="0" applyAlignment="0" applyProtection="0"/>
    <xf numFmtId="0" fontId="122" fillId="19" borderId="0" applyNumberFormat="0" applyBorder="0" applyAlignment="0" applyProtection="0"/>
    <xf numFmtId="0" fontId="122" fillId="40" borderId="0" applyNumberFormat="0" applyBorder="0" applyAlignment="0" applyProtection="0"/>
    <xf numFmtId="0" fontId="122" fillId="41" borderId="0" applyNumberFormat="0" applyBorder="0" applyAlignment="0" applyProtection="0"/>
    <xf numFmtId="0" fontId="122" fillId="42" borderId="0" applyNumberFormat="0" applyBorder="0" applyAlignment="0" applyProtection="0"/>
    <xf numFmtId="0" fontId="122" fillId="39" borderId="0" applyNumberFormat="0" applyBorder="0" applyAlignment="0" applyProtection="0"/>
    <xf numFmtId="0" fontId="122" fillId="37" borderId="0" applyNumberFormat="0" applyBorder="0" applyAlignment="0" applyProtection="0"/>
    <xf numFmtId="0" fontId="122" fillId="19" borderId="0" applyNumberFormat="0" applyBorder="0" applyAlignment="0" applyProtection="0"/>
    <xf numFmtId="0" fontId="122" fillId="40" borderId="0" applyNumberFormat="0" applyBorder="0" applyAlignment="0" applyProtection="0"/>
    <xf numFmtId="0" fontId="122" fillId="41" borderId="0" applyNumberFormat="0" applyBorder="0" applyAlignment="0" applyProtection="0"/>
    <xf numFmtId="0" fontId="122" fillId="42" borderId="0" applyNumberFormat="0" applyBorder="0" applyAlignment="0" applyProtection="0"/>
    <xf numFmtId="0" fontId="4" fillId="0" borderId="0"/>
    <xf numFmtId="37" fontId="123" fillId="0" borderId="0">
      <alignment horizontal="center"/>
    </xf>
    <xf numFmtId="0" fontId="4" fillId="0" borderId="0"/>
    <xf numFmtId="3" fontId="2" fillId="43" borderId="0" applyNumberFormat="0" applyFont="0" applyBorder="0" applyAlignment="0" applyProtection="0"/>
    <xf numFmtId="192" fontId="5" fillId="0" borderId="0">
      <alignment horizontal="center"/>
    </xf>
    <xf numFmtId="0" fontId="122" fillId="44" borderId="0" applyNumberFormat="0" applyBorder="0" applyAlignment="0" applyProtection="0"/>
    <xf numFmtId="0" fontId="122" fillId="18" borderId="0" applyNumberFormat="0" applyBorder="0" applyAlignment="0" applyProtection="0"/>
    <xf numFmtId="0" fontId="122" fillId="45" borderId="0" applyNumberFormat="0" applyBorder="0" applyAlignment="0" applyProtection="0"/>
    <xf numFmtId="0" fontId="122" fillId="40" borderId="0" applyNumberFormat="0" applyBorder="0" applyAlignment="0" applyProtection="0"/>
    <xf numFmtId="0" fontId="122" fillId="41" borderId="0" applyNumberFormat="0" applyBorder="0" applyAlignment="0" applyProtection="0"/>
    <xf numFmtId="0" fontId="122" fillId="46" borderId="0" applyNumberFormat="0" applyBorder="0" applyAlignment="0" applyProtection="0"/>
    <xf numFmtId="0" fontId="124" fillId="0" borderId="0" applyNumberFormat="0" applyFill="0" applyBorder="0" applyAlignment="0" applyProtection="0">
      <protection locked="0"/>
    </xf>
    <xf numFmtId="251" fontId="2" fillId="0" borderId="0" applyFont="0" applyFill="0" applyBorder="0" applyAlignment="0" applyProtection="0"/>
    <xf numFmtId="0" fontId="57" fillId="0" borderId="0" applyNumberFormat="0" applyAlignment="0"/>
    <xf numFmtId="252" fontId="125" fillId="0" borderId="21">
      <alignment horizontal="centerContinuous"/>
    </xf>
    <xf numFmtId="252" fontId="125" fillId="0" borderId="21">
      <alignment horizontal="centerContinuous"/>
    </xf>
    <xf numFmtId="253" fontId="2" fillId="47" borderId="22">
      <alignment horizontal="center" vertical="center"/>
    </xf>
    <xf numFmtId="0" fontId="60" fillId="2" borderId="0" applyNumberFormat="0" applyBorder="0" applyAlignment="0" applyProtection="0"/>
    <xf numFmtId="254" fontId="126" fillId="0" borderId="0" applyFont="0" applyFill="0" applyBorder="0" applyAlignment="0" applyProtection="0"/>
    <xf numFmtId="0" fontId="127" fillId="0" borderId="0" applyFont="0" applyFill="0" applyBorder="0" applyAlignment="0" applyProtection="0"/>
    <xf numFmtId="255" fontId="65" fillId="0" borderId="0" applyFont="0" applyFill="0" applyBorder="0" applyAlignment="0" applyProtection="0"/>
    <xf numFmtId="256" fontId="126" fillId="0" borderId="0" applyFont="0" applyFill="0" applyBorder="0" applyAlignment="0" applyProtection="0"/>
    <xf numFmtId="0" fontId="127" fillId="0" borderId="0" applyFont="0" applyFill="0" applyBorder="0" applyAlignment="0" applyProtection="0"/>
    <xf numFmtId="257" fontId="65" fillId="0" borderId="0" applyFont="0" applyFill="0" applyBorder="0" applyAlignment="0" applyProtection="0"/>
    <xf numFmtId="0" fontId="128" fillId="0" borderId="0"/>
    <xf numFmtId="0" fontId="122" fillId="44" borderId="0" applyNumberFormat="0" applyBorder="0" applyAlignment="0" applyProtection="0"/>
    <xf numFmtId="0" fontId="122" fillId="18" borderId="0" applyNumberFormat="0" applyBorder="0" applyAlignment="0" applyProtection="0"/>
    <xf numFmtId="0" fontId="122" fillId="45" borderId="0" applyNumberFormat="0" applyBorder="0" applyAlignment="0" applyProtection="0"/>
    <xf numFmtId="0" fontId="122" fillId="40" borderId="0" applyNumberFormat="0" applyBorder="0" applyAlignment="0" applyProtection="0"/>
    <xf numFmtId="0" fontId="122" fillId="41" borderId="0" applyNumberFormat="0" applyBorder="0" applyAlignment="0" applyProtection="0"/>
    <xf numFmtId="0" fontId="122" fillId="46" borderId="0" applyNumberFormat="0" applyBorder="0" applyAlignment="0" applyProtection="0"/>
    <xf numFmtId="192" fontId="129" fillId="0" borderId="0"/>
    <xf numFmtId="0" fontId="14" fillId="0" borderId="0"/>
    <xf numFmtId="0" fontId="4" fillId="0" borderId="0"/>
    <xf numFmtId="0" fontId="4" fillId="0" borderId="0"/>
    <xf numFmtId="0" fontId="130" fillId="0" borderId="23" applyFont="0" applyFill="0" applyBorder="0" applyAlignment="0" applyProtection="0">
      <alignment horizontal="center" vertical="center"/>
    </xf>
    <xf numFmtId="0" fontId="32" fillId="0" borderId="0">
      <alignment horizontal="center" wrapText="1"/>
      <protection locked="0"/>
    </xf>
    <xf numFmtId="0" fontId="2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57" fillId="0" borderId="24" applyNumberFormat="0" applyFill="0" applyAlignment="0" applyProtection="0"/>
    <xf numFmtId="258" fontId="2" fillId="48" borderId="25" applyProtection="0">
      <alignment horizontal="right"/>
    </xf>
    <xf numFmtId="259" fontId="2" fillId="48" borderId="25" applyProtection="0">
      <alignment horizontal="right"/>
      <protection locked="0"/>
    </xf>
    <xf numFmtId="260" fontId="2" fillId="48" borderId="25" applyProtection="0">
      <alignment horizontal="right"/>
      <protection locked="0"/>
    </xf>
    <xf numFmtId="214" fontId="2" fillId="48" borderId="25" applyProtection="0">
      <alignment horizontal="right"/>
      <protection locked="0"/>
    </xf>
    <xf numFmtId="261" fontId="2" fillId="48" borderId="25" applyProtection="0">
      <alignment horizontal="right"/>
    </xf>
    <xf numFmtId="262" fontId="2" fillId="48" borderId="25" applyProtection="0">
      <alignment horizontal="right"/>
    </xf>
    <xf numFmtId="263" fontId="2" fillId="48" borderId="25" applyProtection="0">
      <alignment horizontal="right"/>
    </xf>
    <xf numFmtId="214" fontId="2" fillId="48" borderId="25" applyProtection="0">
      <alignment horizontal="right"/>
    </xf>
    <xf numFmtId="264" fontId="2" fillId="48" borderId="25" applyProtection="0">
      <alignment horizontal="right"/>
    </xf>
    <xf numFmtId="265" fontId="2" fillId="48" borderId="25" applyProtection="0">
      <alignment horizontal="right"/>
    </xf>
    <xf numFmtId="0" fontId="5" fillId="0" borderId="21" applyFont="0">
      <alignment horizontal="centerContinuous"/>
    </xf>
    <xf numFmtId="203" fontId="126" fillId="0" borderId="0" applyFont="0" applyFill="0" applyBorder="0" applyAlignment="0" applyProtection="0"/>
    <xf numFmtId="0" fontId="127" fillId="0" borderId="0" applyFont="0" applyFill="0" applyBorder="0" applyAlignment="0" applyProtection="0"/>
    <xf numFmtId="266" fontId="126" fillId="0" borderId="0" applyFont="0" applyFill="0" applyBorder="0" applyAlignment="0" applyProtection="0"/>
    <xf numFmtId="0" fontId="127" fillId="0" borderId="0" applyFont="0" applyFill="0" applyBorder="0" applyAlignment="0" applyProtection="0"/>
    <xf numFmtId="0" fontId="131" fillId="49" borderId="26" applyNumberFormat="0" applyAlignment="0">
      <alignment horizontal="right"/>
    </xf>
    <xf numFmtId="0" fontId="132" fillId="50" borderId="27" applyNumberFormat="0" applyAlignment="0" applyProtection="0"/>
    <xf numFmtId="193" fontId="65" fillId="0" borderId="0" applyFont="0" applyFill="0" applyBorder="0" applyAlignment="0" applyProtection="0"/>
    <xf numFmtId="0" fontId="133" fillId="0" borderId="0"/>
    <xf numFmtId="0" fontId="134" fillId="0" borderId="0"/>
    <xf numFmtId="9" fontId="78" fillId="0" borderId="0"/>
    <xf numFmtId="0" fontId="78" fillId="0" borderId="0"/>
    <xf numFmtId="0" fontId="78" fillId="0" borderId="0"/>
    <xf numFmtId="192" fontId="135" fillId="0" borderId="0" applyNumberFormat="0" applyFill="0" applyBorder="0" applyAlignment="0" applyProtection="0"/>
    <xf numFmtId="192" fontId="136" fillId="0" borderId="0" applyNumberFormat="0" applyFill="0" applyBorder="0" applyAlignment="0" applyProtection="0"/>
    <xf numFmtId="192" fontId="136" fillId="0" borderId="0" applyNumberFormat="0" applyFill="0" applyBorder="0" applyAlignment="0" applyProtection="0"/>
    <xf numFmtId="192" fontId="136" fillId="0" borderId="0" applyNumberFormat="0" applyFill="0" applyBorder="0" applyAlignment="0" applyProtection="0"/>
    <xf numFmtId="192" fontId="136" fillId="0" borderId="0" applyNumberFormat="0" applyFill="0" applyBorder="0" applyAlignment="0" applyProtection="0"/>
    <xf numFmtId="192" fontId="135" fillId="0" borderId="0" applyNumberFormat="0" applyFill="0" applyBorder="0" applyAlignment="0" applyProtection="0"/>
    <xf numFmtId="0" fontId="78" fillId="0" borderId="0"/>
    <xf numFmtId="0" fontId="78" fillId="0" borderId="0"/>
    <xf numFmtId="0" fontId="2" fillId="0" borderId="0"/>
    <xf numFmtId="0" fontId="80" fillId="0" borderId="0"/>
    <xf numFmtId="0" fontId="2" fillId="11" borderId="28" applyBorder="0"/>
    <xf numFmtId="0" fontId="2" fillId="2" borderId="0"/>
    <xf numFmtId="0" fontId="137" fillId="31" borderId="0" applyNumberFormat="0" applyBorder="0" applyAlignment="0" applyProtection="0"/>
    <xf numFmtId="0" fontId="138" fillId="0" borderId="0"/>
    <xf numFmtId="0" fontId="139" fillId="50" borderId="29" applyNumberFormat="0" applyAlignment="0" applyProtection="0"/>
    <xf numFmtId="37" fontId="2" fillId="0" borderId="0" applyNumberFormat="0" applyFill="0" applyBorder="0" applyAlignment="0" applyProtection="0"/>
    <xf numFmtId="0" fontId="2" fillId="0" borderId="0" applyNumberFormat="0" applyFont="0" applyAlignment="0" applyProtection="0"/>
    <xf numFmtId="267" fontId="14" fillId="0" borderId="0" applyFont="0" applyFill="0" applyBorder="0" applyAlignment="0" applyProtection="0"/>
    <xf numFmtId="268" fontId="140" fillId="0" borderId="0" applyFont="0" applyFill="0" applyBorder="0" applyAlignment="0" applyProtection="0"/>
    <xf numFmtId="269" fontId="14" fillId="0" borderId="0" applyFont="0" applyFill="0" applyBorder="0" applyAlignment="0" applyProtection="0"/>
    <xf numFmtId="270" fontId="14" fillId="0" borderId="0" applyFont="0" applyFill="0" applyBorder="0" applyAlignment="0" applyProtection="0"/>
    <xf numFmtId="0" fontId="141" fillId="0" borderId="0" applyNumberFormat="0" applyFill="0" applyBorder="0" applyAlignment="0" applyProtection="0"/>
    <xf numFmtId="0" fontId="142" fillId="0" borderId="0" applyNumberFormat="0" applyFill="0" applyBorder="0" applyAlignment="0" applyProtection="0"/>
    <xf numFmtId="0" fontId="143" fillId="0" borderId="0" applyNumberFormat="0" applyFill="0" applyBorder="0" applyProtection="0">
      <alignment vertical="top"/>
    </xf>
    <xf numFmtId="0" fontId="144" fillId="0" borderId="0" applyNumberFormat="0"/>
    <xf numFmtId="0" fontId="7" fillId="0" borderId="21" applyNumberFormat="0" applyFill="0" applyAlignment="0" applyProtection="0"/>
    <xf numFmtId="0" fontId="7" fillId="0" borderId="21" applyNumberFormat="0" applyFill="0" applyAlignment="0" applyProtection="0"/>
    <xf numFmtId="192" fontId="18" fillId="0" borderId="0"/>
    <xf numFmtId="0" fontId="18" fillId="0" borderId="0">
      <alignment vertical="center"/>
    </xf>
    <xf numFmtId="0" fontId="2" fillId="0" borderId="28" applyNumberFormat="0" applyFont="0" applyFill="0" applyAlignment="0" applyProtection="0"/>
    <xf numFmtId="0" fontId="32" fillId="0" borderId="30" applyNumberFormat="0" applyFont="0" applyFill="0" applyAlignment="0" applyProtection="0"/>
    <xf numFmtId="271" fontId="57" fillId="0" borderId="31" applyNumberFormat="0" applyFill="0" applyAlignment="0" applyProtection="0"/>
    <xf numFmtId="3" fontId="60" fillId="14" borderId="0" applyNumberFormat="0" applyBorder="0" applyAlignment="0" applyProtection="0"/>
    <xf numFmtId="181" fontId="69" fillId="0" borderId="20"/>
    <xf numFmtId="272" fontId="145" fillId="0" borderId="0" applyFont="0" applyFill="0" applyBorder="0" applyAlignment="0" applyProtection="0"/>
    <xf numFmtId="39" fontId="51" fillId="0" borderId="0" applyFont="0" applyFill="0" applyBorder="0" applyAlignment="0" applyProtection="0">
      <alignment horizontal="center" vertical="center"/>
    </xf>
    <xf numFmtId="273" fontId="4" fillId="0" borderId="0" applyFont="0" applyFill="0" applyBorder="0" applyAlignment="0" applyProtection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7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274" fontId="2" fillId="0" borderId="0" applyFill="0" applyBorder="0" applyAlignment="0"/>
    <xf numFmtId="165" fontId="2" fillId="0" borderId="0" applyFill="0" applyBorder="0" applyAlignment="0"/>
    <xf numFmtId="169" fontId="2" fillId="0" borderId="0" applyFill="0" applyBorder="0" applyAlignment="0"/>
    <xf numFmtId="275" fontId="2" fillId="0" borderId="0" applyFill="0" applyBorder="0" applyAlignment="0"/>
    <xf numFmtId="276" fontId="2" fillId="0" borderId="0" applyFill="0" applyBorder="0" applyAlignment="0"/>
    <xf numFmtId="274" fontId="2" fillId="0" borderId="0" applyFill="0" applyBorder="0" applyAlignment="0"/>
    <xf numFmtId="277" fontId="2" fillId="0" borderId="0" applyFill="0" applyBorder="0" applyAlignment="0"/>
    <xf numFmtId="165" fontId="2" fillId="0" borderId="0" applyFill="0" applyBorder="0" applyAlignment="0"/>
    <xf numFmtId="0" fontId="139" fillId="50" borderId="29" applyNumberFormat="0" applyAlignment="0" applyProtection="0"/>
    <xf numFmtId="278" fontId="149" fillId="0" borderId="9" applyFill="0" applyBorder="0" applyAlignment="0" applyProtection="0">
      <alignment horizontal="right"/>
    </xf>
    <xf numFmtId="278" fontId="149" fillId="0" borderId="9" applyFill="0" applyBorder="0" applyAlignment="0" applyProtection="0">
      <alignment horizontal="right"/>
    </xf>
    <xf numFmtId="0" fontId="19" fillId="51" borderId="0" applyNumberFormat="0" applyFont="0" applyBorder="0" applyAlignment="0">
      <alignment horizontal="left"/>
    </xf>
    <xf numFmtId="0" fontId="57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150" fillId="0" borderId="0"/>
    <xf numFmtId="3" fontId="2" fillId="0" borderId="25"/>
    <xf numFmtId="3" fontId="36" fillId="0" borderId="25"/>
    <xf numFmtId="3" fontId="2" fillId="0" borderId="25"/>
    <xf numFmtId="3" fontId="2" fillId="0" borderId="25"/>
    <xf numFmtId="3" fontId="2" fillId="0" borderId="25"/>
    <xf numFmtId="3" fontId="2" fillId="0" borderId="25"/>
    <xf numFmtId="3" fontId="2" fillId="0" borderId="25"/>
    <xf numFmtId="1" fontId="151" fillId="0" borderId="0"/>
    <xf numFmtId="166" fontId="152" fillId="52" borderId="0" applyNumberFormat="0" applyBorder="0" applyAlignment="0" applyProtection="0"/>
    <xf numFmtId="0" fontId="153" fillId="14" borderId="0" applyNumberFormat="0" applyBorder="0" applyProtection="0">
      <alignment wrapText="1"/>
    </xf>
    <xf numFmtId="0" fontId="154" fillId="53" borderId="32" applyNumberFormat="0" applyAlignment="0" applyProtection="0"/>
    <xf numFmtId="0" fontId="155" fillId="0" borderId="21" applyNumberFormat="0" applyFill="0" applyBorder="0" applyAlignment="0" applyProtection="0">
      <alignment horizontal="center"/>
    </xf>
    <xf numFmtId="0" fontId="155" fillId="0" borderId="21" applyNumberFormat="0" applyFill="0" applyBorder="0" applyAlignment="0" applyProtection="0">
      <alignment horizontal="center"/>
    </xf>
    <xf numFmtId="0" fontId="57" fillId="0" borderId="0" applyNumberFormat="0" applyFill="0" applyBorder="0" applyProtection="0">
      <alignment horizontal="center" wrapText="1"/>
    </xf>
    <xf numFmtId="4" fontId="60" fillId="54" borderId="15" applyNumberFormat="0" applyProtection="0">
      <alignment horizontal="right" wrapText="1"/>
    </xf>
    <xf numFmtId="0" fontId="60" fillId="0" borderId="33">
      <alignment horizontal="center"/>
    </xf>
    <xf numFmtId="0" fontId="156" fillId="0" borderId="0" applyNumberFormat="0" applyFill="0" applyBorder="0" applyProtection="0">
      <alignment wrapText="1"/>
    </xf>
    <xf numFmtId="0" fontId="157" fillId="0" borderId="0" applyNumberFormat="0" applyFill="0" applyBorder="0" applyProtection="0">
      <alignment horizontal="center" wrapText="1"/>
    </xf>
    <xf numFmtId="0" fontId="54" fillId="0" borderId="25">
      <alignment horizontal="left" wrapText="1"/>
    </xf>
    <xf numFmtId="49" fontId="90" fillId="14" borderId="25">
      <alignment horizontal="center" vertical="center" wrapText="1"/>
    </xf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32" fillId="0" borderId="0"/>
    <xf numFmtId="184" fontId="1" fillId="0" borderId="0" applyFont="0" applyFill="0" applyBorder="0" applyAlignment="0" applyProtection="0"/>
    <xf numFmtId="274" fontId="2" fillId="0" borderId="0" applyFont="0" applyFill="0" applyBorder="0" applyAlignment="0" applyProtection="0"/>
    <xf numFmtId="0" fontId="32" fillId="0" borderId="0"/>
    <xf numFmtId="0" fontId="158" fillId="0" borderId="0" applyFont="0" applyFill="0" applyBorder="0" applyAlignment="0" applyProtection="0">
      <alignment horizontal="right"/>
    </xf>
    <xf numFmtId="0" fontId="158" fillId="0" borderId="0" applyFont="0" applyFill="0" applyBorder="0" applyAlignment="0" applyProtection="0"/>
    <xf numFmtId="4" fontId="159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212" fontId="64" fillId="0" borderId="0" applyFill="0" applyBorder="0" applyAlignment="0" applyProtection="0"/>
    <xf numFmtId="212" fontId="64" fillId="0" borderId="0" applyFill="0" applyBorder="0" applyAlignment="0" applyProtection="0"/>
    <xf numFmtId="212" fontId="64" fillId="0" borderId="0" applyFill="0" applyBorder="0" applyAlignment="0" applyProtection="0"/>
    <xf numFmtId="170" fontId="160" fillId="0" borderId="0" applyFont="0" applyFill="0" applyBorder="0" applyAlignment="0" applyProtection="0"/>
    <xf numFmtId="212" fontId="64" fillId="0" borderId="0" applyFill="0" applyBorder="0" applyAlignment="0" applyProtection="0"/>
    <xf numFmtId="212" fontId="64" fillId="0" borderId="0" applyFill="0" applyBorder="0" applyAlignment="0" applyProtection="0"/>
    <xf numFmtId="212" fontId="64" fillId="0" borderId="0" applyFill="0" applyBorder="0" applyAlignment="0" applyProtection="0"/>
    <xf numFmtId="212" fontId="64" fillId="0" borderId="0" applyFill="0" applyBorder="0" applyAlignment="0" applyProtection="0"/>
    <xf numFmtId="170" fontId="117" fillId="0" borderId="0" applyFont="0" applyFill="0" applyBorder="0" applyAlignment="0" applyProtection="0"/>
    <xf numFmtId="170" fontId="57" fillId="0" borderId="0" applyFont="0" applyFill="0" applyBorder="0" applyAlignment="0" applyProtection="0"/>
    <xf numFmtId="170" fontId="161" fillId="0" borderId="0" applyFont="0" applyFill="0" applyBorder="0" applyAlignment="0" applyProtection="0"/>
    <xf numFmtId="279" fontId="158" fillId="0" borderId="0" applyFont="0" applyFill="0" applyBorder="0" applyAlignment="0" applyProtection="0"/>
    <xf numFmtId="0" fontId="158" fillId="0" borderId="0" applyFont="0" applyFill="0" applyBorder="0" applyAlignment="0" applyProtection="0">
      <alignment horizontal="right"/>
    </xf>
    <xf numFmtId="212" fontId="64" fillId="0" borderId="0" applyFill="0" applyBorder="0" applyAlignment="0" applyProtection="0"/>
    <xf numFmtId="212" fontId="64" fillId="0" borderId="0" applyFill="0" applyBorder="0" applyAlignment="0" applyProtection="0"/>
    <xf numFmtId="212" fontId="64" fillId="0" borderId="0" applyFill="0" applyBorder="0" applyAlignment="0" applyProtection="0"/>
    <xf numFmtId="212" fontId="64" fillId="0" borderId="0" applyFill="0" applyBorder="0" applyAlignment="0" applyProtection="0"/>
    <xf numFmtId="212" fontId="64" fillId="0" borderId="0" applyFill="0" applyBorder="0" applyAlignment="0" applyProtection="0"/>
    <xf numFmtId="212" fontId="64" fillId="0" borderId="0" applyFill="0" applyBorder="0" applyAlignment="0" applyProtection="0"/>
    <xf numFmtId="212" fontId="64" fillId="0" borderId="0" applyFill="0" applyBorder="0" applyAlignment="0" applyProtection="0"/>
    <xf numFmtId="212" fontId="64" fillId="0" borderId="0" applyFill="0" applyBorder="0" applyAlignment="0" applyProtection="0"/>
    <xf numFmtId="212" fontId="64" fillId="0" borderId="0" applyFill="0" applyBorder="0" applyAlignment="0" applyProtection="0"/>
    <xf numFmtId="212" fontId="64" fillId="0" borderId="0" applyFill="0" applyBorder="0" applyAlignment="0" applyProtection="0"/>
    <xf numFmtId="170" fontId="162" fillId="0" borderId="0" applyFont="0" applyFill="0" applyBorder="0" applyAlignment="0" applyProtection="0"/>
    <xf numFmtId="170" fontId="117" fillId="0" borderId="0" applyFont="0" applyFill="0" applyBorder="0" applyAlignment="0" applyProtection="0"/>
    <xf numFmtId="191" fontId="2" fillId="0" borderId="0" quotePrefix="1" applyFont="0" applyFill="0" applyBorder="0" applyAlignment="0">
      <protection locked="0"/>
    </xf>
    <xf numFmtId="191" fontId="2" fillId="0" borderId="0" quotePrefix="1" applyFont="0" applyFill="0" applyBorder="0" applyAlignment="0">
      <protection locked="0"/>
    </xf>
    <xf numFmtId="170" fontId="40" fillId="0" borderId="0" applyFont="0" applyFill="0" applyBorder="0" applyAlignment="0" applyProtection="0"/>
    <xf numFmtId="0" fontId="158" fillId="0" borderId="0" applyFont="0" applyFill="0" applyBorder="0" applyAlignment="0" applyProtection="0"/>
    <xf numFmtId="212" fontId="64" fillId="0" borderId="0" applyFill="0" applyBorder="0" applyAlignment="0" applyProtection="0"/>
    <xf numFmtId="212" fontId="64" fillId="0" borderId="0" applyFill="0" applyBorder="0" applyAlignment="0" applyProtection="0"/>
    <xf numFmtId="212" fontId="64" fillId="0" borderId="0" applyFill="0" applyBorder="0" applyAlignment="0" applyProtection="0"/>
    <xf numFmtId="170" fontId="117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40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280" fontId="163" fillId="55" borderId="0" applyFill="0" applyBorder="0" applyAlignment="0">
      <protection locked="0"/>
    </xf>
    <xf numFmtId="37" fontId="32" fillId="0" borderId="0" applyFill="0" applyBorder="0" applyAlignment="0" applyProtection="0"/>
    <xf numFmtId="280" fontId="164" fillId="0" borderId="0" applyFill="0" applyBorder="0" applyAlignment="0">
      <protection locked="0"/>
    </xf>
    <xf numFmtId="0" fontId="158" fillId="0" borderId="0" applyFont="0" applyFill="0" applyBorder="0" applyAlignment="0" applyProtection="0"/>
    <xf numFmtId="38" fontId="4" fillId="0" borderId="0" applyFill="0" applyBorder="0" applyProtection="0">
      <alignment horizontal="center"/>
    </xf>
    <xf numFmtId="174" fontId="2" fillId="0" borderId="0">
      <protection locked="0"/>
    </xf>
    <xf numFmtId="3" fontId="53" fillId="0" borderId="0">
      <alignment horizontal="center"/>
    </xf>
    <xf numFmtId="39" fontId="2" fillId="0" borderId="0" applyNumberFormat="0" applyFont="0" applyAlignment="0"/>
    <xf numFmtId="0" fontId="165" fillId="0" borderId="7" applyBorder="0" applyProtection="0"/>
    <xf numFmtId="0" fontId="165" fillId="0" borderId="7" applyBorder="0" applyProtection="0"/>
    <xf numFmtId="0" fontId="166" fillId="0" borderId="0" applyNumberFormat="0" applyAlignment="0">
      <alignment horizontal="left"/>
    </xf>
    <xf numFmtId="0" fontId="52" fillId="0" borderId="0" applyNumberFormat="0" applyFill="0" applyBorder="0">
      <alignment horizontal="left" wrapText="1" indent="2"/>
    </xf>
    <xf numFmtId="0" fontId="69" fillId="0" borderId="0"/>
    <xf numFmtId="0" fontId="69" fillId="0" borderId="0"/>
    <xf numFmtId="0" fontId="32" fillId="0" borderId="0"/>
    <xf numFmtId="183" fontId="2" fillId="0" borderId="0">
      <alignment horizontal="right"/>
    </xf>
    <xf numFmtId="165" fontId="2" fillId="0" borderId="0" applyFont="0" applyFill="0" applyBorder="0" applyAlignment="0" applyProtection="0"/>
    <xf numFmtId="0" fontId="32" fillId="0" borderId="0"/>
    <xf numFmtId="182" fontId="167" fillId="0" borderId="34">
      <protection locked="0"/>
    </xf>
    <xf numFmtId="0" fontId="158" fillId="0" borderId="0" applyFont="0" applyFill="0" applyBorder="0" applyAlignment="0" applyProtection="0">
      <alignment horizontal="right"/>
    </xf>
    <xf numFmtId="182" fontId="159" fillId="0" borderId="0" applyFont="0" applyFill="0" applyBorder="0" applyAlignment="0" applyProtection="0"/>
    <xf numFmtId="185" fontId="117" fillId="0" borderId="0" applyFont="0" applyFill="0" applyBorder="0" applyAlignment="0" applyProtection="0"/>
    <xf numFmtId="281" fontId="168" fillId="0" borderId="0" applyFont="0" applyFill="0" applyBorder="0" applyAlignment="0" applyProtection="0"/>
    <xf numFmtId="0" fontId="158" fillId="0" borderId="0" applyFont="0" applyFill="0" applyBorder="0" applyAlignment="0" applyProtection="0">
      <alignment horizontal="right"/>
    </xf>
    <xf numFmtId="185" fontId="1" fillId="0" borderId="0" applyFont="0" applyFill="0" applyBorder="0" applyAlignment="0" applyProtection="0"/>
    <xf numFmtId="282" fontId="168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79" fontId="32" fillId="0" borderId="0" applyFill="0" applyBorder="0" applyAlignment="0" applyProtection="0"/>
    <xf numFmtId="283" fontId="158" fillId="0" borderId="0" applyFont="0" applyFill="0" applyBorder="0" applyAlignment="0" applyProtection="0"/>
    <xf numFmtId="284" fontId="2" fillId="0" borderId="0">
      <protection locked="0"/>
    </xf>
    <xf numFmtId="285" fontId="158" fillId="0" borderId="0" applyFill="0" applyBorder="0" applyProtection="0">
      <alignment vertical="center"/>
    </xf>
    <xf numFmtId="193" fontId="57" fillId="0" borderId="0" applyFont="0" applyFill="0" applyBorder="0" applyAlignment="0" applyProtection="0"/>
    <xf numFmtId="286" fontId="159" fillId="0" borderId="0" applyFont="0" applyFill="0" applyBorder="0" applyAlignment="0" applyProtection="0"/>
    <xf numFmtId="287" fontId="4" fillId="0" borderId="0" applyFont="0" applyFill="0" applyBorder="0" applyAlignment="0" applyProtection="0"/>
    <xf numFmtId="17" fontId="2" fillId="0" borderId="0"/>
    <xf numFmtId="288" fontId="14" fillId="0" borderId="0" applyFont="0" applyFill="0" applyBorder="0" applyAlignment="0" applyProtection="0"/>
    <xf numFmtId="289" fontId="14" fillId="0" borderId="0" applyFont="0" applyFill="0" applyBorder="0" applyAlignment="0" applyProtection="0"/>
    <xf numFmtId="0" fontId="158" fillId="0" borderId="0" applyFont="0" applyFill="0" applyBorder="0" applyAlignment="0" applyProtection="0"/>
    <xf numFmtId="290" fontId="158" fillId="0" borderId="0" applyFont="0" applyFill="0" applyBorder="0" applyAlignment="0" applyProtection="0"/>
    <xf numFmtId="14" fontId="169" fillId="0" borderId="0" applyFill="0" applyBorder="0" applyAlignment="0"/>
    <xf numFmtId="17" fontId="2" fillId="0" borderId="0"/>
    <xf numFmtId="291" fontId="170" fillId="0" borderId="0">
      <protection locked="0"/>
    </xf>
    <xf numFmtId="292" fontId="171" fillId="0" borderId="0" applyBorder="0"/>
    <xf numFmtId="164" fontId="171" fillId="0" borderId="0" applyBorder="0"/>
    <xf numFmtId="0" fontId="32" fillId="0" borderId="0">
      <alignment horizontal="right"/>
    </xf>
    <xf numFmtId="0" fontId="32" fillId="0" borderId="0">
      <alignment horizontal="right"/>
    </xf>
    <xf numFmtId="0" fontId="61" fillId="2" borderId="0" applyNumberFormat="0" applyBorder="0" applyAlignment="0" applyProtection="0"/>
    <xf numFmtId="38" fontId="95" fillId="0" borderId="35">
      <alignment vertical="center"/>
    </xf>
    <xf numFmtId="0" fontId="2" fillId="14" borderId="0">
      <alignment horizontal="center" vertical="top" wrapText="1"/>
    </xf>
    <xf numFmtId="0" fontId="54" fillId="0" borderId="0" applyNumberFormat="0" applyFill="0" applyBorder="0">
      <alignment wrapText="1"/>
    </xf>
    <xf numFmtId="37" fontId="69" fillId="0" borderId="36"/>
    <xf numFmtId="203" fontId="2" fillId="0" borderId="0" applyFont="0" applyFill="0" applyBorder="0" applyAlignment="0" applyProtection="0"/>
    <xf numFmtId="266" fontId="2" fillId="0" borderId="0" applyFont="0" applyFill="0" applyBorder="0" applyAlignment="0" applyProtection="0"/>
    <xf numFmtId="182" fontId="4" fillId="0" borderId="0" applyFill="0" applyBorder="0" applyProtection="0">
      <alignment horizontal="center"/>
    </xf>
    <xf numFmtId="180" fontId="4" fillId="0" borderId="0">
      <alignment horizontal="center"/>
    </xf>
    <xf numFmtId="179" fontId="2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58" fillId="0" borderId="12" applyNumberFormat="0" applyFont="0" applyFill="0" applyAlignment="0" applyProtection="0"/>
    <xf numFmtId="183" fontId="173" fillId="0" borderId="0" applyFill="0" applyBorder="0" applyAlignment="0" applyProtection="0"/>
    <xf numFmtId="271" fontId="174" fillId="0" borderId="0" applyNumberFormat="0" applyFill="0" applyBorder="0" applyAlignment="0" applyProtection="0"/>
    <xf numFmtId="0" fontId="175" fillId="27" borderId="29" applyNumberFormat="0" applyAlignment="0" applyProtection="0"/>
    <xf numFmtId="274" fontId="2" fillId="0" borderId="0" applyFill="0" applyBorder="0" applyAlignment="0"/>
    <xf numFmtId="165" fontId="2" fillId="0" borderId="0" applyFill="0" applyBorder="0" applyAlignment="0"/>
    <xf numFmtId="274" fontId="2" fillId="0" borderId="0" applyFill="0" applyBorder="0" applyAlignment="0"/>
    <xf numFmtId="277" fontId="2" fillId="0" borderId="0" applyFill="0" applyBorder="0" applyAlignment="0"/>
    <xf numFmtId="165" fontId="2" fillId="0" borderId="0" applyFill="0" applyBorder="0" applyAlignment="0"/>
    <xf numFmtId="37" fontId="176" fillId="0" borderId="0" applyNumberFormat="0" applyFill="0" applyBorder="0" applyAlignment="0">
      <alignment vertical="center"/>
      <protection locked="0"/>
    </xf>
    <xf numFmtId="0" fontId="177" fillId="0" borderId="0" applyNumberFormat="0" applyAlignment="0">
      <alignment horizontal="left"/>
    </xf>
    <xf numFmtId="181" fontId="2" fillId="0" borderId="0" applyFont="0" applyFill="0" applyBorder="0" applyAlignment="0" applyProtection="0"/>
    <xf numFmtId="0" fontId="178" fillId="0" borderId="37" applyNumberFormat="0" applyFill="0" applyAlignment="0" applyProtection="0"/>
    <xf numFmtId="0" fontId="179" fillId="0" borderId="0" applyNumberFormat="0" applyFill="0" applyBorder="0" applyAlignment="0" applyProtection="0"/>
    <xf numFmtId="293" fontId="2" fillId="0" borderId="0" applyFont="0" applyFill="0" applyBorder="0" applyAlignment="0" applyProtection="0"/>
    <xf numFmtId="0" fontId="179" fillId="0" borderId="0" applyNumberFormat="0" applyFill="0" applyBorder="0" applyAlignment="0" applyProtection="0"/>
    <xf numFmtId="294" fontId="170" fillId="0" borderId="0">
      <protection locked="0"/>
    </xf>
    <xf numFmtId="37" fontId="180" fillId="0" borderId="0" applyNumberFormat="0" applyFill="0" applyBorder="0" applyAlignment="0" applyProtection="0"/>
    <xf numFmtId="1" fontId="159" fillId="0" borderId="0" applyFont="0" applyFill="0" applyBorder="0" applyAlignment="0" applyProtection="0"/>
    <xf numFmtId="188" fontId="159" fillId="0" borderId="0" applyFont="0" applyFill="0" applyBorder="0" applyAlignment="0" applyProtection="0"/>
    <xf numFmtId="2" fontId="159" fillId="0" borderId="0" applyFont="0" applyFill="0" applyBorder="0" applyAlignment="0" applyProtection="0"/>
    <xf numFmtId="295" fontId="2" fillId="0" borderId="0">
      <protection locked="0"/>
    </xf>
    <xf numFmtId="0" fontId="32" fillId="0" borderId="0"/>
    <xf numFmtId="295" fontId="2" fillId="0" borderId="0">
      <protection locked="0"/>
    </xf>
    <xf numFmtId="0" fontId="2" fillId="0" borderId="0"/>
    <xf numFmtId="0" fontId="32" fillId="0" borderId="0" applyFill="0" applyBorder="0" applyProtection="0">
      <alignment horizontal="left"/>
    </xf>
    <xf numFmtId="0" fontId="181" fillId="0" borderId="0"/>
    <xf numFmtId="0" fontId="14" fillId="0" borderId="38" applyBorder="0"/>
    <xf numFmtId="0" fontId="182" fillId="0" borderId="39" applyNumberFormat="0" applyFont="0" applyFill="0" applyAlignment="0" applyProtection="0"/>
    <xf numFmtId="0" fontId="182" fillId="0" borderId="39" applyNumberFormat="0" applyFont="0" applyFill="0" applyAlignment="0" applyProtection="0"/>
    <xf numFmtId="0" fontId="183" fillId="32" borderId="0" applyNumberFormat="0" applyBorder="0" applyAlignment="0" applyProtection="0"/>
    <xf numFmtId="0" fontId="54" fillId="0" borderId="0" applyNumberFormat="0" applyFill="0" applyBorder="0">
      <alignment horizontal="center" vertical="center"/>
    </xf>
    <xf numFmtId="38" fontId="57" fillId="14" borderId="0" applyNumberFormat="0" applyBorder="0" applyAlignment="0" applyProtection="0"/>
    <xf numFmtId="0" fontId="183" fillId="32" borderId="0" applyNumberFormat="0" applyBorder="0" applyAlignment="0" applyProtection="0"/>
    <xf numFmtId="0" fontId="158" fillId="0" borderId="0" applyFont="0" applyFill="0" applyBorder="0" applyAlignment="0" applyProtection="0">
      <alignment horizontal="right"/>
    </xf>
    <xf numFmtId="0" fontId="54" fillId="11" borderId="40">
      <alignment vertical="top" wrapText="1"/>
    </xf>
    <xf numFmtId="0" fontId="156" fillId="0" borderId="41" applyNumberFormat="0" applyAlignment="0" applyProtection="0">
      <alignment horizontal="left" vertical="center"/>
    </xf>
    <xf numFmtId="0" fontId="156" fillId="0" borderId="38">
      <alignment horizontal="left" vertical="center"/>
    </xf>
    <xf numFmtId="4" fontId="63" fillId="14" borderId="0" applyNumberFormat="0" applyFill="0" applyBorder="0" applyAlignment="0" applyProtection="0"/>
    <xf numFmtId="0" fontId="57" fillId="0" borderId="0" applyNumberFormat="0" applyFont="0" applyFill="0" applyBorder="0" applyProtection="0">
      <alignment horizontal="center" vertical="top" wrapText="1"/>
    </xf>
    <xf numFmtId="0" fontId="184" fillId="0" borderId="42" applyNumberFormat="0" applyFill="0" applyAlignment="0" applyProtection="0"/>
    <xf numFmtId="0" fontId="185" fillId="0" borderId="43" applyNumberFormat="0" applyFill="0" applyAlignment="0" applyProtection="0"/>
    <xf numFmtId="0" fontId="186" fillId="0" borderId="44" applyNumberFormat="0" applyFill="0" applyAlignment="0" applyProtection="0"/>
    <xf numFmtId="0" fontId="186" fillId="0" borderId="0" applyNumberFormat="0" applyFill="0" applyBorder="0" applyAlignment="0" applyProtection="0"/>
    <xf numFmtId="0" fontId="53" fillId="0" borderId="0"/>
    <xf numFmtId="0" fontId="187" fillId="0" borderId="13"/>
    <xf numFmtId="0" fontId="188" fillId="0" borderId="13"/>
    <xf numFmtId="0" fontId="2" fillId="0" borderId="0"/>
    <xf numFmtId="0" fontId="189" fillId="0" borderId="30">
      <alignment horizontal="center"/>
    </xf>
    <xf numFmtId="0" fontId="189" fillId="0" borderId="0">
      <alignment horizontal="center"/>
    </xf>
    <xf numFmtId="0" fontId="190" fillId="0" borderId="0" applyBorder="0">
      <alignment horizontal="center" vertical="center" wrapText="1"/>
      <protection hidden="1"/>
    </xf>
    <xf numFmtId="0" fontId="54" fillId="0" borderId="0">
      <protection hidden="1"/>
    </xf>
    <xf numFmtId="0" fontId="191" fillId="0" borderId="45" applyNumberFormat="0" applyFill="0" applyAlignment="0" applyProtection="0"/>
    <xf numFmtId="0" fontId="192" fillId="0" borderId="0" applyNumberFormat="0" applyFill="0" applyBorder="0" applyAlignment="0" applyProtection="0">
      <alignment vertical="top"/>
      <protection locked="0"/>
    </xf>
    <xf numFmtId="0" fontId="193" fillId="0" borderId="0" applyNumberFormat="0" applyFill="0" applyBorder="0" applyAlignment="0" applyProtection="0">
      <alignment vertical="top"/>
      <protection locked="0"/>
    </xf>
    <xf numFmtId="0" fontId="192" fillId="0" borderId="0" applyNumberFormat="0" applyFill="0" applyBorder="0" applyAlignment="0" applyProtection="0">
      <alignment vertical="top"/>
      <protection locked="0"/>
    </xf>
    <xf numFmtId="0" fontId="18" fillId="0" borderId="0" applyNumberFormat="0" applyFont="0" applyBorder="0" applyAlignment="0">
      <alignment horizontal="centerContinuous"/>
    </xf>
    <xf numFmtId="0" fontId="18" fillId="0" borderId="0" applyNumberFormat="0" applyFont="0" applyBorder="0" applyAlignment="0">
      <alignment horizontal="centerContinuous"/>
    </xf>
    <xf numFmtId="10" fontId="57" fillId="2" borderId="25" applyNumberFormat="0" applyBorder="0" applyAlignment="0" applyProtection="0"/>
    <xf numFmtId="0" fontId="175" fillId="27" borderId="29" applyNumberFormat="0" applyAlignment="0" applyProtection="0"/>
    <xf numFmtId="192" fontId="148" fillId="22" borderId="0"/>
    <xf numFmtId="0" fontId="78" fillId="0" borderId="0" applyNumberFormat="0" applyFill="0" applyBorder="0" applyAlignment="0">
      <protection locked="0"/>
    </xf>
    <xf numFmtId="0" fontId="2" fillId="0" borderId="25" applyNumberFormat="0">
      <alignment horizontal="left" wrapText="1"/>
      <protection locked="0"/>
    </xf>
    <xf numFmtId="296" fontId="194" fillId="0" borderId="0" applyFill="0" applyBorder="0" applyProtection="0">
      <alignment vertical="center"/>
    </xf>
    <xf numFmtId="285" fontId="194" fillId="0" borderId="0" applyFill="0" applyBorder="0" applyProtection="0">
      <alignment vertical="center"/>
    </xf>
    <xf numFmtId="297" fontId="194" fillId="0" borderId="0" applyFill="0" applyBorder="0" applyProtection="0">
      <alignment vertical="center"/>
    </xf>
    <xf numFmtId="298" fontId="194" fillId="0" borderId="0" applyFill="0" applyBorder="0" applyProtection="0">
      <alignment vertical="center"/>
    </xf>
    <xf numFmtId="0" fontId="150" fillId="0" borderId="0"/>
    <xf numFmtId="299" fontId="170" fillId="0" borderId="0">
      <protection locked="0"/>
    </xf>
    <xf numFmtId="3" fontId="182" fillId="0" borderId="0" applyFont="0" applyFill="0" applyBorder="0" applyAlignment="0" applyProtection="0"/>
    <xf numFmtId="300" fontId="195" fillId="0" borderId="0">
      <protection locked="0"/>
    </xf>
    <xf numFmtId="300" fontId="195" fillId="0" borderId="0">
      <protection locked="0"/>
    </xf>
    <xf numFmtId="0" fontId="196" fillId="0" borderId="0"/>
    <xf numFmtId="0" fontId="197" fillId="0" borderId="46" applyNumberFormat="0" applyFill="0" applyAlignment="0" applyProtection="0"/>
    <xf numFmtId="0" fontId="198" fillId="0" borderId="0" applyNumberFormat="0" applyFill="0" applyBorder="0" applyAlignment="0" applyProtection="0"/>
    <xf numFmtId="0" fontId="199" fillId="0" borderId="13" applyNumberFormat="0" applyFill="0" applyAlignment="0" applyProtection="0"/>
    <xf numFmtId="0" fontId="200" fillId="0" borderId="47" applyNumberFormat="0" applyFill="0" applyAlignment="0" applyProtection="0"/>
    <xf numFmtId="0" fontId="201" fillId="0" borderId="48" applyNumberFormat="0" applyFill="0" applyAlignment="0" applyProtection="0"/>
    <xf numFmtId="0" fontId="2" fillId="56" borderId="25" applyNumberFormat="0" applyProtection="0">
      <alignment vertical="center" wrapText="1"/>
    </xf>
    <xf numFmtId="0" fontId="54" fillId="57" borderId="0" applyNumberFormat="0">
      <alignment horizontal="centerContinuous"/>
    </xf>
    <xf numFmtId="0" fontId="57" fillId="0" borderId="0" applyNumberFormat="0" applyFill="0" applyBorder="0" applyProtection="0">
      <alignment horizontal="left"/>
    </xf>
    <xf numFmtId="301" fontId="2" fillId="58" borderId="0">
      <alignment horizontal="right"/>
      <protection locked="0"/>
    </xf>
    <xf numFmtId="274" fontId="2" fillId="0" borderId="0" applyFill="0" applyBorder="0" applyAlignment="0"/>
    <xf numFmtId="165" fontId="2" fillId="0" borderId="0" applyFill="0" applyBorder="0" applyAlignment="0"/>
    <xf numFmtId="274" fontId="2" fillId="0" borderId="0" applyFill="0" applyBorder="0" applyAlignment="0"/>
    <xf numFmtId="277" fontId="2" fillId="0" borderId="0" applyFill="0" applyBorder="0" applyAlignment="0"/>
    <xf numFmtId="165" fontId="2" fillId="0" borderId="0" applyFill="0" applyBorder="0" applyAlignment="0"/>
    <xf numFmtId="0" fontId="202" fillId="0" borderId="49" applyNumberFormat="0" applyFill="0" applyAlignment="0" applyProtection="0"/>
    <xf numFmtId="192" fontId="203" fillId="15" borderId="0"/>
    <xf numFmtId="9" fontId="60" fillId="14" borderId="0" applyNumberFormat="0" applyFont="0" applyBorder="0" applyAlignment="0">
      <protection locked="0"/>
    </xf>
    <xf numFmtId="184" fontId="76" fillId="0" borderId="0" applyFont="0" applyFill="0" applyBorder="0" applyAlignment="0" applyProtection="0"/>
    <xf numFmtId="302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303" fontId="2" fillId="0" borderId="0" applyFont="0" applyFill="0" applyBorder="0" applyAlignment="0" applyProtection="0"/>
    <xf numFmtId="304" fontId="204" fillId="0" borderId="0" applyFont="0" applyFill="0" applyBorder="0" applyAlignment="0" applyProtection="0"/>
    <xf numFmtId="305" fontId="204" fillId="0" borderId="0" applyFont="0" applyFill="0" applyBorder="0" applyAlignment="0" applyProtection="0"/>
    <xf numFmtId="193" fontId="2" fillId="0" borderId="0" applyFont="0" applyFill="0" applyBorder="0" applyAlignment="0" applyProtection="0"/>
    <xf numFmtId="306" fontId="2" fillId="0" borderId="0" applyFont="0" applyFill="0" applyBorder="0" applyAlignment="0" applyProtection="0"/>
    <xf numFmtId="307" fontId="204" fillId="0" borderId="0" applyFont="0" applyFill="0" applyBorder="0" applyAlignment="0" applyProtection="0"/>
    <xf numFmtId="308" fontId="204" fillId="0" borderId="0" applyFont="0" applyFill="0" applyBorder="0" applyAlignment="0" applyProtection="0"/>
    <xf numFmtId="224" fontId="4" fillId="0" borderId="0" applyFill="0" applyBorder="0" applyProtection="0">
      <alignment horizontal="center"/>
    </xf>
    <xf numFmtId="0" fontId="158" fillId="0" borderId="0" applyFont="0" applyFill="0" applyBorder="0" applyAlignment="0" applyProtection="0">
      <alignment horizontal="right"/>
    </xf>
    <xf numFmtId="0" fontId="205" fillId="0" borderId="0" applyFont="0" applyFill="0" applyBorder="0" applyAlignment="0" applyProtection="0"/>
    <xf numFmtId="0" fontId="158" fillId="0" borderId="0" applyFont="0" applyFill="0" applyBorder="0" applyAlignment="0" applyProtection="0">
      <alignment horizontal="right"/>
    </xf>
    <xf numFmtId="297" fontId="158" fillId="0" borderId="0" applyFill="0" applyBorder="0" applyProtection="0">
      <alignment vertical="center"/>
    </xf>
    <xf numFmtId="309" fontId="158" fillId="0" borderId="0" applyFont="0" applyFill="0" applyBorder="0" applyAlignment="0" applyProtection="0">
      <alignment horizontal="right"/>
    </xf>
    <xf numFmtId="38" fontId="54" fillId="0" borderId="0"/>
    <xf numFmtId="0" fontId="206" fillId="0" borderId="0" applyBorder="0"/>
    <xf numFmtId="0" fontId="207" fillId="29" borderId="0" applyNumberFormat="0" applyBorder="0" applyAlignment="0" applyProtection="0"/>
    <xf numFmtId="37" fontId="208" fillId="0" borderId="0"/>
    <xf numFmtId="0" fontId="2" fillId="0" borderId="5">
      <alignment horizontal="center"/>
    </xf>
    <xf numFmtId="0" fontId="2" fillId="14" borderId="25" applyNumberFormat="0" applyAlignment="0"/>
    <xf numFmtId="310" fontId="2" fillId="0" borderId="0" applyAlignment="0"/>
    <xf numFmtId="311" fontId="73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57" fillId="0" borderId="0" applyFill="0" applyBorder="0" applyAlignment="0" applyProtection="0"/>
    <xf numFmtId="0" fontId="36" fillId="0" borderId="0"/>
    <xf numFmtId="0" fontId="1" fillId="0" borderId="0">
      <alignment vertical="center"/>
    </xf>
    <xf numFmtId="0" fontId="1" fillId="0" borderId="0">
      <alignment vertical="center"/>
    </xf>
    <xf numFmtId="0" fontId="57" fillId="0" borderId="0"/>
    <xf numFmtId="0" fontId="64" fillId="0" borderId="0"/>
    <xf numFmtId="0" fontId="41" fillId="0" borderId="0"/>
    <xf numFmtId="0" fontId="40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9" fillId="0" borderId="0">
      <protection locked="0"/>
    </xf>
    <xf numFmtId="0" fontId="210" fillId="0" borderId="0">
      <protection locked="0"/>
    </xf>
    <xf numFmtId="0" fontId="211" fillId="0" borderId="0">
      <protection locked="0"/>
    </xf>
    <xf numFmtId="312" fontId="212" fillId="0" borderId="0"/>
    <xf numFmtId="0" fontId="159" fillId="0" borderId="0"/>
    <xf numFmtId="313" fontId="158" fillId="0" borderId="0" applyFill="0" applyBorder="0" applyProtection="0">
      <alignment vertical="center"/>
    </xf>
    <xf numFmtId="0" fontId="14" fillId="0" borderId="0"/>
    <xf numFmtId="0" fontId="213" fillId="0" borderId="0"/>
    <xf numFmtId="192" fontId="214" fillId="0" borderId="0">
      <protection locked="0"/>
    </xf>
    <xf numFmtId="0" fontId="215" fillId="0" borderId="0"/>
    <xf numFmtId="0" fontId="2" fillId="59" borderId="25" applyNumberFormat="0" applyFont="0" applyBorder="0" applyAlignment="0" applyProtection="0"/>
    <xf numFmtId="0" fontId="216" fillId="60" borderId="50" applyNumberFormat="0" applyFont="0" applyAlignment="0" applyProtection="0"/>
    <xf numFmtId="0" fontId="91" fillId="60" borderId="50" applyNumberFormat="0" applyFont="0" applyAlignment="0" applyProtection="0"/>
    <xf numFmtId="314" fontId="169" fillId="0" borderId="0" applyFont="0" applyFill="0" applyBorder="0" applyProtection="0"/>
    <xf numFmtId="214" fontId="57" fillId="0" borderId="0" applyFill="0" applyBorder="0" applyProtection="0">
      <alignment horizontal="right" wrapText="1"/>
    </xf>
    <xf numFmtId="170" fontId="14" fillId="0" borderId="0" applyFont="0" applyFill="0" applyBorder="0" applyAlignment="0" applyProtection="0"/>
    <xf numFmtId="184" fontId="14" fillId="0" borderId="0" applyFont="0" applyFill="0" applyBorder="0" applyAlignment="0" applyProtection="0"/>
    <xf numFmtId="0" fontId="2" fillId="48" borderId="0" applyNumberFormat="0" applyBorder="0">
      <alignment wrapText="1"/>
    </xf>
    <xf numFmtId="0" fontId="132" fillId="50" borderId="27" applyNumberFormat="0" applyAlignment="0" applyProtection="0"/>
    <xf numFmtId="38" fontId="169" fillId="2" borderId="0">
      <alignment horizontal="right"/>
    </xf>
    <xf numFmtId="0" fontId="217" fillId="20" borderId="0">
      <alignment horizontal="center"/>
    </xf>
    <xf numFmtId="0" fontId="218" fillId="28" borderId="11"/>
    <xf numFmtId="0" fontId="218" fillId="28" borderId="11"/>
    <xf numFmtId="0" fontId="218" fillId="28" borderId="11"/>
    <xf numFmtId="0" fontId="219" fillId="25" borderId="0" applyBorder="0">
      <alignment horizontal="centerContinuous"/>
    </xf>
    <xf numFmtId="0" fontId="220" fillId="28" borderId="0" applyBorder="0">
      <alignment horizontal="centerContinuous"/>
    </xf>
    <xf numFmtId="0" fontId="4" fillId="61" borderId="0" applyNumberFormat="0" applyFont="0" applyBorder="0" applyAlignment="0"/>
    <xf numFmtId="315" fontId="2" fillId="0" borderId="0"/>
    <xf numFmtId="0" fontId="33" fillId="0" borderId="0">
      <alignment vertical="center"/>
    </xf>
    <xf numFmtId="315" fontId="2" fillId="0" borderId="0"/>
    <xf numFmtId="0" fontId="221" fillId="0" borderId="0" applyFill="0" applyBorder="0" applyProtection="0">
      <alignment horizontal="left"/>
    </xf>
    <xf numFmtId="0" fontId="222" fillId="0" borderId="0" applyFill="0" applyBorder="0" applyProtection="0">
      <alignment horizontal="left"/>
    </xf>
    <xf numFmtId="1" fontId="223" fillId="0" borderId="0" applyProtection="0">
      <alignment horizontal="right" vertical="center"/>
    </xf>
    <xf numFmtId="49" fontId="51" fillId="14" borderId="30"/>
    <xf numFmtId="14" fontId="32" fillId="0" borderId="0">
      <alignment horizontal="center" wrapText="1"/>
      <protection locked="0"/>
    </xf>
    <xf numFmtId="316" fontId="2" fillId="0" borderId="0" applyFont="0" applyFill="0" applyBorder="0" applyAlignment="0" applyProtection="0"/>
    <xf numFmtId="0" fontId="57" fillId="0" borderId="0"/>
    <xf numFmtId="0" fontId="32" fillId="0" borderId="0"/>
    <xf numFmtId="10" fontId="224" fillId="0" borderId="0" applyFont="0" applyFill="0" applyBorder="0" applyAlignment="0" applyProtection="0"/>
    <xf numFmtId="276" fontId="2" fillId="0" borderId="0" applyFont="0" applyFill="0" applyBorder="0" applyAlignment="0" applyProtection="0"/>
    <xf numFmtId="317" fontId="2" fillId="0" borderId="0" applyFont="0" applyFill="0" applyBorder="0" applyAlignment="0" applyProtection="0"/>
    <xf numFmtId="166" fontId="2" fillId="0" borderId="0"/>
    <xf numFmtId="10" fontId="2" fillId="0" borderId="0" applyFont="0" applyFill="0" applyBorder="0" applyAlignment="0" applyProtection="0"/>
    <xf numFmtId="9" fontId="159" fillId="0" borderId="0" applyFont="0" applyFill="0" applyBorder="0" applyAlignment="0" applyProtection="0"/>
    <xf numFmtId="166" fontId="159" fillId="0" borderId="0" applyFont="0" applyFill="0" applyBorder="0" applyAlignment="0" applyProtection="0"/>
    <xf numFmtId="10" fontId="15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4" fillId="0" borderId="0" applyFill="0" applyBorder="0" applyAlignment="0" applyProtection="0"/>
    <xf numFmtId="9" fontId="162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117" fillId="0" borderId="0" applyFont="0" applyFill="0" applyBorder="0" applyAlignment="0" applyProtection="0"/>
    <xf numFmtId="9" fontId="40" fillId="0" borderId="0" applyFont="0" applyFill="0" applyBorder="0" applyAlignment="0" applyProtection="0"/>
    <xf numFmtId="10" fontId="32" fillId="0" borderId="0">
      <alignment horizontal="right"/>
    </xf>
    <xf numFmtId="9" fontId="1" fillId="0" borderId="0" applyFont="0" applyFill="0" applyBorder="0" applyAlignment="0" applyProtection="0"/>
    <xf numFmtId="9" fontId="162" fillId="0" borderId="0" applyFont="0" applyFill="0" applyBorder="0" applyAlignment="0" applyProtection="0"/>
    <xf numFmtId="9" fontId="162" fillId="0" borderId="0" applyFont="0" applyFill="0" applyBorder="0" applyAlignment="0" applyProtection="0"/>
    <xf numFmtId="9" fontId="117" fillId="0" borderId="0" applyFont="0" applyFill="0" applyBorder="0" applyAlignment="0" applyProtection="0"/>
    <xf numFmtId="9" fontId="225" fillId="0" borderId="0" applyFont="0" applyFill="0" applyBorder="0" applyAlignment="0" applyProtection="0">
      <alignment vertical="center"/>
    </xf>
    <xf numFmtId="170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60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318" fontId="32" fillId="0" borderId="0" applyFont="0" applyFill="0" applyBorder="0" applyProtection="0">
      <alignment horizontal="right"/>
    </xf>
    <xf numFmtId="0" fontId="32" fillId="0" borderId="0" applyFill="0" applyBorder="0" applyAlignment="0" applyProtection="0"/>
    <xf numFmtId="319" fontId="168" fillId="0" borderId="0" applyFont="0" applyFill="0" applyBorder="0" applyAlignment="0" applyProtection="0"/>
    <xf numFmtId="320" fontId="2" fillId="0" borderId="25" applyFont="0" applyFill="0" applyBorder="0" applyAlignment="0" applyProtection="0"/>
    <xf numFmtId="298" fontId="158" fillId="0" borderId="0" applyFill="0" applyBorder="0" applyProtection="0">
      <alignment vertical="center"/>
    </xf>
    <xf numFmtId="166" fontId="57" fillId="0" borderId="0"/>
    <xf numFmtId="0" fontId="226" fillId="0" borderId="0"/>
    <xf numFmtId="274" fontId="2" fillId="0" borderId="0" applyFill="0" applyBorder="0" applyAlignment="0"/>
    <xf numFmtId="165" fontId="2" fillId="0" borderId="0" applyFill="0" applyBorder="0" applyAlignment="0"/>
    <xf numFmtId="274" fontId="2" fillId="0" borderId="0" applyFill="0" applyBorder="0" applyAlignment="0"/>
    <xf numFmtId="277" fontId="2" fillId="0" borderId="0" applyFill="0" applyBorder="0" applyAlignment="0"/>
    <xf numFmtId="165" fontId="2" fillId="0" borderId="0" applyFill="0" applyBorder="0" applyAlignment="0"/>
    <xf numFmtId="3" fontId="227" fillId="0" borderId="0"/>
    <xf numFmtId="321" fontId="32" fillId="0" borderId="0">
      <alignment horizontal="right"/>
    </xf>
    <xf numFmtId="0" fontId="95" fillId="0" borderId="0" applyNumberFormat="0" applyFont="0" applyFill="0" applyBorder="0" applyAlignment="0" applyProtection="0">
      <alignment horizontal="left"/>
    </xf>
    <xf numFmtId="15" fontId="95" fillId="0" borderId="0" applyFont="0" applyFill="0" applyBorder="0" applyAlignment="0" applyProtection="0"/>
    <xf numFmtId="4" fontId="95" fillId="0" borderId="0" applyFont="0" applyFill="0" applyBorder="0" applyAlignment="0" applyProtection="0"/>
    <xf numFmtId="0" fontId="228" fillId="0" borderId="30">
      <alignment horizontal="center"/>
    </xf>
    <xf numFmtId="3" fontId="95" fillId="0" borderId="0" applyFont="0" applyFill="0" applyBorder="0" applyAlignment="0" applyProtection="0"/>
    <xf numFmtId="0" fontId="95" fillId="62" borderId="0" applyNumberFormat="0" applyFont="0" applyBorder="0" applyAlignment="0" applyProtection="0"/>
    <xf numFmtId="0" fontId="229" fillId="63" borderId="0" applyNumberFormat="0" applyFont="0" applyBorder="0" applyAlignment="0">
      <alignment horizontal="center"/>
    </xf>
    <xf numFmtId="192" fontId="2" fillId="64" borderId="0" applyFill="0" applyBorder="0" applyAlignment="0" applyProtection="0"/>
    <xf numFmtId="322" fontId="230" fillId="0" borderId="0" applyNumberFormat="0" applyFill="0" applyBorder="0" applyAlignment="0" applyProtection="0">
      <alignment horizontal="left"/>
    </xf>
    <xf numFmtId="0" fontId="2" fillId="0" borderId="0" applyNumberFormat="0" applyFont="0" applyFill="0" applyBorder="0" applyProtection="0">
      <alignment horizontal="left" indent="4"/>
    </xf>
    <xf numFmtId="190" fontId="62" fillId="0" borderId="14"/>
    <xf numFmtId="3" fontId="60" fillId="54" borderId="15" applyNumberFormat="0" applyFill="0" applyBorder="0" applyProtection="0">
      <alignment horizontal="left"/>
    </xf>
    <xf numFmtId="0" fontId="73" fillId="0" borderId="0"/>
    <xf numFmtId="192" fontId="140" fillId="0" borderId="0"/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0" fontId="140" fillId="0" borderId="20">
      <alignment horizontal="centerContinuous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0"/>
    <xf numFmtId="0" fontId="140" fillId="0" borderId="0"/>
    <xf numFmtId="0" fontId="140" fillId="0" borderId="0"/>
    <xf numFmtId="0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0" fontId="140" fillId="0" borderId="0"/>
    <xf numFmtId="0" fontId="140" fillId="0" borderId="0"/>
    <xf numFmtId="0" fontId="140" fillId="0" borderId="0"/>
    <xf numFmtId="0" fontId="140" fillId="0" borderId="0"/>
    <xf numFmtId="0" fontId="140" fillId="0" borderId="0"/>
    <xf numFmtId="0" fontId="140" fillId="0" borderId="0"/>
    <xf numFmtId="0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192" fontId="140" fillId="0" borderId="0"/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0" fontId="140" fillId="0" borderId="20">
      <protection locked="0"/>
    </xf>
    <xf numFmtId="0" fontId="140" fillId="0" borderId="20">
      <protection locked="0"/>
    </xf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alignment horizontal="centerContinuous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0" fontId="140" fillId="0" borderId="20">
      <protection locked="0"/>
    </xf>
    <xf numFmtId="0" fontId="140" fillId="0" borderId="20">
      <protection locked="0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protection locked="0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0"/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0"/>
    <xf numFmtId="0" fontId="140" fillId="0" borderId="0"/>
    <xf numFmtId="0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0" fontId="140" fillId="0" borderId="0"/>
    <xf numFmtId="0" fontId="140" fillId="0" borderId="0"/>
    <xf numFmtId="0" fontId="140" fillId="0" borderId="0"/>
    <xf numFmtId="0" fontId="140" fillId="0" borderId="0"/>
    <xf numFmtId="0" fontId="140" fillId="0" borderId="0"/>
    <xf numFmtId="0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0" fontId="140" fillId="0" borderId="0"/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0"/>
    <xf numFmtId="0" fontId="140" fillId="0" borderId="0"/>
    <xf numFmtId="0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0" fontId="140" fillId="0" borderId="0"/>
    <xf numFmtId="0" fontId="140" fillId="0" borderId="0"/>
    <xf numFmtId="0" fontId="140" fillId="0" borderId="0"/>
    <xf numFmtId="0" fontId="140" fillId="0" borderId="0"/>
    <xf numFmtId="0" fontId="140" fillId="0" borderId="0"/>
    <xf numFmtId="0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192" fontId="140" fillId="0" borderId="0"/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192" fontId="140" fillId="0" borderId="0"/>
    <xf numFmtId="0" fontId="140" fillId="0" borderId="20">
      <alignment horizontal="centerContinuous"/>
    </xf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192" fontId="140" fillId="0" borderId="0"/>
    <xf numFmtId="192" fontId="140" fillId="0" borderId="0"/>
    <xf numFmtId="192" fontId="140" fillId="0" borderId="0"/>
    <xf numFmtId="192" fontId="140" fillId="0" borderId="0"/>
    <xf numFmtId="0" fontId="140" fillId="0" borderId="20">
      <protection locked="0"/>
    </xf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0"/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0" fontId="140" fillId="0" borderId="0"/>
    <xf numFmtId="0" fontId="140" fillId="0" borderId="0"/>
    <xf numFmtId="0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0" fontId="140" fillId="0" borderId="20">
      <alignment horizontal="centerContinuous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0"/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0" fontId="140" fillId="0" borderId="0"/>
    <xf numFmtId="0" fontId="140" fillId="0" borderId="0"/>
    <xf numFmtId="0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0"/>
    <xf numFmtId="0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0" fontId="140" fillId="0" borderId="0"/>
    <xf numFmtId="0" fontId="140" fillId="0" borderId="0"/>
    <xf numFmtId="0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alignment horizontal="centerContinuous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0" fontId="140" fillId="0" borderId="20">
      <protection locked="0"/>
    </xf>
    <xf numFmtId="0" fontId="140" fillId="0" borderId="20">
      <alignment horizontal="centerContinuous"/>
    </xf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192" fontId="140" fillId="0" borderId="0"/>
    <xf numFmtId="0" fontId="140" fillId="0" borderId="20">
      <alignment horizontal="centerContinuous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0"/>
    <xf numFmtId="0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0" fontId="140" fillId="0" borderId="0"/>
    <xf numFmtId="0" fontId="140" fillId="0" borderId="0"/>
    <xf numFmtId="0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0" fontId="140" fillId="0" borderId="20">
      <protection locked="0"/>
    </xf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0" fontId="140" fillId="0" borderId="20">
      <protection locked="0"/>
    </xf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192" fontId="140" fillId="0" borderId="0"/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0" fontId="140" fillId="0" borderId="0"/>
    <xf numFmtId="0" fontId="140" fillId="0" borderId="0"/>
    <xf numFmtId="0" fontId="140" fillId="0" borderId="0"/>
    <xf numFmtId="0" fontId="140" fillId="0" borderId="0"/>
    <xf numFmtId="0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0" fontId="140" fillId="0" borderId="0"/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0"/>
    <xf numFmtId="0" fontId="140" fillId="0" borderId="0"/>
    <xf numFmtId="0" fontId="140" fillId="0" borderId="0"/>
    <xf numFmtId="0" fontId="140" fillId="0" borderId="0"/>
    <xf numFmtId="0" fontId="140" fillId="0" borderId="20">
      <protection locked="0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0"/>
    <xf numFmtId="0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0" fontId="140" fillId="0" borderId="0"/>
    <xf numFmtId="0" fontId="140" fillId="0" borderId="0"/>
    <xf numFmtId="0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protection locked="0"/>
    </xf>
    <xf numFmtId="0" fontId="140" fillId="0" borderId="0"/>
    <xf numFmtId="0" fontId="140" fillId="0" borderId="0"/>
    <xf numFmtId="0" fontId="140" fillId="0" borderId="0"/>
    <xf numFmtId="0" fontId="140" fillId="0" borderId="0"/>
    <xf numFmtId="0" fontId="140" fillId="0" borderId="0"/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192" fontId="140" fillId="0" borderId="0"/>
    <xf numFmtId="0" fontId="140" fillId="0" borderId="20">
      <protection locked="0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0" fontId="140" fillId="0" borderId="20">
      <alignment horizontal="centerContinuous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alignment horizontal="centerContinuous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protection locked="0"/>
    </xf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0" fontId="140" fillId="0" borderId="20">
      <protection locked="0"/>
    </xf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192" fontId="140" fillId="0" borderId="0"/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alignment horizontal="centerContinuous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protection locked="0"/>
    </xf>
    <xf numFmtId="0" fontId="140" fillId="0" borderId="0"/>
    <xf numFmtId="0" fontId="140" fillId="0" borderId="0"/>
    <xf numFmtId="0" fontId="140" fillId="0" borderId="0"/>
    <xf numFmtId="0" fontId="140" fillId="0" borderId="0"/>
    <xf numFmtId="0" fontId="140" fillId="0" borderId="0"/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alignment horizontal="centerContinuous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0" fontId="140" fillId="0" borderId="20">
      <protection locked="0"/>
    </xf>
    <xf numFmtId="0" fontId="140" fillId="0" borderId="0"/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0" fontId="140" fillId="0" borderId="0"/>
    <xf numFmtId="0" fontId="140" fillId="0" borderId="0"/>
    <xf numFmtId="0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0" fontId="140" fillId="0" borderId="20">
      <alignment horizontal="centerContinuous"/>
    </xf>
    <xf numFmtId="0" fontId="140" fillId="0" borderId="20">
      <alignment horizontal="centerContinuous"/>
    </xf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0"/>
    <xf numFmtId="0" fontId="140" fillId="0" borderId="0"/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0" fontId="140" fillId="0" borderId="0"/>
    <xf numFmtId="0" fontId="140" fillId="0" borderId="0"/>
    <xf numFmtId="0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0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0" fontId="140" fillId="0" borderId="0"/>
    <xf numFmtId="0" fontId="140" fillId="0" borderId="0"/>
    <xf numFmtId="0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0" fontId="140" fillId="0" borderId="20">
      <alignment horizontal="centerContinuous"/>
    </xf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protection locked="0"/>
    </xf>
    <xf numFmtId="192" fontId="140" fillId="0" borderId="0"/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192" fontId="140" fillId="0" borderId="0"/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protection locked="0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alignment horizontal="centerContinuous"/>
    </xf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0" fontId="140" fillId="0" borderId="20">
      <alignment horizontal="centerContinuous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192" fontId="140" fillId="0" borderId="0"/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192" fontId="140" fillId="0" borderId="0"/>
    <xf numFmtId="192" fontId="140" fillId="0" borderId="0"/>
    <xf numFmtId="192" fontId="140" fillId="0" borderId="0"/>
    <xf numFmtId="192" fontId="140" fillId="0" borderId="0"/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192" fontId="140" fillId="0" borderId="0"/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0" fontId="140" fillId="0" borderId="20">
      <alignment horizontal="centerContinuous"/>
    </xf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0" fontId="140" fillId="0" borderId="20">
      <alignment horizontal="centerContinuous"/>
    </xf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192" fontId="140" fillId="0" borderId="0"/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192" fontId="140" fillId="0" borderId="0"/>
    <xf numFmtId="192" fontId="140" fillId="0" borderId="0"/>
    <xf numFmtId="192" fontId="140" fillId="0" borderId="0"/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alignment horizontal="centerContinuous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protection locked="0"/>
    </xf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alignment horizontal="centerContinuous"/>
    </xf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protection locked="0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192" fontId="140" fillId="0" borderId="0"/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192" fontId="140" fillId="0" borderId="0"/>
    <xf numFmtId="192" fontId="140" fillId="0" borderId="0"/>
    <xf numFmtId="192" fontId="140" fillId="0" borderId="0"/>
    <xf numFmtId="192" fontId="140" fillId="0" borderId="0"/>
    <xf numFmtId="0" fontId="140" fillId="0" borderId="20">
      <protection locked="0"/>
    </xf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192" fontId="140" fillId="0" borderId="0"/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192" fontId="140" fillId="0" borderId="0"/>
    <xf numFmtId="192" fontId="140" fillId="0" borderId="0"/>
    <xf numFmtId="192" fontId="140" fillId="0" borderId="0"/>
    <xf numFmtId="192" fontId="140" fillId="0" borderId="0"/>
    <xf numFmtId="0" fontId="140" fillId="0" borderId="20">
      <protection locked="0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alignment horizontal="centerContinuous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protection locked="0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192" fontId="140" fillId="0" borderId="0"/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192" fontId="140" fillId="0" borderId="0"/>
    <xf numFmtId="192" fontId="140" fillId="0" borderId="0"/>
    <xf numFmtId="192" fontId="140" fillId="0" borderId="0"/>
    <xf numFmtId="192" fontId="140" fillId="0" borderId="0"/>
    <xf numFmtId="0" fontId="140" fillId="0" borderId="0"/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0"/>
    <xf numFmtId="0" fontId="140" fillId="0" borderId="0"/>
    <xf numFmtId="0" fontId="140" fillId="0" borderId="0"/>
    <xf numFmtId="0" fontId="140" fillId="0" borderId="0"/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alignment horizontal="centerContinuous"/>
    </xf>
    <xf numFmtId="0" fontId="140" fillId="0" borderId="20">
      <protection locked="0"/>
    </xf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protection locked="0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0"/>
    <xf numFmtId="0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0" fontId="140" fillId="0" borderId="0"/>
    <xf numFmtId="0" fontId="140" fillId="0" borderId="0"/>
    <xf numFmtId="0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alignment horizontal="centerContinuous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192" fontId="140" fillId="0" borderId="0"/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192" fontId="140" fillId="0" borderId="0"/>
    <xf numFmtId="192" fontId="140" fillId="0" borderId="0"/>
    <xf numFmtId="192" fontId="140" fillId="0" borderId="0"/>
    <xf numFmtId="192" fontId="140" fillId="0" borderId="0"/>
    <xf numFmtId="0" fontId="140" fillId="0" borderId="0"/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0" fontId="140" fillId="0" borderId="0"/>
    <xf numFmtId="0" fontId="140" fillId="0" borderId="0"/>
    <xf numFmtId="0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0" fontId="140" fillId="0" borderId="0"/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0" fontId="140" fillId="0" borderId="0"/>
    <xf numFmtId="0" fontId="140" fillId="0" borderId="0"/>
    <xf numFmtId="0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0" fontId="140" fillId="0" borderId="0"/>
    <xf numFmtId="0" fontId="140" fillId="0" borderId="20">
      <alignment horizontal="centerContinuous"/>
    </xf>
    <xf numFmtId="0" fontId="140" fillId="0" borderId="0"/>
    <xf numFmtId="0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0" fontId="140" fillId="0" borderId="0"/>
    <xf numFmtId="0" fontId="140" fillId="0" borderId="0"/>
    <xf numFmtId="0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0" fontId="140" fillId="0" borderId="0"/>
    <xf numFmtId="0" fontId="140" fillId="0" borderId="0"/>
    <xf numFmtId="0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0" fontId="140" fillId="0" borderId="0"/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0" fontId="140" fillId="0" borderId="0"/>
    <xf numFmtId="0" fontId="140" fillId="0" borderId="0"/>
    <xf numFmtId="0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0" fontId="140" fillId="0" borderId="20">
      <protection locked="0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alignment horizontal="centerContinuous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0"/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0" fontId="140" fillId="0" borderId="0"/>
    <xf numFmtId="0" fontId="140" fillId="0" borderId="0"/>
    <xf numFmtId="0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0" fontId="140" fillId="0" borderId="20">
      <alignment horizontal="centerContinuous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alignment horizontal="centerContinuous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192" fontId="140" fillId="0" borderId="0"/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192" fontId="140" fillId="0" borderId="0"/>
    <xf numFmtId="192" fontId="140" fillId="0" borderId="0"/>
    <xf numFmtId="192" fontId="140" fillId="0" borderId="0"/>
    <xf numFmtId="0" fontId="140" fillId="0" borderId="20">
      <alignment horizontal="centerContinuous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0"/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0"/>
    <xf numFmtId="0" fontId="140" fillId="0" borderId="0"/>
    <xf numFmtId="0" fontId="140" fillId="0" borderId="0"/>
    <xf numFmtId="0" fontId="140" fillId="0" borderId="0"/>
    <xf numFmtId="0" fontId="140" fillId="0" borderId="0"/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0" fontId="140" fillId="0" borderId="0"/>
    <xf numFmtId="0" fontId="140" fillId="0" borderId="0"/>
    <xf numFmtId="0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0" fontId="140" fillId="0" borderId="0"/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0" fontId="140" fillId="0" borderId="0"/>
    <xf numFmtId="0" fontId="140" fillId="0" borderId="0"/>
    <xf numFmtId="0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0" fontId="140" fillId="0" borderId="20">
      <alignment horizontal="centerContinuous"/>
    </xf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192" fontId="140" fillId="0" borderId="0"/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192" fontId="140" fillId="0" borderId="0"/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192" fontId="140" fillId="0" borderId="0"/>
    <xf numFmtId="192" fontId="140" fillId="0" borderId="0"/>
    <xf numFmtId="192" fontId="140" fillId="0" borderId="0"/>
    <xf numFmtId="0" fontId="140" fillId="0" borderId="20">
      <alignment horizontal="centerContinuous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protection locked="0"/>
    </xf>
    <xf numFmtId="192" fontId="140" fillId="0" borderId="0"/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192" fontId="140" fillId="0" borderId="0"/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protection locked="0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protection locked="0"/>
    </xf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0" fontId="140" fillId="0" borderId="20">
      <protection locked="0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protection locked="0"/>
    </xf>
    <xf numFmtId="0" fontId="140" fillId="0" borderId="20">
      <protection locked="0"/>
    </xf>
    <xf numFmtId="0" fontId="140" fillId="0" borderId="0"/>
    <xf numFmtId="0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0" fontId="140" fillId="0" borderId="0"/>
    <xf numFmtId="0" fontId="140" fillId="0" borderId="0"/>
    <xf numFmtId="0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0"/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0"/>
    <xf numFmtId="0" fontId="140" fillId="0" borderId="0"/>
    <xf numFmtId="0" fontId="140" fillId="0" borderId="0"/>
    <xf numFmtId="0" fontId="140" fillId="0" borderId="0"/>
    <xf numFmtId="0" fontId="140" fillId="0" borderId="20">
      <alignment horizontal="centerContinuous"/>
    </xf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protection locked="0"/>
    </xf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alignment horizontal="centerContinuous"/>
    </xf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protection locked="0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alignment horizontal="centerContinuous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0" fontId="140" fillId="0" borderId="20">
      <protection locked="0"/>
    </xf>
    <xf numFmtId="192" fontId="140" fillId="0" borderId="0"/>
    <xf numFmtId="192" fontId="140" fillId="0" borderId="0"/>
    <xf numFmtId="192" fontId="140" fillId="0" borderId="0"/>
    <xf numFmtId="192" fontId="140" fillId="0" borderId="0"/>
    <xf numFmtId="192" fontId="140" fillId="0" borderId="0"/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0" fontId="140" fillId="0" borderId="20">
      <alignment horizontal="centerContinuous"/>
    </xf>
    <xf numFmtId="323" fontId="2" fillId="0" borderId="0" applyFont="0" applyFill="0" applyBorder="0" applyAlignment="0" applyProtection="0"/>
    <xf numFmtId="0" fontId="14" fillId="52" borderId="0" applyNumberFormat="0" applyFont="0" applyBorder="0" applyAlignment="0" applyProtection="0"/>
    <xf numFmtId="0" fontId="229" fillId="1" borderId="38" applyNumberFormat="0" applyFont="0" applyAlignment="0">
      <alignment horizontal="center"/>
    </xf>
    <xf numFmtId="0" fontId="231" fillId="11" borderId="0" applyAlignment="0"/>
    <xf numFmtId="324" fontId="2" fillId="0" borderId="0">
      <alignment horizontal="center"/>
    </xf>
    <xf numFmtId="325" fontId="232" fillId="0" borderId="0" applyFont="0" applyFill="0" applyBorder="0" applyAlignment="0" applyProtection="0"/>
    <xf numFmtId="224" fontId="233" fillId="0" borderId="0">
      <alignment horizontal="center"/>
    </xf>
    <xf numFmtId="183" fontId="145" fillId="0" borderId="0" applyFill="0" applyBorder="0" applyAlignment="0" applyProtection="0"/>
    <xf numFmtId="0" fontId="90" fillId="57" borderId="0" applyNumberFormat="0" applyAlignment="0"/>
    <xf numFmtId="0" fontId="234" fillId="0" borderId="0" applyNumberFormat="0">
      <alignment horizontal="left"/>
    </xf>
    <xf numFmtId="0" fontId="235" fillId="0" borderId="0" applyNumberFormat="0" applyFill="0" applyBorder="0" applyAlignment="0">
      <alignment horizontal="center"/>
    </xf>
    <xf numFmtId="0" fontId="236" fillId="0" borderId="20"/>
    <xf numFmtId="0" fontId="14" fillId="0" borderId="0"/>
    <xf numFmtId="0" fontId="2" fillId="0" borderId="0"/>
    <xf numFmtId="0" fontId="113" fillId="0" borderId="20"/>
    <xf numFmtId="0" fontId="156" fillId="22" borderId="0"/>
    <xf numFmtId="0" fontId="237" fillId="22" borderId="0"/>
    <xf numFmtId="0" fontId="238" fillId="0" borderId="51"/>
    <xf numFmtId="0" fontId="113" fillId="0" borderId="0"/>
    <xf numFmtId="0" fontId="113" fillId="0" borderId="36"/>
    <xf numFmtId="0" fontId="2" fillId="0" borderId="0"/>
    <xf numFmtId="0" fontId="2" fillId="0" borderId="0">
      <alignment vertical="top"/>
    </xf>
    <xf numFmtId="0" fontId="2" fillId="0" borderId="0" applyNumberFormat="0" applyFont="0" applyFill="0" applyBorder="0" applyAlignment="0" applyProtection="0"/>
    <xf numFmtId="0" fontId="239" fillId="52" borderId="52" applyNumberFormat="0" applyProtection="0">
      <alignment horizontal="right"/>
    </xf>
    <xf numFmtId="0" fontId="239" fillId="52" borderId="53" applyNumberFormat="0" applyProtection="0">
      <alignment horizontal="right"/>
    </xf>
    <xf numFmtId="0" fontId="239" fillId="52" borderId="54" applyNumberFormat="0" applyProtection="0">
      <alignment horizontal="right"/>
    </xf>
    <xf numFmtId="0" fontId="2" fillId="0" borderId="25" applyNumberFormat="0" applyFont="0" applyFill="0" applyProtection="0">
      <alignment horizontal="center"/>
    </xf>
    <xf numFmtId="0" fontId="239" fillId="52" borderId="50" applyNumberFormat="0" applyAlignment="0" applyProtection="0"/>
    <xf numFmtId="0" fontId="54" fillId="0" borderId="52" applyNumberFormat="0" applyFill="0" applyProtection="0">
      <alignment horizontal="right"/>
    </xf>
    <xf numFmtId="0" fontId="54" fillId="0" borderId="53" applyNumberFormat="0" applyFill="0" applyProtection="0">
      <alignment horizontal="right"/>
    </xf>
    <xf numFmtId="0" fontId="54" fillId="0" borderId="54" applyNumberFormat="0" applyFill="0" applyProtection="0">
      <alignment horizontal="right"/>
    </xf>
    <xf numFmtId="326" fontId="2" fillId="0" borderId="55" applyFont="0" applyFill="0" applyAlignment="0" applyProtection="0"/>
    <xf numFmtId="326" fontId="2" fillId="0" borderId="0" applyFill="0" applyBorder="0" applyAlignment="0" applyProtection="0"/>
    <xf numFmtId="326" fontId="2" fillId="0" borderId="56" applyFill="0" applyAlignment="0" applyProtection="0"/>
    <xf numFmtId="326" fontId="2" fillId="0" borderId="56" applyFill="0" applyAlignment="0" applyProtection="0"/>
    <xf numFmtId="326" fontId="2" fillId="65" borderId="55" applyFont="0" applyAlignment="0" applyProtection="0"/>
    <xf numFmtId="326" fontId="2" fillId="65" borderId="0" applyBorder="0" applyAlignment="0" applyProtection="0"/>
    <xf numFmtId="326" fontId="2" fillId="65" borderId="56" applyAlignment="0" applyProtection="0"/>
    <xf numFmtId="326" fontId="2" fillId="65" borderId="56" applyAlignment="0" applyProtection="0"/>
    <xf numFmtId="327" fontId="2" fillId="0" borderId="56" applyFill="0" applyAlignment="0" applyProtection="0"/>
    <xf numFmtId="327" fontId="2" fillId="0" borderId="56" applyFill="0" applyAlignment="0" applyProtection="0"/>
    <xf numFmtId="327" fontId="2" fillId="0" borderId="0" applyFont="0" applyFill="0" applyBorder="0" applyAlignment="0" applyProtection="0"/>
    <xf numFmtId="327" fontId="2" fillId="65" borderId="0" applyBorder="0" applyAlignment="0" applyProtection="0"/>
    <xf numFmtId="327" fontId="2" fillId="65" borderId="56" applyFont="0" applyAlignment="0" applyProtection="0"/>
    <xf numFmtId="327" fontId="2" fillId="65" borderId="56" applyFont="0" applyAlignment="0" applyProtection="0"/>
    <xf numFmtId="327" fontId="2" fillId="65" borderId="55" applyFont="0" applyAlignment="0" applyProtection="0"/>
    <xf numFmtId="327" fontId="2" fillId="0" borderId="55" applyFont="0" applyFill="0" applyAlignment="0" applyProtection="0"/>
    <xf numFmtId="328" fontId="2" fillId="0" borderId="56" applyFill="0" applyAlignment="0" applyProtection="0"/>
    <xf numFmtId="328" fontId="2" fillId="0" borderId="56" applyFill="0" applyAlignment="0" applyProtection="0"/>
    <xf numFmtId="328" fontId="2" fillId="0" borderId="0" applyFont="0" applyFill="0" applyBorder="0" applyAlignment="0" applyProtection="0"/>
    <xf numFmtId="328" fontId="2" fillId="65" borderId="0" applyBorder="0" applyAlignment="0" applyProtection="0"/>
    <xf numFmtId="328" fontId="2" fillId="65" borderId="56" applyFont="0" applyAlignment="0" applyProtection="0"/>
    <xf numFmtId="328" fontId="2" fillId="65" borderId="56" applyFont="0" applyAlignment="0" applyProtection="0"/>
    <xf numFmtId="328" fontId="2" fillId="65" borderId="55" applyFont="0" applyAlignment="0" applyProtection="0"/>
    <xf numFmtId="328" fontId="2" fillId="0" borderId="55" applyFont="0" applyFill="0" applyAlignment="0" applyProtection="0"/>
    <xf numFmtId="0" fontId="54" fillId="0" borderId="55" applyNumberFormat="0" applyFill="0" applyProtection="0">
      <alignment horizontal="right"/>
    </xf>
    <xf numFmtId="0" fontId="54" fillId="65" borderId="55" applyNumberFormat="0" applyProtection="0">
      <alignment horizontal="right"/>
    </xf>
    <xf numFmtId="0" fontId="2" fillId="0" borderId="57" applyNumberFormat="0" applyFont="0" applyFill="0" applyAlignment="0" applyProtection="0"/>
    <xf numFmtId="327" fontId="52" fillId="0" borderId="58" applyFill="0" applyAlignment="0" applyProtection="0"/>
    <xf numFmtId="327" fontId="52" fillId="0" borderId="58" applyFill="0" applyAlignment="0" applyProtection="0"/>
    <xf numFmtId="0" fontId="54" fillId="0" borderId="55" applyNumberFormat="0" applyFill="0" applyProtection="0">
      <alignment horizontal="right"/>
    </xf>
    <xf numFmtId="0" fontId="54" fillId="65" borderId="55" applyNumberFormat="0" applyProtection="0">
      <alignment horizontal="right"/>
    </xf>
    <xf numFmtId="329" fontId="54" fillId="0" borderId="55" applyFill="0" applyProtection="0">
      <alignment horizontal="right"/>
    </xf>
    <xf numFmtId="329" fontId="54" fillId="65" borderId="55" applyProtection="0">
      <alignment horizontal="right"/>
    </xf>
    <xf numFmtId="327" fontId="2" fillId="0" borderId="55" applyFont="0" applyFill="0" applyAlignment="0" applyProtection="0"/>
    <xf numFmtId="327" fontId="2" fillId="65" borderId="55" applyFont="0" applyAlignment="0" applyProtection="0"/>
    <xf numFmtId="328" fontId="2" fillId="0" borderId="56" applyFont="0" applyFill="0" applyAlignment="0" applyProtection="0"/>
    <xf numFmtId="328" fontId="2" fillId="0" borderId="56" applyFont="0" applyFill="0" applyAlignment="0" applyProtection="0"/>
    <xf numFmtId="328" fontId="2" fillId="65" borderId="56" applyFont="0" applyAlignment="0" applyProtection="0"/>
    <xf numFmtId="328" fontId="2" fillId="65" borderId="56" applyFont="0" applyAlignment="0" applyProtection="0"/>
    <xf numFmtId="330" fontId="2" fillId="0" borderId="55" applyFont="0" applyFill="0" applyAlignment="0" applyProtection="0"/>
    <xf numFmtId="326" fontId="2" fillId="65" borderId="55" applyFont="0" applyAlignment="0" applyProtection="0"/>
    <xf numFmtId="330" fontId="2" fillId="0" borderId="56" applyFont="0" applyFill="0" applyAlignment="0" applyProtection="0"/>
    <xf numFmtId="330" fontId="2" fillId="0" borderId="56" applyFont="0" applyFill="0" applyAlignment="0" applyProtection="0"/>
    <xf numFmtId="330" fontId="2" fillId="65" borderId="56" applyFont="0" applyAlignment="0" applyProtection="0"/>
    <xf numFmtId="330" fontId="2" fillId="65" borderId="56" applyFont="0" applyAlignment="0" applyProtection="0"/>
    <xf numFmtId="0" fontId="2" fillId="0" borderId="57" applyNumberFormat="0" applyFont="0" applyFill="0" applyAlignment="0" applyProtection="0"/>
    <xf numFmtId="326" fontId="2" fillId="0" borderId="52" applyFill="0" applyAlignment="0" applyProtection="0"/>
    <xf numFmtId="326" fontId="2" fillId="0" borderId="53" applyFont="0" applyFill="0" applyAlignment="0" applyProtection="0"/>
    <xf numFmtId="326" fontId="2" fillId="0" borderId="54" applyFont="0" applyFill="0" applyAlignment="0" applyProtection="0"/>
    <xf numFmtId="327" fontId="2" fillId="0" borderId="52" applyFill="0" applyAlignment="0" applyProtection="0"/>
    <xf numFmtId="327" fontId="2" fillId="0" borderId="53" applyFont="0" applyFill="0" applyAlignment="0" applyProtection="0"/>
    <xf numFmtId="327" fontId="2" fillId="0" borderId="54" applyFont="0" applyFill="0" applyAlignment="0" applyProtection="0"/>
    <xf numFmtId="328" fontId="2" fillId="0" borderId="52" applyFill="0" applyAlignment="0" applyProtection="0"/>
    <xf numFmtId="328" fontId="2" fillId="0" borderId="53" applyFont="0" applyFill="0" applyAlignment="0" applyProtection="0"/>
    <xf numFmtId="328" fontId="2" fillId="0" borderId="54" applyFont="0" applyFill="0" applyAlignment="0" applyProtection="0"/>
    <xf numFmtId="328" fontId="2" fillId="0" borderId="55" applyFont="0" applyFill="0" applyAlignment="0" applyProtection="0"/>
    <xf numFmtId="328" fontId="2" fillId="65" borderId="55" applyFont="0" applyAlignment="0" applyProtection="0"/>
    <xf numFmtId="328" fontId="206" fillId="66" borderId="55" applyAlignment="0" applyProtection="0"/>
    <xf numFmtId="328" fontId="206" fillId="66" borderId="56" applyAlignment="0" applyProtection="0"/>
    <xf numFmtId="328" fontId="206" fillId="66" borderId="56" applyAlignment="0" applyProtection="0"/>
    <xf numFmtId="327" fontId="206" fillId="66" borderId="55" applyAlignment="0" applyProtection="0"/>
    <xf numFmtId="326" fontId="206" fillId="66" borderId="55" applyAlignment="0" applyProtection="0"/>
    <xf numFmtId="326" fontId="206" fillId="66" borderId="56" applyAlignment="0" applyProtection="0"/>
    <xf numFmtId="326" fontId="206" fillId="66" borderId="56" applyAlignment="0" applyProtection="0"/>
    <xf numFmtId="0" fontId="206" fillId="66" borderId="55" applyNumberFormat="0" applyProtection="0">
      <alignment horizontal="right"/>
    </xf>
    <xf numFmtId="0" fontId="2" fillId="2" borderId="55" applyNumberFormat="0">
      <alignment horizontal="left"/>
    </xf>
    <xf numFmtId="0" fontId="2" fillId="65" borderId="55" applyNumberFormat="0">
      <alignment horizontal="left"/>
    </xf>
    <xf numFmtId="0" fontId="2" fillId="2" borderId="55" applyNumberFormat="0">
      <alignment horizontal="right"/>
    </xf>
    <xf numFmtId="0" fontId="2" fillId="65" borderId="55" applyNumberFormat="0">
      <alignment horizontal="right"/>
    </xf>
    <xf numFmtId="0" fontId="2" fillId="2" borderId="55" applyNumberFormat="0">
      <alignment horizontal="center"/>
    </xf>
    <xf numFmtId="0" fontId="2" fillId="65" borderId="55" applyNumberFormat="0">
      <alignment horizontal="center"/>
    </xf>
    <xf numFmtId="0" fontId="2" fillId="66" borderId="0" applyNumberFormat="0" applyBorder="0"/>
    <xf numFmtId="0" fontId="2" fillId="0" borderId="57" applyNumberFormat="0"/>
    <xf numFmtId="0" fontId="2" fillId="0" borderId="55" applyNumberFormat="0"/>
    <xf numFmtId="0" fontId="2" fillId="0" borderId="59" applyNumberFormat="0"/>
    <xf numFmtId="0" fontId="2" fillId="0" borderId="60" applyNumberFormat="0"/>
    <xf numFmtId="0" fontId="2" fillId="0" borderId="55" applyNumberFormat="0"/>
    <xf numFmtId="0" fontId="2" fillId="0" borderId="56" applyNumberFormat="0"/>
    <xf numFmtId="0" fontId="2" fillId="0" borderId="56" applyNumberFormat="0"/>
    <xf numFmtId="0" fontId="2" fillId="0" borderId="61" applyNumberFormat="0"/>
    <xf numFmtId="0" fontId="2" fillId="0" borderId="62" applyNumberFormat="0"/>
    <xf numFmtId="0" fontId="2" fillId="2" borderId="55" applyNumberFormat="0" applyFont="0" applyProtection="0">
      <alignment horizontal="left"/>
    </xf>
    <xf numFmtId="0" fontId="2" fillId="65" borderId="55" applyNumberFormat="0" applyFont="0" applyProtection="0">
      <alignment horizontal="left"/>
    </xf>
    <xf numFmtId="0" fontId="2" fillId="2" borderId="55" applyNumberFormat="0" applyFont="0" applyProtection="0">
      <alignment horizontal="right"/>
    </xf>
    <xf numFmtId="0" fontId="2" fillId="65" borderId="55" applyNumberFormat="0" applyFont="0" applyProtection="0">
      <alignment horizontal="right"/>
    </xf>
    <xf numFmtId="0" fontId="2" fillId="2" borderId="55" applyNumberFormat="0" applyFont="0" applyProtection="0">
      <alignment horizontal="center"/>
    </xf>
    <xf numFmtId="0" fontId="2" fillId="65" borderId="55" applyNumberFormat="0" applyFont="0" applyProtection="0">
      <alignment horizontal="center"/>
    </xf>
    <xf numFmtId="0" fontId="2" fillId="66" borderId="0" applyNumberFormat="0" applyBorder="0"/>
    <xf numFmtId="0" fontId="2" fillId="0" borderId="55" applyNumberFormat="0" applyFont="0" applyFill="0" applyAlignment="0" applyProtection="0"/>
    <xf numFmtId="0" fontId="2" fillId="0" borderId="52" applyNumberFormat="0" applyFont="0" applyFill="0" applyAlignment="0" applyProtection="0"/>
    <xf numFmtId="0" fontId="2" fillId="0" borderId="53" applyNumberFormat="0" applyFont="0" applyFill="0" applyAlignment="0" applyProtection="0"/>
    <xf numFmtId="331" fontId="2" fillId="65" borderId="55" applyFont="0" applyProtection="0">
      <alignment horizontal="left"/>
    </xf>
    <xf numFmtId="331" fontId="2" fillId="2" borderId="55" applyFont="0" applyProtection="0">
      <alignment horizontal="left"/>
    </xf>
    <xf numFmtId="0" fontId="229" fillId="2" borderId="55" applyNumberFormat="0" applyProtection="0">
      <alignment horizontal="center"/>
    </xf>
    <xf numFmtId="0" fontId="229" fillId="65" borderId="55" applyNumberFormat="0" applyProtection="0">
      <alignment horizontal="center"/>
    </xf>
    <xf numFmtId="0" fontId="2" fillId="0" borderId="57" applyNumberFormat="0" applyFont="0" applyFill="0" applyAlignment="0" applyProtection="0"/>
    <xf numFmtId="0" fontId="2" fillId="0" borderId="0" applyNumberFormat="0" applyFont="0" applyFill="0" applyAlignment="0" applyProtection="0"/>
    <xf numFmtId="0" fontId="2" fillId="0" borderId="59" applyNumberFormat="0" applyFont="0" applyFill="0" applyAlignment="0" applyProtection="0"/>
    <xf numFmtId="0" fontId="2" fillId="0" borderId="60" applyNumberFormat="0" applyFont="0" applyFill="0" applyAlignment="0" applyProtection="0"/>
    <xf numFmtId="0" fontId="2" fillId="0" borderId="55" applyNumberFormat="0" applyFont="0" applyFill="0" applyAlignment="0" applyProtection="0"/>
    <xf numFmtId="0" fontId="2" fillId="0" borderId="56" applyNumberFormat="0" applyFont="0" applyFill="0" applyAlignment="0" applyProtection="0"/>
    <xf numFmtId="0" fontId="2" fillId="0" borderId="56" applyNumberFormat="0" applyFont="0" applyFill="0" applyAlignment="0" applyProtection="0"/>
    <xf numFmtId="0" fontId="2" fillId="0" borderId="61" applyNumberFormat="0" applyFont="0" applyFill="0" applyAlignment="0" applyProtection="0"/>
    <xf numFmtId="0" fontId="2" fillId="0" borderId="62" applyNumberFormat="0" applyFont="0" applyFill="0" applyAlignment="0" applyProtection="0"/>
    <xf numFmtId="327" fontId="2" fillId="65" borderId="55" applyFont="0" applyAlignment="0" applyProtection="0"/>
    <xf numFmtId="328" fontId="2" fillId="0" borderId="56" applyFont="0" applyFill="0" applyAlignment="0" applyProtection="0"/>
    <xf numFmtId="328" fontId="2" fillId="0" borderId="56" applyFont="0" applyFill="0" applyAlignment="0" applyProtection="0"/>
    <xf numFmtId="328" fontId="2" fillId="65" borderId="56" applyFont="0" applyAlignment="0" applyProtection="0"/>
    <xf numFmtId="328" fontId="2" fillId="65" borderId="56" applyFont="0" applyAlignment="0" applyProtection="0"/>
    <xf numFmtId="330" fontId="2" fillId="0" borderId="55" applyFont="0" applyFill="0" applyAlignment="0" applyProtection="0"/>
    <xf numFmtId="326" fontId="2" fillId="65" borderId="55" applyFont="0" applyAlignment="0" applyProtection="0"/>
    <xf numFmtId="330" fontId="2" fillId="0" borderId="56" applyFont="0" applyFill="0" applyAlignment="0" applyProtection="0"/>
    <xf numFmtId="330" fontId="2" fillId="0" borderId="56" applyFont="0" applyFill="0" applyAlignment="0" applyProtection="0"/>
    <xf numFmtId="330" fontId="2" fillId="65" borderId="56" applyFont="0" applyAlignment="0" applyProtection="0"/>
    <xf numFmtId="330" fontId="2" fillId="65" borderId="56" applyFont="0" applyAlignment="0" applyProtection="0"/>
    <xf numFmtId="0" fontId="2" fillId="0" borderId="57" applyNumberFormat="0" applyFont="0" applyFill="0" applyAlignment="0" applyProtection="0"/>
    <xf numFmtId="0" fontId="2" fillId="65" borderId="55" applyNumberFormat="0" applyFont="0" applyProtection="0">
      <alignment horizontal="left"/>
    </xf>
    <xf numFmtId="0" fontId="2" fillId="2" borderId="55" applyNumberFormat="0" applyFont="0" applyProtection="0">
      <alignment horizontal="right"/>
    </xf>
    <xf numFmtId="0" fontId="2" fillId="65" borderId="55" applyNumberFormat="0" applyFont="0" applyProtection="0">
      <alignment horizontal="right"/>
    </xf>
    <xf numFmtId="0" fontId="2" fillId="2" borderId="55" applyNumberFormat="0" applyFont="0" applyProtection="0">
      <alignment horizontal="center"/>
    </xf>
    <xf numFmtId="0" fontId="169" fillId="0" borderId="0" applyNumberFormat="0" applyBorder="0" applyAlignment="0"/>
    <xf numFmtId="0" fontId="14" fillId="0" borderId="0"/>
    <xf numFmtId="0" fontId="240" fillId="0" borderId="0" applyNumberFormat="0" applyBorder="0" applyAlignment="0"/>
    <xf numFmtId="0" fontId="14" fillId="0" borderId="0"/>
    <xf numFmtId="0" fontId="217" fillId="0" borderId="0" applyNumberFormat="0" applyBorder="0" applyAlignment="0"/>
    <xf numFmtId="0" fontId="14" fillId="0" borderId="0"/>
    <xf numFmtId="0" fontId="241" fillId="0" borderId="0" applyNumberFormat="0" applyBorder="0" applyAlignment="0"/>
    <xf numFmtId="0" fontId="14" fillId="0" borderId="0"/>
    <xf numFmtId="0" fontId="242" fillId="0" borderId="63"/>
    <xf numFmtId="0" fontId="242" fillId="0" borderId="63"/>
    <xf numFmtId="40" fontId="243" fillId="0" borderId="0" applyBorder="0">
      <alignment horizontal="right"/>
    </xf>
    <xf numFmtId="300" fontId="170" fillId="0" borderId="39">
      <protection locked="0"/>
    </xf>
    <xf numFmtId="300" fontId="170" fillId="0" borderId="39">
      <protection locked="0"/>
    </xf>
    <xf numFmtId="0" fontId="90" fillId="0" borderId="0" applyFill="0" applyBorder="0" applyProtection="0">
      <alignment horizontal="center" vertical="center"/>
    </xf>
    <xf numFmtId="0" fontId="244" fillId="0" borderId="0" applyBorder="0" applyProtection="0">
      <alignment vertical="center"/>
    </xf>
    <xf numFmtId="0" fontId="244" fillId="0" borderId="21" applyBorder="0" applyProtection="0">
      <alignment horizontal="right" vertical="center"/>
    </xf>
    <xf numFmtId="0" fontId="244" fillId="0" borderId="21" applyBorder="0" applyProtection="0">
      <alignment horizontal="right" vertical="center"/>
    </xf>
    <xf numFmtId="0" fontId="245" fillId="67" borderId="0" applyBorder="0" applyProtection="0">
      <alignment horizontal="centerContinuous" vertical="center"/>
    </xf>
    <xf numFmtId="0" fontId="245" fillId="64" borderId="21" applyBorder="0" applyProtection="0">
      <alignment horizontal="centerContinuous" vertical="center"/>
    </xf>
    <xf numFmtId="0" fontId="245" fillId="64" borderId="21" applyBorder="0" applyProtection="0">
      <alignment horizontal="centerContinuous" vertical="center"/>
    </xf>
    <xf numFmtId="0" fontId="246" fillId="0" borderId="0" applyFill="0" applyBorder="0" applyProtection="0">
      <alignment horizontal="center" vertical="center"/>
    </xf>
    <xf numFmtId="0" fontId="60" fillId="0" borderId="0" applyBorder="0" applyProtection="0">
      <alignment horizontal="left"/>
    </xf>
    <xf numFmtId="0" fontId="247" fillId="0" borderId="51"/>
    <xf numFmtId="0" fontId="90" fillId="0" borderId="0" applyFill="0" applyBorder="0" applyProtection="0"/>
    <xf numFmtId="0" fontId="248" fillId="0" borderId="0" applyFill="0" applyBorder="0" applyProtection="0">
      <alignment vertical="center"/>
    </xf>
    <xf numFmtId="0" fontId="90" fillId="0" borderId="0" applyFill="0" applyBorder="0" applyProtection="0">
      <alignment horizontal="left"/>
    </xf>
    <xf numFmtId="0" fontId="57" fillId="0" borderId="9" applyFill="0" applyBorder="0" applyProtection="0">
      <alignment horizontal="left" vertical="top"/>
    </xf>
    <xf numFmtId="0" fontId="57" fillId="0" borderId="9" applyFill="0" applyBorder="0" applyProtection="0">
      <alignment horizontal="left" vertical="top"/>
    </xf>
    <xf numFmtId="0" fontId="54" fillId="56" borderId="25" applyNumberFormat="0" applyAlignment="0">
      <alignment horizontal="center"/>
    </xf>
    <xf numFmtId="271" fontId="91" fillId="35" borderId="0"/>
    <xf numFmtId="0" fontId="249" fillId="0" borderId="9" applyFill="0" applyBorder="0" applyProtection="0"/>
    <xf numFmtId="0" fontId="249" fillId="0" borderId="9" applyFill="0" applyBorder="0" applyProtection="0"/>
    <xf numFmtId="0" fontId="250" fillId="0" borderId="0" applyFill="0" applyBorder="0" applyProtection="0"/>
    <xf numFmtId="49" fontId="169" fillId="0" borderId="0" applyFill="0" applyBorder="0" applyAlignment="0"/>
    <xf numFmtId="186" fontId="2" fillId="0" borderId="0" applyFill="0" applyBorder="0" applyAlignment="0"/>
    <xf numFmtId="332" fontId="2" fillId="0" borderId="0" applyFill="0" applyBorder="0" applyAlignment="0"/>
    <xf numFmtId="0" fontId="146" fillId="0" borderId="0">
      <alignment vertical="center"/>
    </xf>
    <xf numFmtId="0" fontId="251" fillId="0" borderId="0" applyFill="0" applyBorder="0" applyProtection="0">
      <alignment horizontal="left" vertical="top"/>
    </xf>
    <xf numFmtId="0" fontId="1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40" fontId="17" fillId="0" borderId="0"/>
    <xf numFmtId="0" fontId="252" fillId="0" borderId="0" applyNumberFormat="0" applyFill="0" applyBorder="0" applyAlignment="0" applyProtection="0"/>
    <xf numFmtId="0" fontId="253" fillId="14" borderId="0" applyFont="0"/>
    <xf numFmtId="0" fontId="69" fillId="0" borderId="36"/>
    <xf numFmtId="0" fontId="113" fillId="0" borderId="36"/>
    <xf numFmtId="0" fontId="2" fillId="0" borderId="28" applyNumberFormat="0" applyFont="0" applyFill="0" applyAlignment="0" applyProtection="0"/>
    <xf numFmtId="0" fontId="240" fillId="43" borderId="0" applyNumberFormat="0" applyBorder="0"/>
    <xf numFmtId="0" fontId="178" fillId="0" borderId="37" applyNumberFormat="0" applyFill="0" applyAlignment="0" applyProtection="0"/>
    <xf numFmtId="296" fontId="254" fillId="0" borderId="64" applyFill="0" applyBorder="0" applyProtection="0">
      <alignment vertical="center"/>
    </xf>
    <xf numFmtId="222" fontId="2" fillId="0" borderId="0" applyFont="0" applyFill="0" applyBorder="0" applyAlignment="0" applyProtection="0"/>
    <xf numFmtId="219" fontId="2" fillId="0" borderId="0" applyFont="0" applyFill="0" applyBorder="0" applyAlignment="0" applyProtection="0"/>
    <xf numFmtId="0" fontId="2" fillId="0" borderId="0"/>
    <xf numFmtId="37" fontId="57" fillId="43" borderId="0" applyNumberFormat="0" applyBorder="0" applyAlignment="0" applyProtection="0"/>
    <xf numFmtId="37" fontId="57" fillId="0" borderId="0"/>
    <xf numFmtId="3" fontId="255" fillId="0" borderId="45" applyProtection="0"/>
    <xf numFmtId="310" fontId="256" fillId="14" borderId="0" applyFont="0" applyFill="0" applyBorder="0">
      <alignment vertical="top"/>
      <protection hidden="1"/>
    </xf>
    <xf numFmtId="0" fontId="69" fillId="0" borderId="0"/>
    <xf numFmtId="183" fontId="76" fillId="0" borderId="0" applyFont="0" applyFill="0" applyBorder="0" applyAlignment="0" applyProtection="0"/>
    <xf numFmtId="333" fontId="2" fillId="0" borderId="0" applyFont="0" applyFill="0" applyBorder="0" applyAlignment="0" applyProtection="0"/>
    <xf numFmtId="193" fontId="2" fillId="0" borderId="0" applyFont="0" applyFill="0" applyBorder="0" applyAlignment="0" applyProtection="0"/>
    <xf numFmtId="306" fontId="2" fillId="0" borderId="0" applyFont="0" applyFill="0" applyBorder="0" applyAlignment="0" applyProtection="0"/>
    <xf numFmtId="334" fontId="182" fillId="0" borderId="0" applyFont="0" applyFill="0" applyBorder="0" applyAlignment="0" applyProtection="0"/>
    <xf numFmtId="0" fontId="257" fillId="0" borderId="0" applyNumberFormat="0" applyFill="0" applyBorder="0" applyAlignment="0" applyProtection="0"/>
    <xf numFmtId="335" fontId="170" fillId="0" borderId="0">
      <protection locked="0"/>
    </xf>
    <xf numFmtId="0" fontId="140" fillId="0" borderId="0" applyFont="0" applyFill="0" applyBorder="0" applyAlignment="0" applyProtection="0"/>
    <xf numFmtId="250" fontId="4" fillId="0" borderId="0" applyFont="0" applyFill="0" applyBorder="0" applyAlignment="0" applyProtection="0"/>
    <xf numFmtId="0" fontId="2" fillId="0" borderId="0" applyFont="0" applyFill="0" applyBorder="0" applyAlignment="0" applyProtection="0"/>
    <xf numFmtId="336" fontId="4" fillId="0" borderId="0" applyFont="0" applyFill="0" applyBorder="0" applyAlignment="0" applyProtection="0"/>
    <xf numFmtId="336" fontId="4" fillId="0" borderId="0" applyFont="0" applyFill="0" applyBorder="0" applyAlignment="0" applyProtection="0"/>
    <xf numFmtId="336" fontId="4" fillId="0" borderId="0" applyFont="0" applyFill="0" applyBorder="0" applyAlignment="0" applyProtection="0"/>
    <xf numFmtId="337" fontId="2" fillId="0" borderId="0" applyFont="0" applyFill="0" applyBorder="0" applyAlignment="0" applyProtection="0"/>
    <xf numFmtId="337" fontId="2" fillId="0" borderId="0" applyFont="0" applyFill="0" applyBorder="0" applyAlignment="0" applyProtection="0"/>
    <xf numFmtId="337" fontId="2" fillId="0" borderId="0" applyFont="0" applyFill="0" applyBorder="0" applyAlignment="0" applyProtection="0"/>
    <xf numFmtId="250" fontId="4" fillId="0" borderId="0" applyFont="0" applyFill="0" applyBorder="0" applyAlignment="0" applyProtection="0"/>
    <xf numFmtId="250" fontId="4" fillId="0" borderId="0" applyFont="0" applyFill="0" applyBorder="0" applyAlignment="0" applyProtection="0"/>
    <xf numFmtId="250" fontId="4" fillId="0" borderId="0" applyFont="0" applyFill="0" applyBorder="0" applyAlignment="0" applyProtection="0"/>
    <xf numFmtId="338" fontId="2" fillId="0" borderId="0" applyFont="0" applyFill="0" applyBorder="0" applyAlignment="0" applyProtection="0"/>
    <xf numFmtId="338" fontId="2" fillId="0" borderId="0" applyFont="0" applyFill="0" applyBorder="0" applyAlignment="0" applyProtection="0"/>
    <xf numFmtId="338" fontId="2" fillId="0" borderId="0" applyFont="0" applyFill="0" applyBorder="0" applyAlignment="0" applyProtection="0"/>
    <xf numFmtId="248" fontId="2" fillId="0" borderId="0" applyFont="0" applyFill="0" applyBorder="0" applyAlignment="0" applyProtection="0"/>
    <xf numFmtId="0" fontId="145" fillId="0" borderId="0" applyFont="0" applyFill="0" applyBorder="0" applyAlignment="0" applyProtection="0"/>
    <xf numFmtId="0" fontId="258" fillId="0" borderId="0"/>
    <xf numFmtId="0" fontId="259" fillId="0" borderId="0" applyNumberFormat="0" applyFill="0" applyBorder="0" applyAlignment="0" applyProtection="0"/>
    <xf numFmtId="0" fontId="260" fillId="0" borderId="0" applyNumberFormat="0" applyFill="0" applyBorder="0" applyAlignment="0" applyProtection="0"/>
    <xf numFmtId="0" fontId="122" fillId="44" borderId="0" applyNumberFormat="0" applyBorder="0" applyAlignment="0" applyProtection="0"/>
    <xf numFmtId="0" fontId="122" fillId="18" borderId="0" applyNumberFormat="0" applyBorder="0" applyAlignment="0" applyProtection="0"/>
    <xf numFmtId="0" fontId="122" fillId="45" borderId="0" applyNumberFormat="0" applyBorder="0" applyAlignment="0" applyProtection="0"/>
    <xf numFmtId="0" fontId="122" fillId="40" borderId="0" applyNumberFormat="0" applyBorder="0" applyAlignment="0" applyProtection="0"/>
    <xf numFmtId="0" fontId="122" fillId="41" borderId="0" applyNumberFormat="0" applyBorder="0" applyAlignment="0" applyProtection="0"/>
    <xf numFmtId="0" fontId="122" fillId="46" borderId="0" applyNumberFormat="0" applyBorder="0" applyAlignment="0" applyProtection="0"/>
    <xf numFmtId="0" fontId="2" fillId="60" borderId="50" applyNumberFormat="0" applyFont="0" applyAlignment="0" applyProtection="0"/>
    <xf numFmtId="0" fontId="139" fillId="50" borderId="29" applyNumberFormat="0" applyAlignment="0" applyProtection="0"/>
    <xf numFmtId="0" fontId="183" fillId="32" borderId="0" applyNumberFormat="0" applyBorder="0" applyAlignment="0" applyProtection="0"/>
    <xf numFmtId="0" fontId="257" fillId="0" borderId="0" applyNumberFormat="0" applyFill="0" applyBorder="0" applyAlignment="0" applyProtection="0"/>
    <xf numFmtId="0" fontId="179" fillId="0" borderId="0" applyNumberFormat="0" applyFill="0" applyBorder="0" applyAlignment="0" applyProtection="0"/>
    <xf numFmtId="0" fontId="252" fillId="0" borderId="0" applyNumberFormat="0" applyFill="0" applyBorder="0" applyAlignment="0" applyProtection="0"/>
    <xf numFmtId="0" fontId="184" fillId="0" borderId="42" applyNumberFormat="0" applyFill="0" applyAlignment="0" applyProtection="0"/>
    <xf numFmtId="0" fontId="185" fillId="0" borderId="43" applyNumberFormat="0" applyFill="0" applyAlignment="0" applyProtection="0"/>
    <xf numFmtId="0" fontId="186" fillId="0" borderId="44" applyNumberFormat="0" applyFill="0" applyAlignment="0" applyProtection="0"/>
    <xf numFmtId="0" fontId="186" fillId="0" borderId="0" applyNumberFormat="0" applyFill="0" applyBorder="0" applyAlignment="0" applyProtection="0"/>
    <xf numFmtId="0" fontId="261" fillId="0" borderId="0" applyNumberFormat="0" applyFill="0" applyBorder="0" applyAlignment="0" applyProtection="0"/>
    <xf numFmtId="0" fontId="207" fillId="29" borderId="0" applyNumberFormat="0" applyBorder="0" applyAlignment="0" applyProtection="0"/>
    <xf numFmtId="0" fontId="2" fillId="0" borderId="0" applyBorder="0"/>
    <xf numFmtId="0" fontId="178" fillId="0" borderId="37" applyNumberFormat="0" applyFill="0" applyAlignment="0" applyProtection="0"/>
    <xf numFmtId="0" fontId="132" fillId="50" borderId="27" applyNumberFormat="0" applyAlignment="0" applyProtection="0"/>
    <xf numFmtId="0" fontId="175" fillId="27" borderId="29" applyNumberFormat="0" applyAlignment="0" applyProtection="0"/>
    <xf numFmtId="0" fontId="137" fillId="31" borderId="0" applyNumberFormat="0" applyBorder="0" applyAlignment="0" applyProtection="0"/>
    <xf numFmtId="0" fontId="154" fillId="53" borderId="32" applyNumberFormat="0" applyAlignment="0" applyProtection="0"/>
    <xf numFmtId="0" fontId="154" fillId="53" borderId="32" applyNumberFormat="0" applyAlignment="0" applyProtection="0"/>
    <xf numFmtId="0" fontId="202" fillId="0" borderId="49" applyNumberFormat="0" applyFill="0" applyAlignment="0" applyProtection="0"/>
    <xf numFmtId="184" fontId="262" fillId="0" borderId="0" applyFont="0" applyFill="0" applyBorder="0" applyAlignment="0" applyProtection="0"/>
    <xf numFmtId="203" fontId="263" fillId="0" borderId="0" applyFont="0" applyFill="0" applyBorder="0" applyAlignment="0" applyProtection="0"/>
    <xf numFmtId="0" fontId="262" fillId="0" borderId="0"/>
    <xf numFmtId="0" fontId="4" fillId="0" borderId="0"/>
    <xf numFmtId="170" fontId="117" fillId="0" borderId="0" applyFont="0" applyFill="0" applyBorder="0" applyAlignment="0" applyProtection="0"/>
    <xf numFmtId="266" fontId="264" fillId="0" borderId="0" applyFont="0" applyFill="0" applyBorder="0" applyAlignment="0" applyProtection="0"/>
    <xf numFmtId="170" fontId="67" fillId="0" borderId="0" applyFont="0" applyFill="0" applyBorder="0" applyAlignment="0" applyProtection="0"/>
    <xf numFmtId="0" fontId="265" fillId="32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117" fillId="0" borderId="0"/>
    <xf numFmtId="0" fontId="2" fillId="0" borderId="0"/>
    <xf numFmtId="0" fontId="4" fillId="0" borderId="0"/>
    <xf numFmtId="203" fontId="169" fillId="0" borderId="0" applyFont="0" applyFill="0" applyBorder="0" applyAlignment="0" applyProtection="0">
      <alignment vertical="top"/>
    </xf>
    <xf numFmtId="0" fontId="267" fillId="0" borderId="0"/>
    <xf numFmtId="9" fontId="117" fillId="0" borderId="0" applyFont="0" applyFill="0" applyBorder="0" applyAlignment="0" applyProtection="0"/>
    <xf numFmtId="185" fontId="4" fillId="0" borderId="0" applyFont="0" applyFill="0" applyBorder="0" applyAlignment="0" applyProtection="0">
      <alignment vertical="center"/>
    </xf>
    <xf numFmtId="170" fontId="55" fillId="0" borderId="0" applyFont="0" applyFill="0" applyBorder="0" applyAlignment="0" applyProtection="0"/>
    <xf numFmtId="0" fontId="60" fillId="11" borderId="0" applyFill="0"/>
    <xf numFmtId="0" fontId="1" fillId="0" borderId="0"/>
    <xf numFmtId="176" fontId="1" fillId="0" borderId="0" applyFont="0" applyFill="0" applyBorder="0" applyAlignment="0" applyProtection="0"/>
    <xf numFmtId="0" fontId="1" fillId="0" borderId="0"/>
    <xf numFmtId="0" fontId="2" fillId="0" borderId="1" applyNumberFormat="0" applyFont="0" applyFill="0" applyProtection="0">
      <alignment horizontal="center"/>
    </xf>
    <xf numFmtId="4" fontId="99" fillId="26" borderId="66" applyBorder="0"/>
    <xf numFmtId="4" fontId="99" fillId="27" borderId="66" applyBorder="0"/>
    <xf numFmtId="4" fontId="99" fillId="26" borderId="66" applyBorder="0"/>
    <xf numFmtId="4" fontId="99" fillId="27" borderId="66" applyBorder="0"/>
    <xf numFmtId="0" fontId="57" fillId="0" borderId="67" applyNumberFormat="0" applyFill="0" applyAlignment="0" applyProtection="0"/>
    <xf numFmtId="258" fontId="2" fillId="48" borderId="68" applyProtection="0">
      <alignment horizontal="right"/>
    </xf>
    <xf numFmtId="259" fontId="2" fillId="48" borderId="68" applyProtection="0">
      <alignment horizontal="right"/>
      <protection locked="0"/>
    </xf>
    <xf numFmtId="260" fontId="2" fillId="48" borderId="68" applyProtection="0">
      <alignment horizontal="right"/>
      <protection locked="0"/>
    </xf>
    <xf numFmtId="214" fontId="2" fillId="48" borderId="68" applyProtection="0">
      <alignment horizontal="right"/>
      <protection locked="0"/>
    </xf>
    <xf numFmtId="261" fontId="2" fillId="48" borderId="68" applyProtection="0">
      <alignment horizontal="right"/>
    </xf>
    <xf numFmtId="262" fontId="2" fillId="48" borderId="68" applyProtection="0">
      <alignment horizontal="right"/>
    </xf>
    <xf numFmtId="263" fontId="2" fillId="48" borderId="68" applyProtection="0">
      <alignment horizontal="right"/>
    </xf>
    <xf numFmtId="214" fontId="2" fillId="48" borderId="68" applyProtection="0">
      <alignment horizontal="right"/>
    </xf>
    <xf numFmtId="264" fontId="2" fillId="48" borderId="68" applyProtection="0">
      <alignment horizontal="right"/>
    </xf>
    <xf numFmtId="265" fontId="2" fillId="48" borderId="68" applyProtection="0">
      <alignment horizontal="right"/>
    </xf>
    <xf numFmtId="0" fontId="132" fillId="50" borderId="69" applyNumberFormat="0" applyAlignment="0" applyProtection="0"/>
    <xf numFmtId="0" fontId="139" fillId="50" borderId="70" applyNumberFormat="0" applyAlignment="0" applyProtection="0"/>
    <xf numFmtId="0" fontId="139" fillId="50" borderId="70" applyNumberFormat="0" applyAlignment="0" applyProtection="0"/>
    <xf numFmtId="3" fontId="2" fillId="0" borderId="68"/>
    <xf numFmtId="3" fontId="36" fillId="0" borderId="68"/>
    <xf numFmtId="3" fontId="2" fillId="0" borderId="68"/>
    <xf numFmtId="3" fontId="2" fillId="0" borderId="68"/>
    <xf numFmtId="3" fontId="2" fillId="0" borderId="68"/>
    <xf numFmtId="3" fontId="2" fillId="0" borderId="68"/>
    <xf numFmtId="3" fontId="2" fillId="0" borderId="68"/>
    <xf numFmtId="4" fontId="60" fillId="54" borderId="65" applyNumberFormat="0" applyProtection="0">
      <alignment horizontal="right" wrapText="1"/>
    </xf>
    <xf numFmtId="0" fontId="54" fillId="0" borderId="68">
      <alignment horizontal="left" wrapText="1"/>
    </xf>
    <xf numFmtId="49" fontId="90" fillId="14" borderId="68">
      <alignment horizontal="center" vertical="center" wrapText="1"/>
    </xf>
    <xf numFmtId="182" fontId="167" fillId="0" borderId="71">
      <protection locked="0"/>
    </xf>
    <xf numFmtId="37" fontId="69" fillId="0" borderId="72"/>
    <xf numFmtId="0" fontId="158" fillId="0" borderId="64" applyNumberFormat="0" applyFont="0" applyFill="0" applyAlignment="0" applyProtection="0"/>
    <xf numFmtId="0" fontId="175" fillId="27" borderId="70" applyNumberFormat="0" applyAlignment="0" applyProtection="0"/>
    <xf numFmtId="0" fontId="178" fillId="0" borderId="73" applyNumberFormat="0" applyFill="0" applyAlignment="0" applyProtection="0"/>
    <xf numFmtId="0" fontId="14" fillId="0" borderId="74" applyBorder="0"/>
    <xf numFmtId="0" fontId="54" fillId="11" borderId="75">
      <alignment vertical="top" wrapText="1"/>
    </xf>
    <xf numFmtId="0" fontId="156" fillId="0" borderId="76" applyNumberFormat="0" applyAlignment="0" applyProtection="0">
      <alignment horizontal="left" vertical="center"/>
    </xf>
    <xf numFmtId="0" fontId="156" fillId="0" borderId="74">
      <alignment horizontal="left" vertical="center"/>
    </xf>
    <xf numFmtId="10" fontId="57" fillId="2" borderId="68" applyNumberFormat="0" applyBorder="0" applyAlignment="0" applyProtection="0"/>
    <xf numFmtId="0" fontId="175" fillId="27" borderId="70" applyNumberFormat="0" applyAlignment="0" applyProtection="0"/>
    <xf numFmtId="0" fontId="2" fillId="0" borderId="68" applyNumberFormat="0">
      <alignment horizontal="left" wrapText="1"/>
      <protection locked="0"/>
    </xf>
    <xf numFmtId="0" fontId="197" fillId="0" borderId="77" applyNumberFormat="0" applyFill="0" applyAlignment="0" applyProtection="0"/>
    <xf numFmtId="0" fontId="2" fillId="56" borderId="68" applyNumberFormat="0" applyProtection="0">
      <alignment vertical="center" wrapText="1"/>
    </xf>
    <xf numFmtId="0" fontId="2" fillId="14" borderId="68" applyNumberFormat="0" applyAlignment="0"/>
    <xf numFmtId="0" fontId="2" fillId="59" borderId="68" applyNumberFormat="0" applyFont="0" applyBorder="0" applyAlignment="0" applyProtection="0"/>
    <xf numFmtId="0" fontId="216" fillId="60" borderId="78" applyNumberFormat="0" applyFont="0" applyAlignment="0" applyProtection="0"/>
    <xf numFmtId="0" fontId="91" fillId="60" borderId="78" applyNumberFormat="0" applyFont="0" applyAlignment="0" applyProtection="0"/>
    <xf numFmtId="0" fontId="132" fillId="50" borderId="69" applyNumberFormat="0" applyAlignment="0" applyProtection="0"/>
    <xf numFmtId="320" fontId="2" fillId="0" borderId="68" applyFont="0" applyFill="0" applyBorder="0" applyAlignment="0" applyProtection="0"/>
    <xf numFmtId="3" fontId="60" fillId="54" borderId="65" applyNumberFormat="0" applyFill="0" applyBorder="0" applyProtection="0">
      <alignment horizontal="left"/>
    </xf>
    <xf numFmtId="320" fontId="2" fillId="0" borderId="1" applyFont="0" applyFill="0" applyBorder="0" applyAlignment="0" applyProtection="0"/>
    <xf numFmtId="0" fontId="132" fillId="50" borderId="90" applyNumberFormat="0" applyAlignment="0" applyProtection="0"/>
    <xf numFmtId="0" fontId="2" fillId="59" borderId="1" applyNumberFormat="0" applyFont="0" applyBorder="0" applyAlignment="0" applyProtection="0"/>
    <xf numFmtId="0" fontId="2" fillId="14" borderId="1" applyNumberFormat="0" applyAlignment="0"/>
    <xf numFmtId="0" fontId="2" fillId="56" borderId="1" applyNumberFormat="0" applyProtection="0">
      <alignment vertical="center" wrapText="1"/>
    </xf>
    <xf numFmtId="0" fontId="2" fillId="0" borderId="1" applyNumberFormat="0">
      <alignment horizontal="left" wrapText="1"/>
      <protection locked="0"/>
    </xf>
    <xf numFmtId="0" fontId="175" fillId="27" borderId="91" applyNumberFormat="0" applyAlignment="0" applyProtection="0"/>
    <xf numFmtId="10" fontId="57" fillId="2" borderId="1" applyNumberFormat="0" applyBorder="0" applyAlignment="0" applyProtection="0"/>
    <xf numFmtId="0" fontId="175" fillId="27" borderId="91" applyNumberFormat="0" applyAlignment="0" applyProtection="0"/>
    <xf numFmtId="49" fontId="90" fillId="14" borderId="1">
      <alignment horizontal="center" vertical="center" wrapText="1"/>
    </xf>
    <xf numFmtId="0" fontId="54" fillId="0" borderId="1">
      <alignment horizontal="left" wrapText="1"/>
    </xf>
    <xf numFmtId="3" fontId="2" fillId="0" borderId="1"/>
    <xf numFmtId="3" fontId="2" fillId="0" borderId="1"/>
    <xf numFmtId="3" fontId="2" fillId="0" borderId="1"/>
    <xf numFmtId="3" fontId="36" fillId="0" borderId="1"/>
    <xf numFmtId="0" fontId="139" fillId="50" borderId="91" applyNumberFormat="0" applyAlignment="0" applyProtection="0"/>
    <xf numFmtId="0" fontId="139" fillId="50" borderId="91" applyNumberFormat="0" applyAlignment="0" applyProtection="0"/>
    <xf numFmtId="0" fontId="132" fillId="50" borderId="90" applyNumberFormat="0" applyAlignment="0" applyProtection="0"/>
    <xf numFmtId="265" fontId="2" fillId="48" borderId="1" applyProtection="0">
      <alignment horizontal="right"/>
    </xf>
    <xf numFmtId="264" fontId="2" fillId="48" borderId="1" applyProtection="0">
      <alignment horizontal="right"/>
    </xf>
    <xf numFmtId="214" fontId="2" fillId="48" borderId="1" applyProtection="0">
      <alignment horizontal="right"/>
    </xf>
    <xf numFmtId="263" fontId="2" fillId="48" borderId="1" applyProtection="0">
      <alignment horizontal="right"/>
    </xf>
    <xf numFmtId="262" fontId="2" fillId="48" borderId="1" applyProtection="0">
      <alignment horizontal="right"/>
    </xf>
    <xf numFmtId="261" fontId="2" fillId="48" borderId="1" applyProtection="0">
      <alignment horizontal="right"/>
    </xf>
    <xf numFmtId="214" fontId="2" fillId="48" borderId="1" applyProtection="0">
      <alignment horizontal="right"/>
      <protection locked="0"/>
    </xf>
    <xf numFmtId="260" fontId="2" fillId="48" borderId="1" applyProtection="0">
      <alignment horizontal="right"/>
      <protection locked="0"/>
    </xf>
    <xf numFmtId="259" fontId="2" fillId="48" borderId="1" applyProtection="0">
      <alignment horizontal="right"/>
      <protection locked="0"/>
    </xf>
    <xf numFmtId="258" fontId="2" fillId="48" borderId="1" applyProtection="0">
      <alignment horizontal="right"/>
    </xf>
    <xf numFmtId="0" fontId="57" fillId="0" borderId="89" applyNumberFormat="0" applyFill="0" applyAlignment="0" applyProtection="0"/>
    <xf numFmtId="0" fontId="14" fillId="35" borderId="87"/>
    <xf numFmtId="4" fontId="99" fillId="27" borderId="88" applyBorder="0"/>
    <xf numFmtId="4" fontId="99" fillId="26" borderId="88" applyBorder="0"/>
    <xf numFmtId="4" fontId="99" fillId="27" borderId="88" applyBorder="0"/>
    <xf numFmtId="4" fontId="99" fillId="26" borderId="88" applyBorder="0"/>
    <xf numFmtId="0" fontId="229" fillId="1" borderId="74" applyNumberFormat="0" applyFont="0" applyAlignment="0">
      <alignment horizontal="center"/>
    </xf>
    <xf numFmtId="0" fontId="238" fillId="0" borderId="79"/>
    <xf numFmtId="0" fontId="113" fillId="0" borderId="72"/>
    <xf numFmtId="0" fontId="239" fillId="52" borderId="80" applyNumberFormat="0" applyProtection="0">
      <alignment horizontal="right"/>
    </xf>
    <xf numFmtId="0" fontId="239" fillId="52" borderId="81" applyNumberFormat="0" applyProtection="0">
      <alignment horizontal="right"/>
    </xf>
    <xf numFmtId="0" fontId="239" fillId="52" borderId="82" applyNumberFormat="0" applyProtection="0">
      <alignment horizontal="right"/>
    </xf>
    <xf numFmtId="0" fontId="2" fillId="0" borderId="68" applyNumberFormat="0" applyFont="0" applyFill="0" applyProtection="0">
      <alignment horizontal="center"/>
    </xf>
    <xf numFmtId="0" fontId="239" fillId="52" borderId="78" applyNumberFormat="0" applyAlignment="0" applyProtection="0"/>
    <xf numFmtId="0" fontId="54" fillId="0" borderId="80" applyNumberFormat="0" applyFill="0" applyProtection="0">
      <alignment horizontal="right"/>
    </xf>
    <xf numFmtId="0" fontId="54" fillId="0" borderId="81" applyNumberFormat="0" applyFill="0" applyProtection="0">
      <alignment horizontal="right"/>
    </xf>
    <xf numFmtId="0" fontId="54" fillId="0" borderId="82" applyNumberFormat="0" applyFill="0" applyProtection="0">
      <alignment horizontal="right"/>
    </xf>
    <xf numFmtId="0" fontId="2" fillId="0" borderId="83" applyNumberFormat="0" applyFont="0" applyFill="0" applyAlignment="0" applyProtection="0"/>
    <xf numFmtId="327" fontId="52" fillId="0" borderId="84" applyFill="0" applyAlignment="0" applyProtection="0"/>
    <xf numFmtId="327" fontId="52" fillId="0" borderId="84" applyFill="0" applyAlignment="0" applyProtection="0"/>
    <xf numFmtId="0" fontId="2" fillId="0" borderId="83" applyNumberFormat="0" applyFont="0" applyFill="0" applyAlignment="0" applyProtection="0"/>
    <xf numFmtId="326" fontId="2" fillId="0" borderId="80" applyFill="0" applyAlignment="0" applyProtection="0"/>
    <xf numFmtId="326" fontId="2" fillId="0" borderId="81" applyFont="0" applyFill="0" applyAlignment="0" applyProtection="0"/>
    <xf numFmtId="326" fontId="2" fillId="0" borderId="82" applyFont="0" applyFill="0" applyAlignment="0" applyProtection="0"/>
    <xf numFmtId="327" fontId="2" fillId="0" borderId="80" applyFill="0" applyAlignment="0" applyProtection="0"/>
    <xf numFmtId="327" fontId="2" fillId="0" borderId="81" applyFont="0" applyFill="0" applyAlignment="0" applyProtection="0"/>
    <xf numFmtId="327" fontId="2" fillId="0" borderId="82" applyFont="0" applyFill="0" applyAlignment="0" applyProtection="0"/>
    <xf numFmtId="328" fontId="2" fillId="0" borderId="80" applyFill="0" applyAlignment="0" applyProtection="0"/>
    <xf numFmtId="328" fontId="2" fillId="0" borderId="81" applyFont="0" applyFill="0" applyAlignment="0" applyProtection="0"/>
    <xf numFmtId="328" fontId="2" fillId="0" borderId="82" applyFont="0" applyFill="0" applyAlignment="0" applyProtection="0"/>
    <xf numFmtId="3" fontId="72" fillId="0" borderId="87"/>
    <xf numFmtId="0" fontId="2" fillId="0" borderId="83" applyNumberFormat="0"/>
    <xf numFmtId="0" fontId="2" fillId="0" borderId="85" applyNumberFormat="0"/>
    <xf numFmtId="0" fontId="2" fillId="0" borderId="86" applyNumberFormat="0"/>
    <xf numFmtId="0" fontId="2" fillId="0" borderId="80" applyNumberFormat="0" applyFont="0" applyFill="0" applyAlignment="0" applyProtection="0"/>
    <xf numFmtId="0" fontId="2" fillId="0" borderId="81" applyNumberFormat="0" applyFont="0" applyFill="0" applyAlignment="0" applyProtection="0"/>
    <xf numFmtId="0" fontId="2" fillId="0" borderId="83" applyNumberFormat="0" applyFont="0" applyFill="0" applyAlignment="0" applyProtection="0"/>
    <xf numFmtId="0" fontId="2" fillId="0" borderId="85" applyNumberFormat="0" applyFont="0" applyFill="0" applyAlignment="0" applyProtection="0"/>
    <xf numFmtId="0" fontId="2" fillId="0" borderId="86" applyNumberFormat="0" applyFont="0" applyFill="0" applyAlignment="0" applyProtection="0"/>
    <xf numFmtId="0" fontId="2" fillId="0" borderId="83" applyNumberFormat="0" applyFont="0" applyFill="0" applyAlignment="0" applyProtection="0"/>
    <xf numFmtId="0" fontId="247" fillId="0" borderId="79"/>
    <xf numFmtId="0" fontId="54" fillId="56" borderId="68" applyNumberFormat="0" applyAlignment="0">
      <alignment horizontal="center"/>
    </xf>
    <xf numFmtId="0" fontId="69" fillId="0" borderId="72"/>
    <xf numFmtId="0" fontId="113" fillId="0" borderId="72"/>
    <xf numFmtId="0" fontId="178" fillId="0" borderId="73" applyNumberFormat="0" applyFill="0" applyAlignment="0" applyProtection="0"/>
    <xf numFmtId="3" fontId="2" fillId="0" borderId="87"/>
    <xf numFmtId="170" fontId="1" fillId="0" borderId="0" applyFont="0" applyFill="0" applyBorder="0" applyAlignment="0" applyProtection="0"/>
    <xf numFmtId="0" fontId="2" fillId="60" borderId="78" applyNumberFormat="0" applyFont="0" applyAlignment="0" applyProtection="0"/>
    <xf numFmtId="0" fontId="139" fillId="50" borderId="70" applyNumberFormat="0" applyAlignment="0" applyProtection="0"/>
    <xf numFmtId="0" fontId="178" fillId="0" borderId="73" applyNumberFormat="0" applyFill="0" applyAlignment="0" applyProtection="0"/>
    <xf numFmtId="0" fontId="132" fillId="50" borderId="69" applyNumberFormat="0" applyAlignment="0" applyProtection="0"/>
    <xf numFmtId="0" fontId="175" fillId="27" borderId="70" applyNumberFormat="0" applyAlignment="0" applyProtection="0"/>
    <xf numFmtId="0" fontId="54" fillId="56" borderId="1" applyNumberFormat="0" applyAlignment="0">
      <alignment horizontal="center"/>
    </xf>
    <xf numFmtId="0" fontId="139" fillId="50" borderId="91" applyNumberFormat="0" applyAlignment="0" applyProtection="0"/>
    <xf numFmtId="0" fontId="132" fillId="50" borderId="90" applyNumberFormat="0" applyAlignment="0" applyProtection="0"/>
    <xf numFmtId="0" fontId="175" fillId="27" borderId="91" applyNumberFormat="0" applyAlignment="0" applyProtection="0"/>
    <xf numFmtId="170" fontId="1" fillId="0" borderId="0" applyFont="0" applyFill="0" applyBorder="0" applyAlignment="0" applyProtection="0"/>
    <xf numFmtId="0" fontId="175" fillId="27" borderId="97" applyNumberFormat="0" applyAlignment="0" applyProtection="0"/>
    <xf numFmtId="0" fontId="132" fillId="50" borderId="96" applyNumberFormat="0" applyAlignment="0" applyProtection="0"/>
    <xf numFmtId="0" fontId="178" fillId="0" borderId="100" applyNumberFormat="0" applyFill="0" applyAlignment="0" applyProtection="0"/>
    <xf numFmtId="0" fontId="139" fillId="50" borderId="97" applyNumberFormat="0" applyAlignment="0" applyProtection="0"/>
    <xf numFmtId="0" fontId="2" fillId="60" borderId="105" applyNumberFormat="0" applyFont="0" applyAlignment="0" applyProtection="0"/>
    <xf numFmtId="0" fontId="178" fillId="0" borderId="100" applyNumberFormat="0" applyFill="0" applyAlignment="0" applyProtection="0"/>
    <xf numFmtId="0" fontId="113" fillId="0" borderId="99"/>
    <xf numFmtId="0" fontId="69" fillId="0" borderId="99"/>
    <xf numFmtId="0" fontId="54" fillId="56" borderId="95" applyNumberFormat="0" applyAlignment="0">
      <alignment horizontal="center"/>
    </xf>
    <xf numFmtId="0" fontId="247" fillId="0" borderId="106"/>
    <xf numFmtId="0" fontId="2" fillId="0" borderId="110" applyNumberFormat="0" applyFont="0" applyFill="0" applyAlignment="0" applyProtection="0"/>
    <xf numFmtId="0" fontId="2" fillId="0" borderId="112" applyNumberFormat="0" applyFont="0" applyFill="0" applyAlignment="0" applyProtection="0"/>
    <xf numFmtId="0" fontId="2" fillId="0" borderId="111" applyNumberFormat="0" applyFont="0" applyFill="0" applyAlignment="0" applyProtection="0"/>
    <xf numFmtId="0" fontId="2" fillId="0" borderId="110" applyNumberFormat="0" applyFont="0" applyFill="0" applyAlignment="0" applyProtection="0"/>
    <xf numFmtId="0" fontId="2" fillId="0" borderId="108" applyNumberFormat="0" applyFont="0" applyFill="0" applyAlignment="0" applyProtection="0"/>
    <xf numFmtId="0" fontId="2" fillId="0" borderId="107" applyNumberFormat="0" applyFont="0" applyFill="0" applyAlignment="0" applyProtection="0"/>
    <xf numFmtId="0" fontId="2" fillId="0" borderId="112" applyNumberFormat="0"/>
    <xf numFmtId="0" fontId="2" fillId="0" borderId="111" applyNumberFormat="0"/>
    <xf numFmtId="0" fontId="2" fillId="0" borderId="110" applyNumberFormat="0"/>
    <xf numFmtId="328" fontId="2" fillId="0" borderId="109" applyFont="0" applyFill="0" applyAlignment="0" applyProtection="0"/>
    <xf numFmtId="328" fontId="2" fillId="0" borderId="108" applyFont="0" applyFill="0" applyAlignment="0" applyProtection="0"/>
    <xf numFmtId="328" fontId="2" fillId="0" borderId="107" applyFill="0" applyAlignment="0" applyProtection="0"/>
    <xf numFmtId="327" fontId="2" fillId="0" borderId="109" applyFont="0" applyFill="0" applyAlignment="0" applyProtection="0"/>
    <xf numFmtId="327" fontId="2" fillId="0" borderId="108" applyFont="0" applyFill="0" applyAlignment="0" applyProtection="0"/>
    <xf numFmtId="327" fontId="2" fillId="0" borderId="107" applyFill="0" applyAlignment="0" applyProtection="0"/>
    <xf numFmtId="326" fontId="2" fillId="0" borderId="109" applyFont="0" applyFill="0" applyAlignment="0" applyProtection="0"/>
    <xf numFmtId="326" fontId="2" fillId="0" borderId="108" applyFont="0" applyFill="0" applyAlignment="0" applyProtection="0"/>
    <xf numFmtId="326" fontId="2" fillId="0" borderId="107" applyFill="0" applyAlignment="0" applyProtection="0"/>
    <xf numFmtId="0" fontId="2" fillId="0" borderId="110" applyNumberFormat="0" applyFont="0" applyFill="0" applyAlignment="0" applyProtection="0"/>
    <xf numFmtId="0" fontId="2" fillId="0" borderId="110" applyNumberFormat="0" applyFont="0" applyFill="0" applyAlignment="0" applyProtection="0"/>
    <xf numFmtId="0" fontId="54" fillId="0" borderId="109" applyNumberFormat="0" applyFill="0" applyProtection="0">
      <alignment horizontal="right"/>
    </xf>
    <xf numFmtId="0" fontId="54" fillId="0" borderId="108" applyNumberFormat="0" applyFill="0" applyProtection="0">
      <alignment horizontal="right"/>
    </xf>
    <xf numFmtId="0" fontId="54" fillId="0" borderId="107" applyNumberFormat="0" applyFill="0" applyProtection="0">
      <alignment horizontal="right"/>
    </xf>
    <xf numFmtId="0" fontId="239" fillId="52" borderId="105" applyNumberFormat="0" applyAlignment="0" applyProtection="0"/>
    <xf numFmtId="0" fontId="2" fillId="0" borderId="95" applyNumberFormat="0" applyFont="0" applyFill="0" applyProtection="0">
      <alignment horizontal="center"/>
    </xf>
    <xf numFmtId="0" fontId="239" fillId="52" borderId="109" applyNumberFormat="0" applyProtection="0">
      <alignment horizontal="right"/>
    </xf>
    <xf numFmtId="0" fontId="239" fillId="52" borderId="108" applyNumberFormat="0" applyProtection="0">
      <alignment horizontal="right"/>
    </xf>
    <xf numFmtId="0" fontId="239" fillId="52" borderId="107" applyNumberFormat="0" applyProtection="0">
      <alignment horizontal="right"/>
    </xf>
    <xf numFmtId="0" fontId="113" fillId="0" borderId="99"/>
    <xf numFmtId="0" fontId="238" fillId="0" borderId="106"/>
    <xf numFmtId="0" fontId="229" fillId="1" borderId="101" applyNumberFormat="0" applyFont="0" applyAlignment="0">
      <alignment horizontal="center"/>
    </xf>
    <xf numFmtId="0" fontId="165" fillId="0" borderId="63" applyBorder="0" applyProtection="0"/>
    <xf numFmtId="0" fontId="165" fillId="0" borderId="63" applyBorder="0" applyProtection="0"/>
    <xf numFmtId="3" fontId="60" fillId="54" borderId="92" applyNumberFormat="0" applyFill="0" applyBorder="0" applyProtection="0">
      <alignment horizontal="left"/>
    </xf>
    <xf numFmtId="320" fontId="2" fillId="0" borderId="95" applyFont="0" applyFill="0" applyBorder="0" applyAlignment="0" applyProtection="0"/>
    <xf numFmtId="0" fontId="132" fillId="50" borderId="96" applyNumberFormat="0" applyAlignment="0" applyProtection="0"/>
    <xf numFmtId="0" fontId="91" fillId="60" borderId="105" applyNumberFormat="0" applyFont="0" applyAlignment="0" applyProtection="0"/>
    <xf numFmtId="0" fontId="216" fillId="60" borderId="105" applyNumberFormat="0" applyFont="0" applyAlignment="0" applyProtection="0"/>
    <xf numFmtId="0" fontId="2" fillId="59" borderId="95" applyNumberFormat="0" applyFont="0" applyBorder="0" applyAlignment="0" applyProtection="0"/>
    <xf numFmtId="0" fontId="2" fillId="14" borderId="95" applyNumberFormat="0" applyAlignment="0"/>
    <xf numFmtId="0" fontId="2" fillId="56" borderId="95" applyNumberFormat="0" applyProtection="0">
      <alignment vertical="center" wrapText="1"/>
    </xf>
    <xf numFmtId="0" fontId="197" fillId="0" borderId="104" applyNumberFormat="0" applyFill="0" applyAlignment="0" applyProtection="0"/>
    <xf numFmtId="0" fontId="2" fillId="0" borderId="95" applyNumberFormat="0">
      <alignment horizontal="left" wrapText="1"/>
      <protection locked="0"/>
    </xf>
    <xf numFmtId="0" fontId="175" fillId="27" borderId="97" applyNumberFormat="0" applyAlignment="0" applyProtection="0"/>
    <xf numFmtId="10" fontId="57" fillId="2" borderId="95" applyNumberFormat="0" applyBorder="0" applyAlignment="0" applyProtection="0"/>
    <xf numFmtId="0" fontId="156" fillId="0" borderId="101">
      <alignment horizontal="left" vertical="center"/>
    </xf>
    <xf numFmtId="0" fontId="156" fillId="0" borderId="103" applyNumberFormat="0" applyAlignment="0" applyProtection="0">
      <alignment horizontal="left" vertical="center"/>
    </xf>
    <xf numFmtId="0" fontId="54" fillId="11" borderId="102">
      <alignment vertical="top" wrapText="1"/>
    </xf>
    <xf numFmtId="0" fontId="14" fillId="0" borderId="101" applyBorder="0"/>
    <xf numFmtId="0" fontId="178" fillId="0" borderId="100" applyNumberFormat="0" applyFill="0" applyAlignment="0" applyProtection="0"/>
    <xf numFmtId="0" fontId="175" fillId="27" borderId="97" applyNumberFormat="0" applyAlignment="0" applyProtection="0"/>
    <xf numFmtId="37" fontId="69" fillId="0" borderId="99"/>
    <xf numFmtId="182" fontId="167" fillId="0" borderId="98">
      <protection locked="0"/>
    </xf>
    <xf numFmtId="49" fontId="90" fillId="14" borderId="95">
      <alignment horizontal="center" vertical="center" wrapText="1"/>
    </xf>
    <xf numFmtId="0" fontId="54" fillId="0" borderId="95">
      <alignment horizontal="left" wrapText="1"/>
    </xf>
    <xf numFmtId="4" fontId="60" fillId="54" borderId="92" applyNumberFormat="0" applyProtection="0">
      <alignment horizontal="right" wrapText="1"/>
    </xf>
    <xf numFmtId="3" fontId="2" fillId="0" borderId="95"/>
    <xf numFmtId="3" fontId="2" fillId="0" borderId="95"/>
    <xf numFmtId="3" fontId="2" fillId="0" borderId="95"/>
    <xf numFmtId="3" fontId="2" fillId="0" borderId="95"/>
    <xf numFmtId="3" fontId="2" fillId="0" borderId="95"/>
    <xf numFmtId="3" fontId="36" fillId="0" borderId="95"/>
    <xf numFmtId="3" fontId="2" fillId="0" borderId="95"/>
    <xf numFmtId="0" fontId="139" fillId="50" borderId="97" applyNumberFormat="0" applyAlignment="0" applyProtection="0"/>
    <xf numFmtId="0" fontId="139" fillId="50" borderId="97" applyNumberFormat="0" applyAlignment="0" applyProtection="0"/>
    <xf numFmtId="0" fontId="132" fillId="50" borderId="96" applyNumberFormat="0" applyAlignment="0" applyProtection="0"/>
    <xf numFmtId="265" fontId="2" fillId="48" borderId="95" applyProtection="0">
      <alignment horizontal="right"/>
    </xf>
    <xf numFmtId="264" fontId="2" fillId="48" borderId="95" applyProtection="0">
      <alignment horizontal="right"/>
    </xf>
    <xf numFmtId="214" fontId="2" fillId="48" borderId="95" applyProtection="0">
      <alignment horizontal="right"/>
    </xf>
    <xf numFmtId="263" fontId="2" fillId="48" borderId="95" applyProtection="0">
      <alignment horizontal="right"/>
    </xf>
    <xf numFmtId="262" fontId="2" fillId="48" borderId="95" applyProtection="0">
      <alignment horizontal="right"/>
    </xf>
    <xf numFmtId="261" fontId="2" fillId="48" borderId="95" applyProtection="0">
      <alignment horizontal="right"/>
    </xf>
    <xf numFmtId="214" fontId="2" fillId="48" borderId="95" applyProtection="0">
      <alignment horizontal="right"/>
      <protection locked="0"/>
    </xf>
    <xf numFmtId="260" fontId="2" fillId="48" borderId="95" applyProtection="0">
      <alignment horizontal="right"/>
      <protection locked="0"/>
    </xf>
    <xf numFmtId="259" fontId="2" fillId="48" borderId="95" applyProtection="0">
      <alignment horizontal="right"/>
      <protection locked="0"/>
    </xf>
    <xf numFmtId="258" fontId="2" fillId="48" borderId="95" applyProtection="0">
      <alignment horizontal="right"/>
    </xf>
    <xf numFmtId="0" fontId="57" fillId="0" borderId="94" applyNumberFormat="0" applyFill="0" applyAlignment="0" applyProtection="0"/>
    <xf numFmtId="4" fontId="99" fillId="27" borderId="93" applyBorder="0"/>
    <xf numFmtId="4" fontId="99" fillId="26" borderId="93" applyBorder="0"/>
    <xf numFmtId="4" fontId="99" fillId="27" borderId="93" applyBorder="0"/>
    <xf numFmtId="4" fontId="99" fillId="26" borderId="93" applyBorder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2" fillId="59" borderId="164" applyNumberFormat="0" applyFont="0" applyBorder="0" applyAlignment="0" applyProtection="0"/>
    <xf numFmtId="264" fontId="2" fillId="48" borderId="221" applyProtection="0">
      <alignment horizontal="right"/>
    </xf>
    <xf numFmtId="49" fontId="90" fillId="14" borderId="210">
      <alignment horizontal="center" vertical="center" wrapText="1"/>
    </xf>
    <xf numFmtId="0" fontId="106" fillId="0" borderId="288" applyNumberFormat="0" applyFill="0" applyAlignment="0" applyProtection="0"/>
    <xf numFmtId="0" fontId="216" fillId="60" borderId="237" applyNumberFormat="0" applyFont="0" applyAlignment="0" applyProtection="0"/>
    <xf numFmtId="0" fontId="247" fillId="0" borderId="142"/>
    <xf numFmtId="0" fontId="132" fillId="50" borderId="218" applyNumberFormat="0" applyAlignment="0" applyProtection="0"/>
    <xf numFmtId="0" fontId="175" fillId="27" borderId="274" applyNumberFormat="0" applyAlignment="0" applyProtection="0"/>
    <xf numFmtId="0" fontId="197" fillId="0" borderId="236" applyNumberFormat="0" applyFill="0" applyAlignment="0" applyProtection="0"/>
    <xf numFmtId="182" fontId="167" fillId="0" borderId="233">
      <protection locked="0"/>
    </xf>
    <xf numFmtId="0" fontId="2" fillId="0" borderId="146" applyNumberFormat="0" applyFont="0" applyFill="0" applyAlignment="0" applyProtection="0"/>
    <xf numFmtId="0" fontId="91" fillId="60" borderId="237" applyNumberFormat="0" applyFont="0" applyAlignment="0" applyProtection="0"/>
    <xf numFmtId="0" fontId="175" fillId="27" borderId="232" applyNumberFormat="0" applyAlignment="0" applyProtection="0"/>
    <xf numFmtId="0" fontId="2" fillId="0" borderId="149" applyNumberFormat="0" applyFont="0" applyFill="0" applyAlignment="0" applyProtection="0"/>
    <xf numFmtId="0" fontId="2" fillId="0" borderId="148" applyNumberFormat="0" applyFont="0" applyFill="0" applyAlignment="0" applyProtection="0"/>
    <xf numFmtId="0" fontId="2" fillId="0" borderId="146" applyNumberFormat="0" applyFont="0" applyFill="0" applyAlignment="0" applyProtection="0"/>
    <xf numFmtId="0" fontId="2" fillId="0" borderId="144" applyNumberFormat="0" applyFont="0" applyFill="0" applyAlignment="0" applyProtection="0"/>
    <xf numFmtId="0" fontId="2" fillId="0" borderId="143" applyNumberFormat="0" applyFont="0" applyFill="0" applyAlignment="0" applyProtection="0"/>
    <xf numFmtId="0" fontId="130" fillId="0" borderId="229" applyFont="0" applyFill="0" applyBorder="0" applyAlignment="0" applyProtection="0">
      <alignment horizontal="center" vertical="center"/>
    </xf>
    <xf numFmtId="259" fontId="2" fillId="48" borderId="221" applyProtection="0">
      <alignment horizontal="right"/>
      <protection locked="0"/>
    </xf>
    <xf numFmtId="0" fontId="132" fillId="50" borderId="231" applyNumberFormat="0" applyAlignment="0" applyProtection="0"/>
    <xf numFmtId="0" fontId="2" fillId="0" borderId="149" applyNumberFormat="0"/>
    <xf numFmtId="0" fontId="2" fillId="0" borderId="148" applyNumberFormat="0"/>
    <xf numFmtId="0" fontId="2" fillId="0" borderId="146" applyNumberFormat="0"/>
    <xf numFmtId="327" fontId="52" fillId="0" borderId="159" applyFill="0" applyAlignment="0" applyProtection="0"/>
    <xf numFmtId="327" fontId="52" fillId="0" borderId="159" applyFill="0" applyAlignment="0" applyProtection="0"/>
    <xf numFmtId="328" fontId="2" fillId="0" borderId="145" applyFont="0" applyFill="0" applyAlignment="0" applyProtection="0"/>
    <xf numFmtId="328" fontId="2" fillId="0" borderId="144" applyFont="0" applyFill="0" applyAlignment="0" applyProtection="0"/>
    <xf numFmtId="328" fontId="2" fillId="0" borderId="143" applyFill="0" applyAlignment="0" applyProtection="0"/>
    <xf numFmtId="327" fontId="2" fillId="0" borderId="145" applyFont="0" applyFill="0" applyAlignment="0" applyProtection="0"/>
    <xf numFmtId="327" fontId="2" fillId="0" borderId="144" applyFont="0" applyFill="0" applyAlignment="0" applyProtection="0"/>
    <xf numFmtId="327" fontId="2" fillId="0" borderId="143" applyFill="0" applyAlignment="0" applyProtection="0"/>
    <xf numFmtId="326" fontId="2" fillId="0" borderId="145" applyFont="0" applyFill="0" applyAlignment="0" applyProtection="0"/>
    <xf numFmtId="326" fontId="2" fillId="0" borderId="144" applyFont="0" applyFill="0" applyAlignment="0" applyProtection="0"/>
    <xf numFmtId="326" fontId="2" fillId="0" borderId="143" applyFill="0" applyAlignment="0" applyProtection="0"/>
    <xf numFmtId="0" fontId="2" fillId="0" borderId="146" applyNumberFormat="0" applyFont="0" applyFill="0" applyAlignment="0" applyProtection="0"/>
    <xf numFmtId="327" fontId="52" fillId="0" borderId="147" applyFill="0" applyAlignment="0" applyProtection="0"/>
    <xf numFmtId="327" fontId="52" fillId="0" borderId="147" applyFill="0" applyAlignment="0" applyProtection="0"/>
    <xf numFmtId="0" fontId="2" fillId="0" borderId="146" applyNumberFormat="0" applyFont="0" applyFill="0" applyAlignment="0" applyProtection="0"/>
    <xf numFmtId="0" fontId="139" fillId="50" borderId="274" applyNumberFormat="0" applyAlignment="0" applyProtection="0"/>
    <xf numFmtId="0" fontId="2" fillId="0" borderId="87" applyNumberFormat="0" applyFont="0" applyFill="0" applyProtection="0">
      <alignment horizontal="center"/>
    </xf>
    <xf numFmtId="0" fontId="132" fillId="50" borderId="203" applyNumberFormat="0" applyAlignment="0" applyProtection="0"/>
    <xf numFmtId="0" fontId="54" fillId="0" borderId="145" applyNumberFormat="0" applyFill="0" applyProtection="0">
      <alignment horizontal="right"/>
    </xf>
    <xf numFmtId="0" fontId="54" fillId="0" borderId="144" applyNumberFormat="0" applyFill="0" applyProtection="0">
      <alignment horizontal="right"/>
    </xf>
    <xf numFmtId="0" fontId="54" fillId="0" borderId="143" applyNumberFormat="0" applyFill="0" applyProtection="0">
      <alignment horizontal="right"/>
    </xf>
    <xf numFmtId="0" fontId="239" fillId="52" borderId="141" applyNumberFormat="0" applyAlignment="0" applyProtection="0"/>
    <xf numFmtId="0" fontId="2" fillId="0" borderId="133" applyNumberFormat="0" applyFont="0" applyFill="0" applyProtection="0">
      <alignment horizontal="center"/>
    </xf>
    <xf numFmtId="0" fontId="239" fillId="52" borderId="145" applyNumberFormat="0" applyProtection="0">
      <alignment horizontal="right"/>
    </xf>
    <xf numFmtId="0" fontId="239" fillId="52" borderId="144" applyNumberFormat="0" applyProtection="0">
      <alignment horizontal="right"/>
    </xf>
    <xf numFmtId="0" fontId="239" fillId="52" borderId="143" applyNumberFormat="0" applyProtection="0">
      <alignment horizontal="right"/>
    </xf>
    <xf numFmtId="4" fontId="60" fillId="54" borderId="211" applyNumberFormat="0" applyProtection="0">
      <alignment horizontal="right" wrapText="1"/>
    </xf>
    <xf numFmtId="0" fontId="113" fillId="0" borderId="137"/>
    <xf numFmtId="0" fontId="238" fillId="0" borderId="142"/>
    <xf numFmtId="0" fontId="54" fillId="11" borderId="212">
      <alignment vertical="top" wrapText="1"/>
    </xf>
    <xf numFmtId="0" fontId="156" fillId="0" borderId="213" applyNumberFormat="0" applyAlignment="0" applyProtection="0">
      <alignment horizontal="left" vertical="center"/>
    </xf>
    <xf numFmtId="0" fontId="132" fillId="50" borderId="203" applyNumberFormat="0" applyAlignment="0" applyProtection="0"/>
    <xf numFmtId="0" fontId="229" fillId="1" borderId="139" applyNumberFormat="0" applyFont="0" applyAlignment="0">
      <alignment horizontal="center"/>
    </xf>
    <xf numFmtId="3" fontId="60" fillId="54" borderId="211" applyNumberFormat="0" applyFill="0" applyBorder="0" applyProtection="0">
      <alignment horizontal="left"/>
    </xf>
    <xf numFmtId="0" fontId="2" fillId="0" borderId="240" applyNumberFormat="0" applyFont="0" applyFill="0" applyAlignment="0" applyProtection="0"/>
    <xf numFmtId="0" fontId="132" fillId="50" borderId="218" applyNumberFormat="0" applyAlignment="0" applyProtection="0"/>
    <xf numFmtId="320" fontId="2" fillId="0" borderId="133" applyFont="0" applyFill="0" applyBorder="0" applyAlignment="0" applyProtection="0"/>
    <xf numFmtId="214" fontId="2" fillId="48" borderId="133" applyProtection="0">
      <alignment horizontal="right"/>
    </xf>
    <xf numFmtId="214" fontId="2" fillId="48" borderId="133" applyProtection="0">
      <alignment horizontal="right"/>
      <protection locked="0"/>
    </xf>
    <xf numFmtId="258" fontId="2" fillId="48" borderId="133" applyProtection="0">
      <alignment horizontal="right"/>
    </xf>
    <xf numFmtId="3" fontId="2" fillId="0" borderId="280"/>
    <xf numFmtId="0" fontId="132" fillId="50" borderId="203" applyNumberFormat="0" applyAlignment="0" applyProtection="0"/>
    <xf numFmtId="320" fontId="2" fillId="0" borderId="221" applyFont="0" applyFill="0" applyBorder="0" applyAlignment="0" applyProtection="0"/>
    <xf numFmtId="0" fontId="132" fillId="50" borderId="203" applyNumberFormat="0" applyAlignment="0" applyProtection="0"/>
    <xf numFmtId="0" fontId="2" fillId="56" borderId="221" applyNumberFormat="0" applyProtection="0">
      <alignment vertical="center" wrapText="1"/>
    </xf>
    <xf numFmtId="3" fontId="2" fillId="0" borderId="210"/>
    <xf numFmtId="49" fontId="90" fillId="14" borderId="280">
      <alignment horizontal="center" vertical="center" wrapText="1"/>
    </xf>
    <xf numFmtId="3" fontId="72" fillId="0" borderId="210"/>
    <xf numFmtId="327" fontId="52" fillId="0" borderId="209" applyFill="0" applyAlignment="0" applyProtection="0"/>
    <xf numFmtId="0" fontId="2" fillId="0" borderId="257" applyNumberFormat="0" applyFont="0" applyFill="0" applyAlignment="0" applyProtection="0"/>
    <xf numFmtId="0" fontId="2" fillId="0" borderId="260" applyNumberFormat="0" applyFont="0" applyFill="0" applyAlignment="0" applyProtection="0"/>
    <xf numFmtId="0" fontId="69" fillId="0" borderId="234"/>
    <xf numFmtId="0" fontId="175" fillId="27" borderId="252" applyNumberFormat="0" applyAlignment="0" applyProtection="0"/>
    <xf numFmtId="0" fontId="14" fillId="35" borderId="210"/>
    <xf numFmtId="0" fontId="132" fillId="50" borderId="203" applyNumberFormat="0" applyAlignment="0" applyProtection="0"/>
    <xf numFmtId="3" fontId="60" fillId="54" borderId="206" applyNumberFormat="0" applyFill="0" applyBorder="0" applyProtection="0">
      <alignment horizontal="left"/>
    </xf>
    <xf numFmtId="0" fontId="132" fillId="50" borderId="203" applyNumberFormat="0" applyAlignment="0" applyProtection="0"/>
    <xf numFmtId="0" fontId="132" fillId="50" borderId="203" applyNumberFormat="0" applyAlignment="0" applyProtection="0"/>
    <xf numFmtId="0" fontId="132" fillId="50" borderId="251" applyNumberFormat="0" applyAlignment="0" applyProtection="0"/>
    <xf numFmtId="0" fontId="54" fillId="56" borderId="249" applyNumberFormat="0" applyAlignment="0">
      <alignment horizontal="center"/>
    </xf>
    <xf numFmtId="0" fontId="2" fillId="0" borderId="262" applyNumberFormat="0" applyFont="0" applyFill="0" applyAlignment="0" applyProtection="0"/>
    <xf numFmtId="0" fontId="2" fillId="0" borderId="260" applyNumberFormat="0"/>
    <xf numFmtId="0" fontId="132" fillId="50" borderId="231" applyNumberFormat="0" applyAlignment="0" applyProtection="0"/>
    <xf numFmtId="0" fontId="175" fillId="27" borderId="204" applyNumberFormat="0" applyAlignment="0" applyProtection="0"/>
    <xf numFmtId="0" fontId="132" fillId="50" borderId="203" applyNumberFormat="0" applyAlignment="0" applyProtection="0"/>
    <xf numFmtId="10" fontId="57" fillId="2" borderId="221" applyNumberFormat="0" applyBorder="0" applyAlignment="0" applyProtection="0"/>
    <xf numFmtId="4" fontId="99" fillId="26" borderId="113" applyBorder="0"/>
    <xf numFmtId="4" fontId="99" fillId="27" borderId="113" applyBorder="0"/>
    <xf numFmtId="4" fontId="99" fillId="26" borderId="113" applyBorder="0"/>
    <xf numFmtId="4" fontId="99" fillId="27" borderId="113" applyBorder="0"/>
    <xf numFmtId="0" fontId="139" fillId="50" borderId="204" applyNumberFormat="0" applyAlignment="0" applyProtection="0"/>
    <xf numFmtId="0" fontId="2" fillId="14" borderId="221" applyNumberFormat="0" applyAlignment="0"/>
    <xf numFmtId="4" fontId="99" fillId="26" borderId="165" applyBorder="0"/>
    <xf numFmtId="4" fontId="99" fillId="27" borderId="165" applyBorder="0"/>
    <xf numFmtId="4" fontId="99" fillId="26" borderId="165" applyBorder="0"/>
    <xf numFmtId="4" fontId="99" fillId="27" borderId="165" applyBorder="0"/>
    <xf numFmtId="0" fontId="175" fillId="27" borderId="232" applyNumberFormat="0" applyAlignment="0" applyProtection="0"/>
    <xf numFmtId="0" fontId="175" fillId="27" borderId="274" applyNumberFormat="0" applyAlignment="0" applyProtection="0"/>
    <xf numFmtId="3" fontId="36" fillId="0" borderId="221"/>
    <xf numFmtId="0" fontId="2" fillId="14" borderId="280" applyNumberFormat="0" applyAlignment="0"/>
    <xf numFmtId="320" fontId="2" fillId="0" borderId="280" applyFont="0" applyFill="0" applyBorder="0" applyAlignment="0" applyProtection="0"/>
    <xf numFmtId="0" fontId="132" fillId="50" borderId="273" applyNumberFormat="0" applyAlignment="0" applyProtection="0"/>
    <xf numFmtId="0" fontId="2" fillId="0" borderId="244" applyNumberFormat="0" applyFont="0" applyFill="0" applyAlignment="0" applyProtection="0"/>
    <xf numFmtId="0" fontId="2" fillId="0" borderId="239" applyNumberFormat="0" applyFont="0" applyFill="0" applyAlignment="0" applyProtection="0"/>
    <xf numFmtId="260" fontId="2" fillId="48" borderId="133" applyProtection="0">
      <alignment horizontal="right"/>
      <protection locked="0"/>
    </xf>
    <xf numFmtId="262" fontId="2" fillId="48" borderId="133" applyProtection="0">
      <alignment horizontal="right"/>
    </xf>
    <xf numFmtId="263" fontId="2" fillId="48" borderId="133" applyProtection="0">
      <alignment horizontal="right"/>
    </xf>
    <xf numFmtId="265" fontId="2" fillId="48" borderId="133" applyProtection="0">
      <alignment horizontal="right"/>
    </xf>
    <xf numFmtId="0" fontId="106" fillId="0" borderId="281" applyNumberFormat="0" applyFill="0" applyAlignment="0" applyProtection="0"/>
    <xf numFmtId="3" fontId="36" fillId="0" borderId="133"/>
    <xf numFmtId="3" fontId="2" fillId="0" borderId="133"/>
    <xf numFmtId="3" fontId="2" fillId="0" borderId="133"/>
    <xf numFmtId="3" fontId="2" fillId="0" borderId="133"/>
    <xf numFmtId="0" fontId="54" fillId="0" borderId="133">
      <alignment horizontal="left" wrapText="1"/>
    </xf>
    <xf numFmtId="49" fontId="90" fillId="14" borderId="133">
      <alignment horizontal="center" vertical="center" wrapText="1"/>
    </xf>
    <xf numFmtId="10" fontId="57" fillId="2" borderId="133" applyNumberFormat="0" applyBorder="0" applyAlignment="0" applyProtection="0"/>
    <xf numFmtId="0" fontId="2" fillId="0" borderId="133" applyNumberFormat="0">
      <alignment horizontal="left" wrapText="1"/>
      <protection locked="0"/>
    </xf>
    <xf numFmtId="0" fontId="2" fillId="56" borderId="133" applyNumberFormat="0" applyProtection="0">
      <alignment vertical="center" wrapText="1"/>
    </xf>
    <xf numFmtId="0" fontId="2" fillId="14" borderId="133" applyNumberFormat="0" applyAlignment="0"/>
    <xf numFmtId="0" fontId="2" fillId="59" borderId="133" applyNumberFormat="0" applyFont="0" applyBorder="0" applyAlignment="0" applyProtection="0"/>
    <xf numFmtId="0" fontId="106" fillId="0" borderId="281" applyNumberFormat="0" applyFill="0" applyAlignment="0" applyProtection="0"/>
    <xf numFmtId="0" fontId="132" fillId="50" borderId="218" applyNumberFormat="0" applyAlignment="0" applyProtection="0"/>
    <xf numFmtId="327" fontId="52" fillId="0" borderId="205" applyFill="0" applyAlignment="0" applyProtection="0"/>
    <xf numFmtId="327" fontId="52" fillId="0" borderId="205" applyFill="0" applyAlignment="0" applyProtection="0"/>
    <xf numFmtId="0" fontId="2" fillId="0" borderId="245" applyNumberFormat="0" applyFont="0" applyFill="0" applyAlignment="0" applyProtection="0"/>
    <xf numFmtId="0" fontId="2" fillId="0" borderId="133" applyNumberFormat="0" applyFont="0" applyFill="0" applyProtection="0">
      <alignment horizontal="center"/>
    </xf>
    <xf numFmtId="0" fontId="132" fillId="50" borderId="273" applyNumberFormat="0" applyAlignment="0" applyProtection="0"/>
    <xf numFmtId="0" fontId="106" fillId="0" borderId="166" applyNumberFormat="0" applyFill="0" applyAlignment="0" applyProtection="0"/>
    <xf numFmtId="0" fontId="106" fillId="0" borderId="166" applyNumberFormat="0" applyFill="0" applyAlignment="0" applyProtection="0"/>
    <xf numFmtId="0" fontId="106" fillId="0" borderId="166" applyNumberFormat="0" applyFill="0" applyAlignment="0" applyProtection="0"/>
    <xf numFmtId="0" fontId="106" fillId="0" borderId="166" applyNumberFormat="0" applyFill="0" applyAlignment="0" applyProtection="0"/>
    <xf numFmtId="0" fontId="106" fillId="0" borderId="166" applyNumberFormat="0" applyFill="0" applyAlignment="0" applyProtection="0"/>
    <xf numFmtId="0" fontId="106" fillId="0" borderId="166" applyNumberFormat="0" applyFill="0" applyAlignment="0" applyProtection="0"/>
    <xf numFmtId="0" fontId="106" fillId="0" borderId="195" applyNumberFormat="0" applyFill="0" applyAlignment="0" applyProtection="0"/>
    <xf numFmtId="0" fontId="106" fillId="0" borderId="195" applyNumberFormat="0" applyFill="0" applyAlignment="0" applyProtection="0"/>
    <xf numFmtId="0" fontId="106" fillId="0" borderId="195" applyNumberFormat="0" applyFill="0" applyAlignment="0" applyProtection="0"/>
    <xf numFmtId="0" fontId="106" fillId="0" borderId="195" applyNumberFormat="0" applyFill="0" applyAlignment="0" applyProtection="0"/>
    <xf numFmtId="0" fontId="106" fillId="0" borderId="195" applyNumberFormat="0" applyFill="0" applyAlignment="0" applyProtection="0"/>
    <xf numFmtId="0" fontId="106" fillId="0" borderId="195" applyNumberFormat="0" applyFill="0" applyAlignment="0" applyProtection="0"/>
    <xf numFmtId="3" fontId="60" fillId="54" borderId="287" applyNumberFormat="0" applyFill="0" applyBorder="0" applyProtection="0">
      <alignment horizontal="left"/>
    </xf>
    <xf numFmtId="4" fontId="99" fillId="26" borderId="214" applyBorder="0"/>
    <xf numFmtId="4" fontId="99" fillId="27" borderId="214" applyBorder="0"/>
    <xf numFmtId="4" fontId="99" fillId="26" borderId="214" applyBorder="0"/>
    <xf numFmtId="4" fontId="99" fillId="27" borderId="214" applyBorder="0"/>
    <xf numFmtId="0" fontId="132" fillId="50" borderId="273" applyNumberFormat="0" applyAlignment="0" applyProtection="0"/>
    <xf numFmtId="327" fontId="52" fillId="0" borderId="286" applyFill="0" applyAlignment="0" applyProtection="0"/>
    <xf numFmtId="258" fontId="2" fillId="48" borderId="280" applyProtection="0">
      <alignment horizontal="right"/>
    </xf>
    <xf numFmtId="259" fontId="2" fillId="48" borderId="280" applyProtection="0">
      <alignment horizontal="right"/>
      <protection locked="0"/>
    </xf>
    <xf numFmtId="260" fontId="2" fillId="48" borderId="280" applyProtection="0">
      <alignment horizontal="right"/>
      <protection locked="0"/>
    </xf>
    <xf numFmtId="214" fontId="2" fillId="48" borderId="280" applyProtection="0">
      <alignment horizontal="right"/>
      <protection locked="0"/>
    </xf>
    <xf numFmtId="261" fontId="2" fillId="48" borderId="280" applyProtection="0">
      <alignment horizontal="right"/>
    </xf>
    <xf numFmtId="262" fontId="2" fillId="48" borderId="280" applyProtection="0">
      <alignment horizontal="right"/>
    </xf>
    <xf numFmtId="263" fontId="2" fillId="48" borderId="280" applyProtection="0">
      <alignment horizontal="right"/>
    </xf>
    <xf numFmtId="214" fontId="2" fillId="48" borderId="280" applyProtection="0">
      <alignment horizontal="right"/>
    </xf>
    <xf numFmtId="264" fontId="2" fillId="48" borderId="280" applyProtection="0">
      <alignment horizontal="right"/>
    </xf>
    <xf numFmtId="265" fontId="2" fillId="48" borderId="280" applyProtection="0">
      <alignment horizontal="right"/>
    </xf>
    <xf numFmtId="327" fontId="52" fillId="0" borderId="265" applyFill="0" applyAlignment="0" applyProtection="0"/>
    <xf numFmtId="3" fontId="36" fillId="0" borderId="280"/>
    <xf numFmtId="3" fontId="2" fillId="0" borderId="280"/>
    <xf numFmtId="0" fontId="2" fillId="0" borderId="280" applyNumberFormat="0">
      <alignment horizontal="left" wrapText="1"/>
      <protection locked="0"/>
    </xf>
    <xf numFmtId="0" fontId="2" fillId="59" borderId="280" applyNumberFormat="0" applyFont="0" applyBorder="0" applyAlignment="0" applyProtection="0"/>
    <xf numFmtId="3" fontId="60" fillId="54" borderId="283" applyNumberFormat="0" applyFill="0" applyBorder="0" applyProtection="0">
      <alignment horizontal="left"/>
    </xf>
    <xf numFmtId="0" fontId="54" fillId="11" borderId="284">
      <alignment vertical="top" wrapText="1"/>
    </xf>
    <xf numFmtId="4" fontId="60" fillId="54" borderId="283" applyNumberFormat="0" applyProtection="0">
      <alignment horizontal="right" wrapText="1"/>
    </xf>
    <xf numFmtId="0" fontId="132" fillId="50" borderId="273" applyNumberFormat="0" applyAlignment="0" applyProtection="0"/>
    <xf numFmtId="0" fontId="2" fillId="0" borderId="280" applyNumberFormat="0" applyFont="0" applyFill="0" applyProtection="0">
      <alignment horizontal="center"/>
    </xf>
    <xf numFmtId="4" fontId="99" fillId="26" borderId="227" applyBorder="0"/>
    <xf numFmtId="4" fontId="99" fillId="27" borderId="227" applyBorder="0"/>
    <xf numFmtId="4" fontId="99" fillId="26" borderId="227" applyBorder="0"/>
    <xf numFmtId="4" fontId="99" fillId="27" borderId="227" applyBorder="0"/>
    <xf numFmtId="0" fontId="106" fillId="0" borderId="215" applyNumberFormat="0" applyFill="0" applyAlignment="0" applyProtection="0"/>
    <xf numFmtId="0" fontId="106" fillId="0" borderId="215" applyNumberFormat="0" applyFill="0" applyAlignment="0" applyProtection="0"/>
    <xf numFmtId="0" fontId="106" fillId="0" borderId="215" applyNumberFormat="0" applyFill="0" applyAlignment="0" applyProtection="0"/>
    <xf numFmtId="0" fontId="106" fillId="0" borderId="215" applyNumberFormat="0" applyFill="0" applyAlignment="0" applyProtection="0"/>
    <xf numFmtId="0" fontId="106" fillId="0" borderId="215" applyNumberFormat="0" applyFill="0" applyAlignment="0" applyProtection="0"/>
    <xf numFmtId="0" fontId="106" fillId="0" borderId="215" applyNumberFormat="0" applyFill="0" applyAlignment="0" applyProtection="0"/>
    <xf numFmtId="4" fontId="99" fillId="26" borderId="269" applyBorder="0"/>
    <xf numFmtId="4" fontId="99" fillId="27" borderId="269" applyBorder="0"/>
    <xf numFmtId="4" fontId="99" fillId="26" borderId="269" applyBorder="0"/>
    <xf numFmtId="4" fontId="99" fillId="27" borderId="269" applyBorder="0"/>
    <xf numFmtId="0" fontId="57" fillId="0" borderId="114" applyNumberFormat="0" applyFill="0" applyAlignment="0" applyProtection="0"/>
    <xf numFmtId="258" fontId="2" fillId="48" borderId="115" applyProtection="0">
      <alignment horizontal="right"/>
    </xf>
    <xf numFmtId="259" fontId="2" fillId="48" borderId="115" applyProtection="0">
      <alignment horizontal="right"/>
      <protection locked="0"/>
    </xf>
    <xf numFmtId="260" fontId="2" fillId="48" borderId="115" applyProtection="0">
      <alignment horizontal="right"/>
      <protection locked="0"/>
    </xf>
    <xf numFmtId="214" fontId="2" fillId="48" borderId="115" applyProtection="0">
      <alignment horizontal="right"/>
      <protection locked="0"/>
    </xf>
    <xf numFmtId="261" fontId="2" fillId="48" borderId="115" applyProtection="0">
      <alignment horizontal="right"/>
    </xf>
    <xf numFmtId="262" fontId="2" fillId="48" borderId="115" applyProtection="0">
      <alignment horizontal="right"/>
    </xf>
    <xf numFmtId="263" fontId="2" fillId="48" borderId="115" applyProtection="0">
      <alignment horizontal="right"/>
    </xf>
    <xf numFmtId="214" fontId="2" fillId="48" borderId="115" applyProtection="0">
      <alignment horizontal="right"/>
    </xf>
    <xf numFmtId="264" fontId="2" fillId="48" borderId="115" applyProtection="0">
      <alignment horizontal="right"/>
    </xf>
    <xf numFmtId="265" fontId="2" fillId="48" borderId="115" applyProtection="0">
      <alignment horizontal="right"/>
    </xf>
    <xf numFmtId="0" fontId="132" fillId="50" borderId="116" applyNumberFormat="0" applyAlignment="0" applyProtection="0"/>
    <xf numFmtId="0" fontId="139" fillId="50" borderId="117" applyNumberFormat="0" applyAlignment="0" applyProtection="0"/>
    <xf numFmtId="0" fontId="130" fillId="0" borderId="167" applyFont="0" applyFill="0" applyBorder="0" applyAlignment="0" applyProtection="0">
      <alignment horizontal="center" vertical="center"/>
    </xf>
    <xf numFmtId="0" fontId="57" fillId="0" borderId="168" applyNumberFormat="0" applyFill="0" applyAlignment="0" applyProtection="0"/>
    <xf numFmtId="258" fontId="2" fillId="48" borderId="164" applyProtection="0">
      <alignment horizontal="right"/>
    </xf>
    <xf numFmtId="259" fontId="2" fillId="48" borderId="164" applyProtection="0">
      <alignment horizontal="right"/>
      <protection locked="0"/>
    </xf>
    <xf numFmtId="260" fontId="2" fillId="48" borderId="164" applyProtection="0">
      <alignment horizontal="right"/>
      <protection locked="0"/>
    </xf>
    <xf numFmtId="214" fontId="2" fillId="48" borderId="164" applyProtection="0">
      <alignment horizontal="right"/>
      <protection locked="0"/>
    </xf>
    <xf numFmtId="261" fontId="2" fillId="48" borderId="164" applyProtection="0">
      <alignment horizontal="right"/>
    </xf>
    <xf numFmtId="262" fontId="2" fillId="48" borderId="164" applyProtection="0">
      <alignment horizontal="right"/>
    </xf>
    <xf numFmtId="263" fontId="2" fillId="48" borderId="164" applyProtection="0">
      <alignment horizontal="right"/>
    </xf>
    <xf numFmtId="214" fontId="2" fillId="48" borderId="164" applyProtection="0">
      <alignment horizontal="right"/>
    </xf>
    <xf numFmtId="264" fontId="2" fillId="48" borderId="164" applyProtection="0">
      <alignment horizontal="right"/>
    </xf>
    <xf numFmtId="265" fontId="2" fillId="48" borderId="164" applyProtection="0">
      <alignment horizontal="right"/>
    </xf>
    <xf numFmtId="0" fontId="106" fillId="0" borderId="228" applyNumberFormat="0" applyFill="0" applyAlignment="0" applyProtection="0"/>
    <xf numFmtId="0" fontId="106" fillId="0" borderId="228" applyNumberFormat="0" applyFill="0" applyAlignment="0" applyProtection="0"/>
    <xf numFmtId="0" fontId="106" fillId="0" borderId="228" applyNumberFormat="0" applyFill="0" applyAlignment="0" applyProtection="0"/>
    <xf numFmtId="0" fontId="106" fillId="0" borderId="228" applyNumberFormat="0" applyFill="0" applyAlignment="0" applyProtection="0"/>
    <xf numFmtId="0" fontId="106" fillId="0" borderId="228" applyNumberFormat="0" applyFill="0" applyAlignment="0" applyProtection="0"/>
    <xf numFmtId="0" fontId="106" fillId="0" borderId="228" applyNumberFormat="0" applyFill="0" applyAlignment="0" applyProtection="0"/>
    <xf numFmtId="0" fontId="130" fillId="0" borderId="196" applyFont="0" applyFill="0" applyBorder="0" applyAlignment="0" applyProtection="0">
      <alignment horizontal="center" vertical="center"/>
    </xf>
    <xf numFmtId="0" fontId="106" fillId="0" borderId="270" applyNumberFormat="0" applyFill="0" applyAlignment="0" applyProtection="0"/>
    <xf numFmtId="0" fontId="139" fillId="50" borderId="117" applyNumberFormat="0" applyAlignment="0" applyProtection="0"/>
    <xf numFmtId="3" fontId="2" fillId="0" borderId="115"/>
    <xf numFmtId="3" fontId="36" fillId="0" borderId="115"/>
    <xf numFmtId="3" fontId="2" fillId="0" borderId="115"/>
    <xf numFmtId="3" fontId="2" fillId="0" borderId="115"/>
    <xf numFmtId="3" fontId="2" fillId="0" borderId="115"/>
    <xf numFmtId="3" fontId="2" fillId="0" borderId="115"/>
    <xf numFmtId="3" fontId="2" fillId="0" borderId="115"/>
    <xf numFmtId="0" fontId="54" fillId="0" borderId="115">
      <alignment horizontal="left" wrapText="1"/>
    </xf>
    <xf numFmtId="49" fontId="90" fillId="14" borderId="115">
      <alignment horizontal="center" vertical="center" wrapText="1"/>
    </xf>
    <xf numFmtId="3" fontId="36" fillId="0" borderId="164"/>
    <xf numFmtId="3" fontId="2" fillId="0" borderId="164"/>
    <xf numFmtId="3" fontId="2" fillId="0" borderId="164"/>
    <xf numFmtId="0" fontId="106" fillId="0" borderId="288" applyNumberFormat="0" applyFill="0" applyAlignment="0" applyProtection="0"/>
    <xf numFmtId="0" fontId="130" fillId="0" borderId="216" applyFont="0" applyFill="0" applyBorder="0" applyAlignment="0" applyProtection="0">
      <alignment horizontal="center" vertical="center"/>
    </xf>
    <xf numFmtId="0" fontId="106" fillId="0" borderId="288" applyNumberFormat="0" applyFill="0" applyAlignment="0" applyProtection="0"/>
    <xf numFmtId="0" fontId="57" fillId="0" borderId="217" applyNumberFormat="0" applyFill="0" applyAlignment="0" applyProtection="0"/>
    <xf numFmtId="258" fontId="2" fillId="48" borderId="210" applyProtection="0">
      <alignment horizontal="right"/>
    </xf>
    <xf numFmtId="259" fontId="2" fillId="48" borderId="210" applyProtection="0">
      <alignment horizontal="right"/>
      <protection locked="0"/>
    </xf>
    <xf numFmtId="260" fontId="2" fillId="48" borderId="210" applyProtection="0">
      <alignment horizontal="right"/>
      <protection locked="0"/>
    </xf>
    <xf numFmtId="214" fontId="2" fillId="48" borderId="210" applyProtection="0">
      <alignment horizontal="right"/>
      <protection locked="0"/>
    </xf>
    <xf numFmtId="261" fontId="2" fillId="48" borderId="210" applyProtection="0">
      <alignment horizontal="right"/>
    </xf>
    <xf numFmtId="0" fontId="54" fillId="0" borderId="164">
      <alignment horizontal="left" wrapText="1"/>
    </xf>
    <xf numFmtId="0" fontId="132" fillId="50" borderId="218" applyNumberFormat="0" applyAlignment="0" applyProtection="0"/>
    <xf numFmtId="182" fontId="167" fillId="0" borderId="118">
      <protection locked="0"/>
    </xf>
    <xf numFmtId="263" fontId="2" fillId="48" borderId="221" applyProtection="0">
      <alignment horizontal="right"/>
    </xf>
    <xf numFmtId="261" fontId="2" fillId="48" borderId="221" applyProtection="0">
      <alignment horizontal="right"/>
    </xf>
    <xf numFmtId="265" fontId="2" fillId="48" borderId="221" applyProtection="0">
      <alignment horizontal="right"/>
    </xf>
    <xf numFmtId="0" fontId="139" fillId="50" borderId="232" applyNumberFormat="0" applyAlignment="0" applyProtection="0"/>
    <xf numFmtId="0" fontId="130" fillId="0" borderId="271" applyFont="0" applyFill="0" applyBorder="0" applyAlignment="0" applyProtection="0">
      <alignment horizontal="center" vertical="center"/>
    </xf>
    <xf numFmtId="0" fontId="57" fillId="0" borderId="272" applyNumberFormat="0" applyFill="0" applyAlignment="0" applyProtection="0"/>
    <xf numFmtId="37" fontId="69" fillId="0" borderId="119"/>
    <xf numFmtId="0" fontId="175" fillId="27" borderId="117" applyNumberFormat="0" applyAlignment="0" applyProtection="0"/>
    <xf numFmtId="0" fontId="132" fillId="50" borderId="273" applyNumberFormat="0" applyAlignment="0" applyProtection="0"/>
    <xf numFmtId="0" fontId="139" fillId="50" borderId="219" applyNumberFormat="0" applyAlignment="0" applyProtection="0"/>
    <xf numFmtId="0" fontId="178" fillId="0" borderId="120" applyNumberFormat="0" applyFill="0" applyAlignment="0" applyProtection="0"/>
    <xf numFmtId="3" fontId="2" fillId="0" borderId="210"/>
    <xf numFmtId="3" fontId="2" fillId="0" borderId="210"/>
    <xf numFmtId="0" fontId="14" fillId="0" borderId="121" applyBorder="0"/>
    <xf numFmtId="0" fontId="156" fillId="0" borderId="121">
      <alignment horizontal="left" vertical="center"/>
    </xf>
    <xf numFmtId="10" fontId="57" fillId="2" borderId="115" applyNumberFormat="0" applyBorder="0" applyAlignment="0" applyProtection="0"/>
    <xf numFmtId="0" fontId="175" fillId="27" borderId="117" applyNumberFormat="0" applyAlignment="0" applyProtection="0"/>
    <xf numFmtId="0" fontId="2" fillId="0" borderId="115" applyNumberFormat="0">
      <alignment horizontal="left" wrapText="1"/>
      <protection locked="0"/>
    </xf>
    <xf numFmtId="0" fontId="197" fillId="0" borderId="122" applyNumberFormat="0" applyFill="0" applyAlignment="0" applyProtection="0"/>
    <xf numFmtId="0" fontId="2" fillId="56" borderId="115" applyNumberFormat="0" applyProtection="0">
      <alignment vertical="center" wrapText="1"/>
    </xf>
    <xf numFmtId="0" fontId="139" fillId="50" borderId="232" applyNumberFormat="0" applyAlignment="0" applyProtection="0"/>
    <xf numFmtId="0" fontId="130" fillId="0" borderId="289" applyFont="0" applyFill="0" applyBorder="0" applyAlignment="0" applyProtection="0">
      <alignment horizontal="center" vertical="center"/>
    </xf>
    <xf numFmtId="3" fontId="2" fillId="0" borderId="221"/>
    <xf numFmtId="3" fontId="2" fillId="0" borderId="221"/>
    <xf numFmtId="0" fontId="175" fillId="27" borderId="135" applyNumberFormat="0" applyAlignment="0" applyProtection="0"/>
    <xf numFmtId="0" fontId="2" fillId="0" borderId="164" applyNumberFormat="0">
      <alignment horizontal="left" wrapText="1"/>
      <protection locked="0"/>
    </xf>
    <xf numFmtId="0" fontId="2" fillId="14" borderId="115" applyNumberFormat="0" applyAlignment="0"/>
    <xf numFmtId="0" fontId="197" fillId="0" borderId="169" applyNumberFormat="0" applyFill="0" applyAlignment="0" applyProtection="0"/>
    <xf numFmtId="0" fontId="2" fillId="56" borderId="164" applyNumberFormat="0" applyProtection="0">
      <alignment vertical="center" wrapText="1"/>
    </xf>
    <xf numFmtId="0" fontId="175" fillId="27" borderId="219" applyNumberFormat="0" applyAlignment="0" applyProtection="0"/>
    <xf numFmtId="0" fontId="178" fillId="0" borderId="235" applyNumberFormat="0" applyFill="0" applyAlignment="0" applyProtection="0"/>
    <xf numFmtId="0" fontId="2" fillId="59" borderId="115" applyNumberFormat="0" applyFont="0" applyBorder="0" applyAlignment="0" applyProtection="0"/>
    <xf numFmtId="0" fontId="216" fillId="60" borderId="123" applyNumberFormat="0" applyFont="0" applyAlignment="0" applyProtection="0"/>
    <xf numFmtId="0" fontId="91" fillId="60" borderId="123" applyNumberFormat="0" applyFont="0" applyAlignment="0" applyProtection="0"/>
    <xf numFmtId="0" fontId="132" fillId="50" borderId="116" applyNumberFormat="0" applyAlignment="0" applyProtection="0"/>
    <xf numFmtId="320" fontId="2" fillId="0" borderId="210" applyFont="0" applyFill="0" applyBorder="0" applyAlignment="0" applyProtection="0"/>
    <xf numFmtId="0" fontId="216" fillId="60" borderId="170" applyNumberFormat="0" applyFont="0" applyAlignment="0" applyProtection="0"/>
    <xf numFmtId="0" fontId="91" fillId="60" borderId="170" applyNumberFormat="0" applyFont="0" applyAlignment="0" applyProtection="0"/>
    <xf numFmtId="320" fontId="2" fillId="0" borderId="115" applyFont="0" applyFill="0" applyBorder="0" applyAlignment="0" applyProtection="0"/>
    <xf numFmtId="320" fontId="2" fillId="0" borderId="164" applyFont="0" applyFill="0" applyBorder="0" applyAlignment="0" applyProtection="0"/>
    <xf numFmtId="0" fontId="218" fillId="28" borderId="292"/>
    <xf numFmtId="0" fontId="218" fillId="28" borderId="292"/>
    <xf numFmtId="3" fontId="60" fillId="54" borderId="150" applyNumberFormat="0" applyFill="0" applyBorder="0" applyProtection="0">
      <alignment horizontal="left"/>
    </xf>
    <xf numFmtId="320" fontId="2" fillId="0" borderId="87" applyFont="0" applyFill="0" applyBorder="0" applyAlignment="0" applyProtection="0"/>
    <xf numFmtId="0" fontId="175" fillId="27" borderId="252" applyNumberFormat="0" applyAlignment="0" applyProtection="0"/>
    <xf numFmtId="320" fontId="2" fillId="0" borderId="133" applyFont="0" applyFill="0" applyBorder="0" applyAlignment="0" applyProtection="0"/>
    <xf numFmtId="0" fontId="132" fillId="50" borderId="155" applyNumberFormat="0" applyAlignment="0" applyProtection="0"/>
    <xf numFmtId="0" fontId="2" fillId="59" borderId="87" applyNumberFormat="0" applyFont="0" applyBorder="0" applyAlignment="0" applyProtection="0"/>
    <xf numFmtId="0" fontId="132" fillId="50" borderId="134" applyNumberFormat="0" applyAlignment="0" applyProtection="0"/>
    <xf numFmtId="0" fontId="91" fillId="60" borderId="141" applyNumberFormat="0" applyFont="0" applyAlignment="0" applyProtection="0"/>
    <xf numFmtId="0" fontId="216" fillId="60" borderId="141" applyNumberFormat="0" applyFont="0" applyAlignment="0" applyProtection="0"/>
    <xf numFmtId="0" fontId="2" fillId="59" borderId="133" applyNumberFormat="0" applyFont="0" applyBorder="0" applyAlignment="0" applyProtection="0"/>
    <xf numFmtId="0" fontId="175" fillId="27" borderId="204" applyNumberFormat="0" applyAlignment="0" applyProtection="0"/>
    <xf numFmtId="0" fontId="2" fillId="14" borderId="87" applyNumberFormat="0" applyAlignment="0"/>
    <xf numFmtId="0" fontId="2" fillId="56" borderId="87" applyNumberFormat="0" applyProtection="0">
      <alignment vertical="center" wrapText="1"/>
    </xf>
    <xf numFmtId="0" fontId="2" fillId="0" borderId="87" applyNumberFormat="0">
      <alignment horizontal="left" wrapText="1"/>
      <protection locked="0"/>
    </xf>
    <xf numFmtId="10" fontId="57" fillId="2" borderId="87" applyNumberFormat="0" applyBorder="0" applyAlignment="0" applyProtection="0"/>
    <xf numFmtId="0" fontId="2" fillId="14" borderId="133" applyNumberFormat="0" applyAlignment="0"/>
    <xf numFmtId="0" fontId="139" fillId="50" borderId="204" applyNumberFormat="0" applyAlignment="0" applyProtection="0"/>
    <xf numFmtId="0" fontId="106" fillId="0" borderId="281" applyNumberFormat="0" applyFill="0" applyAlignment="0" applyProtection="0"/>
    <xf numFmtId="0" fontId="156" fillId="0" borderId="158" applyNumberFormat="0" applyAlignment="0" applyProtection="0">
      <alignment horizontal="left" vertical="center"/>
    </xf>
    <xf numFmtId="0" fontId="2" fillId="56" borderId="133" applyNumberFormat="0" applyProtection="0">
      <alignment vertical="center" wrapText="1"/>
    </xf>
    <xf numFmtId="0" fontId="197" fillId="0" borderId="140" applyNumberFormat="0" applyFill="0" applyAlignment="0" applyProtection="0"/>
    <xf numFmtId="0" fontId="2" fillId="0" borderId="133" applyNumberFormat="0">
      <alignment horizontal="left" wrapText="1"/>
      <protection locked="0"/>
    </xf>
    <xf numFmtId="0" fontId="175" fillId="27" borderId="135" applyNumberFormat="0" applyAlignment="0" applyProtection="0"/>
    <xf numFmtId="10" fontId="57" fillId="2" borderId="133" applyNumberFormat="0" applyBorder="0" applyAlignment="0" applyProtection="0"/>
    <xf numFmtId="0" fontId="175" fillId="27" borderId="156" applyNumberFormat="0" applyAlignment="0" applyProtection="0"/>
    <xf numFmtId="0" fontId="156" fillId="0" borderId="139">
      <alignment horizontal="left" vertical="center"/>
    </xf>
    <xf numFmtId="0" fontId="14" fillId="35" borderId="133"/>
    <xf numFmtId="0" fontId="14" fillId="0" borderId="139" applyBorder="0"/>
    <xf numFmtId="0" fontId="178" fillId="0" borderId="138" applyNumberFormat="0" applyFill="0" applyAlignment="0" applyProtection="0"/>
    <xf numFmtId="0" fontId="106" fillId="0" borderId="263" applyNumberFormat="0" applyFill="0" applyAlignment="0" applyProtection="0"/>
    <xf numFmtId="0" fontId="175" fillId="27" borderId="135" applyNumberFormat="0" applyAlignment="0" applyProtection="0"/>
    <xf numFmtId="0" fontId="106" fillId="0" borderId="263" applyNumberFormat="0" applyFill="0" applyAlignment="0" applyProtection="0"/>
    <xf numFmtId="37" fontId="69" fillId="0" borderId="137"/>
    <xf numFmtId="0" fontId="139" fillId="50" borderId="204" applyNumberFormat="0" applyAlignment="0" applyProtection="0"/>
    <xf numFmtId="182" fontId="167" fillId="0" borderId="136">
      <protection locked="0"/>
    </xf>
    <xf numFmtId="170" fontId="1" fillId="0" borderId="0" applyFont="0" applyFill="0" applyBorder="0" applyAlignment="0" applyProtection="0"/>
    <xf numFmtId="0" fontId="54" fillId="0" borderId="87">
      <alignment horizontal="left" wrapText="1"/>
    </xf>
    <xf numFmtId="4" fontId="60" fillId="54" borderId="150" applyNumberFormat="0" applyProtection="0">
      <alignment horizontal="right" wrapText="1"/>
    </xf>
    <xf numFmtId="4" fontId="60" fillId="54" borderId="287" applyNumberFormat="0" applyProtection="0">
      <alignment horizontal="right" wrapText="1"/>
    </xf>
    <xf numFmtId="3" fontId="2" fillId="0" borderId="87"/>
    <xf numFmtId="3" fontId="2" fillId="0" borderId="87"/>
    <xf numFmtId="3" fontId="2" fillId="0" borderId="87"/>
    <xf numFmtId="3" fontId="36" fillId="0" borderId="87"/>
    <xf numFmtId="0" fontId="54" fillId="11" borderId="290">
      <alignment vertical="top" wrapText="1"/>
    </xf>
    <xf numFmtId="0" fontId="156" fillId="0" borderId="291" applyNumberFormat="0" applyAlignment="0" applyProtection="0">
      <alignment horizontal="left" vertical="center"/>
    </xf>
    <xf numFmtId="327" fontId="52" fillId="0" borderId="275" applyFill="0" applyAlignment="0" applyProtection="0"/>
    <xf numFmtId="327" fontId="52" fillId="0" borderId="275" applyFill="0" applyAlignment="0" applyProtection="0"/>
    <xf numFmtId="3" fontId="60" fillId="54" borderId="287" applyNumberFormat="0" applyFill="0" applyBorder="0" applyProtection="0">
      <alignment horizontal="left"/>
    </xf>
    <xf numFmtId="49" fontId="90" fillId="14" borderId="133">
      <alignment horizontal="center" vertical="center" wrapText="1"/>
    </xf>
    <xf numFmtId="0" fontId="54" fillId="0" borderId="133">
      <alignment horizontal="left" wrapText="1"/>
    </xf>
    <xf numFmtId="3" fontId="2" fillId="0" borderId="133"/>
    <xf numFmtId="3" fontId="2" fillId="0" borderId="133"/>
    <xf numFmtId="3" fontId="2" fillId="0" borderId="133"/>
    <xf numFmtId="3" fontId="2" fillId="0" borderId="133"/>
    <xf numFmtId="3" fontId="2" fillId="0" borderId="133"/>
    <xf numFmtId="3" fontId="36" fillId="0" borderId="133"/>
    <xf numFmtId="3" fontId="2" fillId="0" borderId="133"/>
    <xf numFmtId="0" fontId="139" fillId="50" borderId="135" applyNumberFormat="0" applyAlignment="0" applyProtection="0"/>
    <xf numFmtId="327" fontId="52" fillId="0" borderId="293" applyFill="0" applyAlignment="0" applyProtection="0"/>
    <xf numFmtId="0" fontId="130" fillId="0" borderId="189" applyFont="0" applyFill="0" applyBorder="0" applyAlignment="0" applyProtection="0">
      <alignment horizontal="center" vertical="center"/>
    </xf>
    <xf numFmtId="0" fontId="106" fillId="0" borderId="222" applyNumberFormat="0" applyFill="0" applyAlignment="0" applyProtection="0"/>
    <xf numFmtId="0" fontId="106" fillId="0" borderId="222" applyNumberFormat="0" applyFill="0" applyAlignment="0" applyProtection="0"/>
    <xf numFmtId="0" fontId="106" fillId="0" borderId="222" applyNumberFormat="0" applyFill="0" applyAlignment="0" applyProtection="0"/>
    <xf numFmtId="0" fontId="106" fillId="0" borderId="222" applyNumberFormat="0" applyFill="0" applyAlignment="0" applyProtection="0"/>
    <xf numFmtId="0" fontId="106" fillId="0" borderId="222" applyNumberFormat="0" applyFill="0" applyAlignment="0" applyProtection="0"/>
    <xf numFmtId="0" fontId="106" fillId="0" borderId="222" applyNumberFormat="0" applyFill="0" applyAlignment="0" applyProtection="0"/>
    <xf numFmtId="0" fontId="139" fillId="50" borderId="274" applyNumberFormat="0" applyAlignment="0" applyProtection="0"/>
    <xf numFmtId="0" fontId="132" fillId="50" borderId="273" applyNumberFormat="0" applyAlignment="0" applyProtection="0"/>
    <xf numFmtId="0" fontId="175" fillId="27" borderId="274" applyNumberFormat="0" applyAlignment="0" applyProtection="0"/>
    <xf numFmtId="0" fontId="139" fillId="50" borderId="156" applyNumberFormat="0" applyAlignment="0" applyProtection="0"/>
    <xf numFmtId="4" fontId="60" fillId="54" borderId="276" applyNumberFormat="0" applyProtection="0">
      <alignment horizontal="right" wrapText="1"/>
    </xf>
    <xf numFmtId="0" fontId="54" fillId="11" borderId="277">
      <alignment vertical="top" wrapText="1"/>
    </xf>
    <xf numFmtId="0" fontId="132" fillId="50" borderId="155" applyNumberFormat="0" applyAlignment="0" applyProtection="0"/>
    <xf numFmtId="0" fontId="156" fillId="0" borderId="278" applyNumberFormat="0" applyAlignment="0" applyProtection="0">
      <alignment horizontal="left" vertical="center"/>
    </xf>
    <xf numFmtId="265" fontId="2" fillId="48" borderId="87" applyProtection="0">
      <alignment horizontal="right"/>
    </xf>
    <xf numFmtId="264" fontId="2" fillId="48" borderId="87" applyProtection="0">
      <alignment horizontal="right"/>
    </xf>
    <xf numFmtId="214" fontId="2" fillId="48" borderId="87" applyProtection="0">
      <alignment horizontal="right"/>
    </xf>
    <xf numFmtId="263" fontId="2" fillId="48" borderId="87" applyProtection="0">
      <alignment horizontal="right"/>
    </xf>
    <xf numFmtId="262" fontId="2" fillId="48" borderId="87" applyProtection="0">
      <alignment horizontal="right"/>
    </xf>
    <xf numFmtId="261" fontId="2" fillId="48" borderId="87" applyProtection="0">
      <alignment horizontal="right"/>
    </xf>
    <xf numFmtId="214" fontId="2" fillId="48" borderId="87" applyProtection="0">
      <alignment horizontal="right"/>
      <protection locked="0"/>
    </xf>
    <xf numFmtId="260" fontId="2" fillId="48" borderId="87" applyProtection="0">
      <alignment horizontal="right"/>
      <protection locked="0"/>
    </xf>
    <xf numFmtId="259" fontId="2" fillId="48" borderId="87" applyProtection="0">
      <alignment horizontal="right"/>
      <protection locked="0"/>
    </xf>
    <xf numFmtId="258" fontId="2" fillId="48" borderId="87" applyProtection="0">
      <alignment horizontal="right"/>
    </xf>
    <xf numFmtId="0" fontId="57" fillId="0" borderId="154" applyNumberFormat="0" applyFill="0" applyAlignment="0" applyProtection="0"/>
    <xf numFmtId="0" fontId="130" fillId="0" borderId="153" applyFont="0" applyFill="0" applyBorder="0" applyAlignment="0" applyProtection="0">
      <alignment horizontal="center" vertical="center"/>
    </xf>
    <xf numFmtId="0" fontId="139" fillId="50" borderId="135" applyNumberFormat="0" applyAlignment="0" applyProtection="0"/>
    <xf numFmtId="0" fontId="238" fillId="0" borderId="238"/>
    <xf numFmtId="3" fontId="60" fillId="54" borderId="276" applyNumberFormat="0" applyFill="0" applyBorder="0" applyProtection="0">
      <alignment horizontal="left"/>
    </xf>
    <xf numFmtId="0" fontId="113" fillId="0" borderId="234"/>
    <xf numFmtId="0" fontId="132" fillId="50" borderId="273" applyNumberFormat="0" applyAlignment="0" applyProtection="0"/>
    <xf numFmtId="0" fontId="239" fillId="52" borderId="239" applyNumberFormat="0" applyProtection="0">
      <alignment horizontal="right"/>
    </xf>
    <xf numFmtId="0" fontId="239" fillId="52" borderId="240" applyNumberFormat="0" applyProtection="0">
      <alignment horizontal="right"/>
    </xf>
    <xf numFmtId="0" fontId="239" fillId="52" borderId="241" applyNumberFormat="0" applyProtection="0">
      <alignment horizontal="right"/>
    </xf>
    <xf numFmtId="0" fontId="2" fillId="0" borderId="221" applyNumberFormat="0" applyFont="0" applyFill="0" applyProtection="0">
      <alignment horizontal="center"/>
    </xf>
    <xf numFmtId="0" fontId="239" fillId="52" borderId="237" applyNumberFormat="0" applyAlignment="0" applyProtection="0"/>
    <xf numFmtId="0" fontId="54" fillId="0" borderId="239" applyNumberFormat="0" applyFill="0" applyProtection="0">
      <alignment horizontal="right"/>
    </xf>
    <xf numFmtId="0" fontId="54" fillId="0" borderId="240" applyNumberFormat="0" applyFill="0" applyProtection="0">
      <alignment horizontal="right"/>
    </xf>
    <xf numFmtId="0" fontId="54" fillId="0" borderId="241" applyNumberFormat="0" applyFill="0" applyProtection="0">
      <alignment horizontal="right"/>
    </xf>
    <xf numFmtId="0" fontId="132" fillId="50" borderId="134" applyNumberFormat="0" applyAlignment="0" applyProtection="0"/>
    <xf numFmtId="265" fontId="2" fillId="48" borderId="133" applyProtection="0">
      <alignment horizontal="right"/>
    </xf>
    <xf numFmtId="264" fontId="2" fillId="48" borderId="133" applyProtection="0">
      <alignment horizontal="right"/>
    </xf>
    <xf numFmtId="214" fontId="2" fillId="48" borderId="133" applyProtection="0">
      <alignment horizontal="right"/>
    </xf>
    <xf numFmtId="263" fontId="2" fillId="48" borderId="133" applyProtection="0">
      <alignment horizontal="right"/>
    </xf>
    <xf numFmtId="262" fontId="2" fillId="48" borderId="133" applyProtection="0">
      <alignment horizontal="right"/>
    </xf>
    <xf numFmtId="261" fontId="2" fillId="48" borderId="133" applyProtection="0">
      <alignment horizontal="right"/>
    </xf>
    <xf numFmtId="214" fontId="2" fillId="48" borderId="133" applyProtection="0">
      <alignment horizontal="right"/>
      <protection locked="0"/>
    </xf>
    <xf numFmtId="260" fontId="2" fillId="48" borderId="133" applyProtection="0">
      <alignment horizontal="right"/>
      <protection locked="0"/>
    </xf>
    <xf numFmtId="259" fontId="2" fillId="48" borderId="133" applyProtection="0">
      <alignment horizontal="right"/>
      <protection locked="0"/>
    </xf>
    <xf numFmtId="258" fontId="2" fillId="48" borderId="133" applyProtection="0">
      <alignment horizontal="right"/>
    </xf>
    <xf numFmtId="0" fontId="57" fillId="0" borderId="132" applyNumberFormat="0" applyFill="0" applyAlignment="0" applyProtection="0"/>
    <xf numFmtId="0" fontId="132" fillId="50" borderId="273" applyNumberFormat="0" applyAlignment="0" applyProtection="0"/>
    <xf numFmtId="0" fontId="14" fillId="35" borderId="280"/>
    <xf numFmtId="0" fontId="2" fillId="0" borderId="242" applyNumberFormat="0" applyFont="0" applyFill="0" applyAlignment="0" applyProtection="0"/>
    <xf numFmtId="327" fontId="52" fillId="0" borderId="243" applyFill="0" applyAlignment="0" applyProtection="0"/>
    <xf numFmtId="327" fontId="52" fillId="0" borderId="243" applyFill="0" applyAlignment="0" applyProtection="0"/>
    <xf numFmtId="0" fontId="2" fillId="0" borderId="242" applyNumberFormat="0" applyFont="0" applyFill="0" applyAlignment="0" applyProtection="0"/>
    <xf numFmtId="326" fontId="2" fillId="0" borderId="239" applyFill="0" applyAlignment="0" applyProtection="0"/>
    <xf numFmtId="326" fontId="2" fillId="0" borderId="240" applyFont="0" applyFill="0" applyAlignment="0" applyProtection="0"/>
    <xf numFmtId="326" fontId="2" fillId="0" borderId="241" applyFont="0" applyFill="0" applyAlignment="0" applyProtection="0"/>
    <xf numFmtId="327" fontId="2" fillId="0" borderId="239" applyFill="0" applyAlignment="0" applyProtection="0"/>
    <xf numFmtId="327" fontId="2" fillId="0" borderId="240" applyFont="0" applyFill="0" applyAlignment="0" applyProtection="0"/>
    <xf numFmtId="327" fontId="2" fillId="0" borderId="241" applyFont="0" applyFill="0" applyAlignment="0" applyProtection="0"/>
    <xf numFmtId="328" fontId="2" fillId="0" borderId="239" applyFill="0" applyAlignment="0" applyProtection="0"/>
    <xf numFmtId="328" fontId="2" fillId="0" borderId="240" applyFont="0" applyFill="0" applyAlignment="0" applyProtection="0"/>
    <xf numFmtId="328" fontId="2" fillId="0" borderId="241" applyFont="0" applyFill="0" applyAlignment="0" applyProtection="0"/>
    <xf numFmtId="327" fontId="52" fillId="0" borderId="279" applyFill="0" applyAlignment="0" applyProtection="0"/>
    <xf numFmtId="327" fontId="52" fillId="0" borderId="279" applyFill="0" applyAlignment="0" applyProtection="0"/>
    <xf numFmtId="3" fontId="72" fillId="0" borderId="280"/>
    <xf numFmtId="0" fontId="2" fillId="0" borderId="242" applyNumberFormat="0"/>
    <xf numFmtId="0" fontId="2" fillId="0" borderId="244" applyNumberFormat="0"/>
    <xf numFmtId="0" fontId="2" fillId="0" borderId="245" applyNumberFormat="0"/>
    <xf numFmtId="3" fontId="2" fillId="0" borderId="280"/>
    <xf numFmtId="0" fontId="2" fillId="0" borderId="242" applyNumberFormat="0" applyFont="0" applyFill="0" applyAlignment="0" applyProtection="0"/>
    <xf numFmtId="0" fontId="132" fillId="50" borderId="273" applyNumberFormat="0" applyAlignment="0" applyProtection="0"/>
    <xf numFmtId="0" fontId="2" fillId="0" borderId="242" applyNumberFormat="0" applyFont="0" applyFill="0" applyAlignment="0" applyProtection="0"/>
    <xf numFmtId="0" fontId="106" fillId="0" borderId="200" applyNumberFormat="0" applyFill="0" applyAlignment="0" applyProtection="0"/>
    <xf numFmtId="0" fontId="106" fillId="0" borderId="200" applyNumberFormat="0" applyFill="0" applyAlignment="0" applyProtection="0"/>
    <xf numFmtId="0" fontId="106" fillId="0" borderId="200" applyNumberFormat="0" applyFill="0" applyAlignment="0" applyProtection="0"/>
    <xf numFmtId="0" fontId="106" fillId="0" borderId="200" applyNumberFormat="0" applyFill="0" applyAlignment="0" applyProtection="0"/>
    <xf numFmtId="0" fontId="106" fillId="0" borderId="200" applyNumberFormat="0" applyFill="0" applyAlignment="0" applyProtection="0"/>
    <xf numFmtId="0" fontId="106" fillId="0" borderId="200" applyNumberFormat="0" applyFill="0" applyAlignment="0" applyProtection="0"/>
    <xf numFmtId="0" fontId="247" fillId="0" borderId="238"/>
    <xf numFmtId="0" fontId="54" fillId="56" borderId="221" applyNumberFormat="0" applyAlignment="0">
      <alignment horizontal="center"/>
    </xf>
    <xf numFmtId="0" fontId="69" fillId="0" borderId="234"/>
    <xf numFmtId="0" fontId="113" fillId="0" borderId="234"/>
    <xf numFmtId="0" fontId="178" fillId="0" borderId="235" applyNumberFormat="0" applyFill="0" applyAlignment="0" applyProtection="0"/>
    <xf numFmtId="0" fontId="2" fillId="60" borderId="237" applyNumberFormat="0" applyFont="0" applyAlignment="0" applyProtection="0"/>
    <xf numFmtId="0" fontId="139" fillId="50" borderId="232" applyNumberFormat="0" applyAlignment="0" applyProtection="0"/>
    <xf numFmtId="0" fontId="132" fillId="50" borderId="231" applyNumberFormat="0" applyAlignment="0" applyProtection="0"/>
    <xf numFmtId="0" fontId="175" fillId="27" borderId="232" applyNumberFormat="0" applyAlignment="0" applyProtection="0"/>
    <xf numFmtId="4" fontId="99" fillId="27" borderId="247" applyBorder="0"/>
    <xf numFmtId="0" fontId="2" fillId="0" borderId="210" applyNumberFormat="0" applyFont="0" applyFill="0" applyProtection="0">
      <alignment horizontal="center"/>
    </xf>
    <xf numFmtId="259" fontId="2" fillId="48" borderId="249" applyProtection="0">
      <alignment horizontal="right"/>
      <protection locked="0"/>
    </xf>
    <xf numFmtId="261" fontId="2" fillId="48" borderId="249" applyProtection="0">
      <alignment horizontal="right"/>
    </xf>
    <xf numFmtId="214" fontId="2" fillId="48" borderId="249" applyProtection="0">
      <alignment horizontal="right"/>
    </xf>
    <xf numFmtId="0" fontId="132" fillId="50" borderId="231" applyNumberFormat="0" applyAlignment="0" applyProtection="0"/>
    <xf numFmtId="3" fontId="2" fillId="0" borderId="249"/>
    <xf numFmtId="3" fontId="36" fillId="0" borderId="249"/>
    <xf numFmtId="3" fontId="2" fillId="0" borderId="249"/>
    <xf numFmtId="3" fontId="2" fillId="0" borderId="249"/>
    <xf numFmtId="3" fontId="2" fillId="0" borderId="249"/>
    <xf numFmtId="3" fontId="2" fillId="0" borderId="249"/>
    <xf numFmtId="3" fontId="2" fillId="0" borderId="249"/>
    <xf numFmtId="4" fontId="60" fillId="54" borderId="246" applyNumberFormat="0" applyProtection="0">
      <alignment horizontal="right" wrapText="1"/>
    </xf>
    <xf numFmtId="0" fontId="54" fillId="0" borderId="249">
      <alignment horizontal="left" wrapText="1"/>
    </xf>
    <xf numFmtId="49" fontId="90" fillId="14" borderId="249">
      <alignment horizontal="center" vertical="center" wrapText="1"/>
    </xf>
    <xf numFmtId="182" fontId="167" fillId="0" borderId="233">
      <protection locked="0"/>
    </xf>
    <xf numFmtId="37" fontId="69" fillId="0" borderId="234"/>
    <xf numFmtId="0" fontId="175" fillId="27" borderId="232" applyNumberFormat="0" applyAlignment="0" applyProtection="0"/>
    <xf numFmtId="0" fontId="178" fillId="0" borderId="235" applyNumberFormat="0" applyFill="0" applyAlignment="0" applyProtection="0"/>
    <xf numFmtId="0" fontId="54" fillId="11" borderId="225">
      <alignment vertical="top" wrapText="1"/>
    </xf>
    <xf numFmtId="10" fontId="57" fillId="2" borderId="249" applyNumberFormat="0" applyBorder="0" applyAlignment="0" applyProtection="0"/>
    <xf numFmtId="0" fontId="175" fillId="27" borderId="232" applyNumberFormat="0" applyAlignment="0" applyProtection="0"/>
    <xf numFmtId="0" fontId="2" fillId="0" borderId="249" applyNumberFormat="0">
      <alignment horizontal="left" wrapText="1"/>
      <protection locked="0"/>
    </xf>
    <xf numFmtId="0" fontId="197" fillId="0" borderId="236" applyNumberFormat="0" applyFill="0" applyAlignment="0" applyProtection="0"/>
    <xf numFmtId="0" fontId="2" fillId="56" borderId="249" applyNumberFormat="0" applyProtection="0">
      <alignment vertical="center" wrapText="1"/>
    </xf>
    <xf numFmtId="0" fontId="2" fillId="14" borderId="249" applyNumberFormat="0" applyAlignment="0"/>
    <xf numFmtId="0" fontId="2" fillId="59" borderId="249" applyNumberFormat="0" applyFont="0" applyBorder="0" applyAlignment="0" applyProtection="0"/>
    <xf numFmtId="0" fontId="216" fillId="60" borderId="237" applyNumberFormat="0" applyFont="0" applyAlignment="0" applyProtection="0"/>
    <xf numFmtId="320" fontId="2" fillId="0" borderId="249" applyFont="0" applyFill="0" applyBorder="0" applyAlignment="0" applyProtection="0"/>
    <xf numFmtId="3" fontId="60" fillId="54" borderId="246" applyNumberFormat="0" applyFill="0" applyBorder="0" applyProtection="0">
      <alignment horizontal="left"/>
    </xf>
    <xf numFmtId="0" fontId="132" fillId="50" borderId="251" applyNumberFormat="0" applyAlignment="0" applyProtection="0"/>
    <xf numFmtId="0" fontId="175" fillId="27" borderId="252" applyNumberFormat="0" applyAlignment="0" applyProtection="0"/>
    <xf numFmtId="0" fontId="175" fillId="27" borderId="252" applyNumberFormat="0" applyAlignment="0" applyProtection="0"/>
    <xf numFmtId="0" fontId="139" fillId="50" borderId="252" applyNumberFormat="0" applyAlignment="0" applyProtection="0"/>
    <xf numFmtId="0" fontId="139" fillId="50" borderId="252" applyNumberFormat="0" applyAlignment="0" applyProtection="0"/>
    <xf numFmtId="0" fontId="57" fillId="0" borderId="248" applyNumberFormat="0" applyFill="0" applyAlignment="0" applyProtection="0"/>
    <xf numFmtId="4" fontId="99" fillId="26" borderId="247" applyBorder="0"/>
    <xf numFmtId="3" fontId="72" fillId="0" borderId="133"/>
    <xf numFmtId="0" fontId="239" fillId="52" borderId="239" applyNumberFormat="0" applyProtection="0">
      <alignment horizontal="right"/>
    </xf>
    <xf numFmtId="0" fontId="2" fillId="0" borderId="249" applyNumberFormat="0" applyFont="0" applyFill="0" applyProtection="0">
      <alignment horizontal="center"/>
    </xf>
    <xf numFmtId="0" fontId="54" fillId="0" borderId="240" applyNumberFormat="0" applyFill="0" applyProtection="0">
      <alignment horizontal="right"/>
    </xf>
    <xf numFmtId="327" fontId="52" fillId="0" borderId="243" applyFill="0" applyAlignment="0" applyProtection="0"/>
    <xf numFmtId="327" fontId="52" fillId="0" borderId="243" applyFill="0" applyAlignment="0" applyProtection="0"/>
    <xf numFmtId="0" fontId="2" fillId="0" borderId="242" applyNumberFormat="0" applyFont="0" applyFill="0" applyAlignment="0" applyProtection="0"/>
    <xf numFmtId="326" fontId="2" fillId="0" borderId="239" applyFill="0" applyAlignment="0" applyProtection="0"/>
    <xf numFmtId="326" fontId="2" fillId="0" borderId="240" applyFont="0" applyFill="0" applyAlignment="0" applyProtection="0"/>
    <xf numFmtId="326" fontId="2" fillId="0" borderId="241" applyFont="0" applyFill="0" applyAlignment="0" applyProtection="0"/>
    <xf numFmtId="327" fontId="2" fillId="0" borderId="239" applyFill="0" applyAlignment="0" applyProtection="0"/>
    <xf numFmtId="327" fontId="2" fillId="0" borderId="240" applyFont="0" applyFill="0" applyAlignment="0" applyProtection="0"/>
    <xf numFmtId="327" fontId="2" fillId="0" borderId="241" applyFont="0" applyFill="0" applyAlignment="0" applyProtection="0"/>
    <xf numFmtId="328" fontId="2" fillId="0" borderId="239" applyFill="0" applyAlignment="0" applyProtection="0"/>
    <xf numFmtId="328" fontId="2" fillId="0" borderId="240" applyFont="0" applyFill="0" applyAlignment="0" applyProtection="0"/>
    <xf numFmtId="328" fontId="2" fillId="0" borderId="241" applyFont="0" applyFill="0" applyAlignment="0" applyProtection="0"/>
    <xf numFmtId="3" fontId="72" fillId="0" borderId="250"/>
    <xf numFmtId="0" fontId="2" fillId="0" borderId="242" applyNumberFormat="0"/>
    <xf numFmtId="0" fontId="2" fillId="0" borderId="244" applyNumberFormat="0"/>
    <xf numFmtId="0" fontId="2" fillId="0" borderId="245" applyNumberFormat="0"/>
    <xf numFmtId="0" fontId="2" fillId="0" borderId="239" applyNumberFormat="0" applyFont="0" applyFill="0" applyAlignment="0" applyProtection="0"/>
    <xf numFmtId="0" fontId="2" fillId="0" borderId="240" applyNumberFormat="0" applyFont="0" applyFill="0" applyAlignment="0" applyProtection="0"/>
    <xf numFmtId="0" fontId="2" fillId="0" borderId="245" applyNumberFormat="0" applyFont="0" applyFill="0" applyAlignment="0" applyProtection="0"/>
    <xf numFmtId="0" fontId="2" fillId="0" borderId="242" applyNumberFormat="0" applyFont="0" applyFill="0" applyAlignment="0" applyProtection="0"/>
    <xf numFmtId="0" fontId="69" fillId="0" borderId="234"/>
    <xf numFmtId="3" fontId="2" fillId="0" borderId="250"/>
    <xf numFmtId="0" fontId="2" fillId="60" borderId="237" applyNumberFormat="0" applyFont="0" applyAlignment="0" applyProtection="0"/>
    <xf numFmtId="0" fontId="139" fillId="50" borderId="232" applyNumberFormat="0" applyAlignment="0" applyProtection="0"/>
    <xf numFmtId="0" fontId="178" fillId="0" borderId="235" applyNumberFormat="0" applyFill="0" applyAlignment="0" applyProtection="0"/>
    <xf numFmtId="0" fontId="132" fillId="50" borderId="231" applyNumberFormat="0" applyAlignment="0" applyProtection="0"/>
    <xf numFmtId="0" fontId="175" fillId="27" borderId="232" applyNumberFormat="0" applyAlignment="0" applyProtection="0"/>
    <xf numFmtId="0" fontId="139" fillId="50" borderId="252" applyNumberFormat="0" applyAlignment="0" applyProtection="0"/>
    <xf numFmtId="0" fontId="132" fillId="50" borderId="251" applyNumberFormat="0" applyAlignment="0" applyProtection="0"/>
    <xf numFmtId="0" fontId="175" fillId="27" borderId="252" applyNumberFormat="0" applyAlignment="0" applyProtection="0"/>
    <xf numFmtId="4" fontId="99" fillId="27" borderId="199" applyBorder="0"/>
    <xf numFmtId="4" fontId="99" fillId="26" borderId="199" applyBorder="0"/>
    <xf numFmtId="4" fontId="99" fillId="27" borderId="199" applyBorder="0"/>
    <xf numFmtId="4" fontId="99" fillId="26" borderId="199" applyBorder="0"/>
    <xf numFmtId="328" fontId="2" fillId="0" borderId="257" applyFill="0" applyAlignment="0" applyProtection="0"/>
    <xf numFmtId="0" fontId="106" fillId="0" borderId="188" applyNumberFormat="0" applyFill="0" applyAlignment="0" applyProtection="0"/>
    <xf numFmtId="0" fontId="106" fillId="0" borderId="188" applyNumberFormat="0" applyFill="0" applyAlignment="0" applyProtection="0"/>
    <xf numFmtId="0" fontId="106" fillId="0" borderId="188" applyNumberFormat="0" applyFill="0" applyAlignment="0" applyProtection="0"/>
    <xf numFmtId="0" fontId="106" fillId="0" borderId="188" applyNumberFormat="0" applyFill="0" applyAlignment="0" applyProtection="0"/>
    <xf numFmtId="0" fontId="106" fillId="0" borderId="188" applyNumberFormat="0" applyFill="0" applyAlignment="0" applyProtection="0"/>
    <xf numFmtId="0" fontId="106" fillId="0" borderId="188" applyNumberFormat="0" applyFill="0" applyAlignment="0" applyProtection="0"/>
    <xf numFmtId="327" fontId="2" fillId="0" borderId="259" applyFont="0" applyFill="0" applyAlignment="0" applyProtection="0"/>
    <xf numFmtId="327" fontId="2" fillId="0" borderId="258" applyFont="0" applyFill="0" applyAlignment="0" applyProtection="0"/>
    <xf numFmtId="327" fontId="2" fillId="0" borderId="257" applyFill="0" applyAlignment="0" applyProtection="0"/>
    <xf numFmtId="326" fontId="2" fillId="0" borderId="259" applyFont="0" applyFill="0" applyAlignment="0" applyProtection="0"/>
    <xf numFmtId="326" fontId="2" fillId="0" borderId="258" applyFont="0" applyFill="0" applyAlignment="0" applyProtection="0"/>
    <xf numFmtId="326" fontId="2" fillId="0" borderId="257" applyFill="0" applyAlignment="0" applyProtection="0"/>
    <xf numFmtId="0" fontId="2" fillId="0" borderId="260" applyNumberFormat="0" applyFont="0" applyFill="0" applyAlignment="0" applyProtection="0"/>
    <xf numFmtId="0" fontId="2" fillId="0" borderId="260" applyNumberFormat="0" applyFont="0" applyFill="0" applyAlignment="0" applyProtection="0"/>
    <xf numFmtId="0" fontId="54" fillId="0" borderId="259" applyNumberFormat="0" applyFill="0" applyProtection="0">
      <alignment horizontal="right"/>
    </xf>
    <xf numFmtId="0" fontId="54" fillId="0" borderId="258" applyNumberFormat="0" applyFill="0" applyProtection="0">
      <alignment horizontal="right"/>
    </xf>
    <xf numFmtId="0" fontId="54" fillId="0" borderId="257" applyNumberFormat="0" applyFill="0" applyProtection="0">
      <alignment horizontal="right"/>
    </xf>
    <xf numFmtId="0" fontId="239" fillId="52" borderId="256" applyNumberFormat="0" applyAlignment="0" applyProtection="0"/>
    <xf numFmtId="0" fontId="2" fillId="0" borderId="249" applyNumberFormat="0" applyFont="0" applyFill="0" applyProtection="0">
      <alignment horizontal="center"/>
    </xf>
    <xf numFmtId="0" fontId="239" fillId="52" borderId="259" applyNumberFormat="0" applyProtection="0">
      <alignment horizontal="right"/>
    </xf>
    <xf numFmtId="0" fontId="239" fillId="52" borderId="258" applyNumberFormat="0" applyProtection="0">
      <alignment horizontal="right"/>
    </xf>
    <xf numFmtId="0" fontId="239" fillId="52" borderId="257" applyNumberFormat="0" applyProtection="0">
      <alignment horizontal="right"/>
    </xf>
    <xf numFmtId="3" fontId="60" fillId="54" borderId="246" applyNumberFormat="0" applyFill="0" applyBorder="0" applyProtection="0">
      <alignment horizontal="left"/>
    </xf>
    <xf numFmtId="320" fontId="2" fillId="0" borderId="249" applyFont="0" applyFill="0" applyBorder="0" applyAlignment="0" applyProtection="0"/>
    <xf numFmtId="0" fontId="132" fillId="50" borderId="251" applyNumberFormat="0" applyAlignment="0" applyProtection="0"/>
    <xf numFmtId="0" fontId="91" fillId="60" borderId="256" applyNumberFormat="0" applyFont="0" applyAlignment="0" applyProtection="0"/>
    <xf numFmtId="0" fontId="216" fillId="60" borderId="256" applyNumberFormat="0" applyFont="0" applyAlignment="0" applyProtection="0"/>
    <xf numFmtId="0" fontId="2" fillId="59" borderId="249" applyNumberFormat="0" applyFont="0" applyBorder="0" applyAlignment="0" applyProtection="0"/>
    <xf numFmtId="0" fontId="2" fillId="14" borderId="249" applyNumberFormat="0" applyAlignment="0"/>
    <xf numFmtId="0" fontId="2" fillId="56" borderId="249" applyNumberFormat="0" applyProtection="0">
      <alignment vertical="center" wrapText="1"/>
    </xf>
    <xf numFmtId="3" fontId="2" fillId="0" borderId="133"/>
    <xf numFmtId="0" fontId="54" fillId="56" borderId="210" applyNumberFormat="0" applyAlignment="0">
      <alignment horizontal="center"/>
    </xf>
    <xf numFmtId="0" fontId="130" fillId="0" borderId="264" applyFont="0" applyFill="0" applyBorder="0" applyAlignment="0" applyProtection="0">
      <alignment horizontal="center" vertical="center"/>
    </xf>
    <xf numFmtId="0" fontId="139" fillId="50" borderId="219" applyNumberFormat="0" applyAlignment="0" applyProtection="0"/>
    <xf numFmtId="0" fontId="106" fillId="0" borderId="152" applyNumberFormat="0" applyFill="0" applyAlignment="0" applyProtection="0"/>
    <xf numFmtId="0" fontId="106" fillId="0" borderId="152" applyNumberFormat="0" applyFill="0" applyAlignment="0" applyProtection="0"/>
    <xf numFmtId="0" fontId="106" fillId="0" borderId="152" applyNumberFormat="0" applyFill="0" applyAlignment="0" applyProtection="0"/>
    <xf numFmtId="0" fontId="106" fillId="0" borderId="152" applyNumberFormat="0" applyFill="0" applyAlignment="0" applyProtection="0"/>
    <xf numFmtId="0" fontId="106" fillId="0" borderId="152" applyNumberFormat="0" applyFill="0" applyAlignment="0" applyProtection="0"/>
    <xf numFmtId="0" fontId="106" fillId="0" borderId="152" applyNumberFormat="0" applyFill="0" applyAlignment="0" applyProtection="0"/>
    <xf numFmtId="4" fontId="60" fillId="54" borderId="211" applyNumberFormat="0" applyProtection="0">
      <alignment horizontal="right" wrapText="1"/>
    </xf>
    <xf numFmtId="0" fontId="156" fillId="0" borderId="213" applyNumberFormat="0" applyAlignment="0" applyProtection="0">
      <alignment horizontal="left" vertical="center"/>
    </xf>
    <xf numFmtId="3" fontId="60" fillId="54" borderId="211" applyNumberFormat="0" applyFill="0" applyBorder="0" applyProtection="0">
      <alignment horizontal="left"/>
    </xf>
    <xf numFmtId="320" fontId="2" fillId="0" borderId="210" applyFont="0" applyFill="0" applyBorder="0" applyAlignment="0" applyProtection="0"/>
    <xf numFmtId="0" fontId="132" fillId="50" borderId="218" applyNumberFormat="0" applyAlignment="0" applyProtection="0"/>
    <xf numFmtId="0" fontId="2" fillId="59" borderId="210" applyNumberFormat="0" applyFont="0" applyBorder="0" applyAlignment="0" applyProtection="0"/>
    <xf numFmtId="0" fontId="2" fillId="14" borderId="210" applyNumberFormat="0" applyAlignment="0"/>
    <xf numFmtId="0" fontId="2" fillId="56" borderId="210" applyNumberFormat="0" applyProtection="0">
      <alignment vertical="center" wrapText="1"/>
    </xf>
    <xf numFmtId="10" fontId="57" fillId="2" borderId="210" applyNumberFormat="0" applyBorder="0" applyAlignment="0" applyProtection="0"/>
    <xf numFmtId="0" fontId="54" fillId="0" borderId="210">
      <alignment horizontal="left" wrapText="1"/>
    </xf>
    <xf numFmtId="3" fontId="2" fillId="0" borderId="210"/>
    <xf numFmtId="264" fontId="2" fillId="48" borderId="210" applyProtection="0">
      <alignment horizontal="right"/>
    </xf>
    <xf numFmtId="262" fontId="2" fillId="48" borderId="210" applyProtection="0">
      <alignment horizontal="right"/>
    </xf>
    <xf numFmtId="260" fontId="2" fillId="48" borderId="210" applyProtection="0">
      <alignment horizontal="right"/>
      <protection locked="0"/>
    </xf>
    <xf numFmtId="4" fontId="99" fillId="26" borderId="247" applyBorder="0"/>
    <xf numFmtId="0" fontId="57" fillId="0" borderId="248" applyNumberFormat="0" applyFill="0" applyAlignment="0" applyProtection="0"/>
    <xf numFmtId="260" fontId="2" fillId="48" borderId="249" applyProtection="0">
      <alignment horizontal="right"/>
      <protection locked="0"/>
    </xf>
    <xf numFmtId="262" fontId="2" fillId="48" borderId="249" applyProtection="0">
      <alignment horizontal="right"/>
    </xf>
    <xf numFmtId="264" fontId="2" fillId="48" borderId="249" applyProtection="0">
      <alignment horizontal="right"/>
    </xf>
    <xf numFmtId="0" fontId="139" fillId="50" borderId="232" applyNumberFormat="0" applyAlignment="0" applyProtection="0"/>
    <xf numFmtId="0" fontId="91" fillId="60" borderId="237" applyNumberFormat="0" applyFont="0" applyAlignment="0" applyProtection="0"/>
    <xf numFmtId="327" fontId="52" fillId="0" borderId="220" applyFill="0" applyAlignment="0" applyProtection="0"/>
    <xf numFmtId="327" fontId="52" fillId="0" borderId="220" applyFill="0" applyAlignment="0" applyProtection="0"/>
    <xf numFmtId="0" fontId="132" fillId="50" borderId="251" applyNumberFormat="0" applyAlignment="0" applyProtection="0"/>
    <xf numFmtId="0" fontId="238" fillId="0" borderId="238"/>
    <xf numFmtId="0" fontId="239" fillId="52" borderId="240" applyNumberFormat="0" applyProtection="0">
      <alignment horizontal="right"/>
    </xf>
    <xf numFmtId="3" fontId="72" fillId="0" borderId="221"/>
    <xf numFmtId="0" fontId="113" fillId="0" borderId="234"/>
    <xf numFmtId="0" fontId="178" fillId="0" borderId="253" applyNumberFormat="0" applyFill="0" applyAlignment="0" applyProtection="0"/>
    <xf numFmtId="0" fontId="178" fillId="0" borderId="253" applyNumberFormat="0" applyFill="0" applyAlignment="0" applyProtection="0"/>
    <xf numFmtId="0" fontId="2" fillId="0" borderId="261" applyNumberFormat="0" applyFont="0" applyFill="0" applyAlignment="0" applyProtection="0"/>
    <xf numFmtId="0" fontId="2" fillId="0" borderId="262" applyNumberFormat="0"/>
    <xf numFmtId="328" fontId="2" fillId="0" borderId="259" applyFont="0" applyFill="0" applyAlignment="0" applyProtection="0"/>
    <xf numFmtId="0" fontId="113" fillId="0" borderId="234"/>
    <xf numFmtId="0" fontId="132" fillId="50" borderId="218" applyNumberFormat="0" applyAlignment="0" applyProtection="0"/>
    <xf numFmtId="328" fontId="2" fillId="0" borderId="258" applyFont="0" applyFill="0" applyAlignment="0" applyProtection="0"/>
    <xf numFmtId="0" fontId="2" fillId="0" borderId="261" applyNumberFormat="0"/>
    <xf numFmtId="0" fontId="2" fillId="0" borderId="260" applyNumberFormat="0" applyFont="0" applyFill="0" applyAlignment="0" applyProtection="0"/>
    <xf numFmtId="0" fontId="113" fillId="0" borderId="234"/>
    <xf numFmtId="0" fontId="139" fillId="50" borderId="252" applyNumberFormat="0" applyAlignment="0" applyProtection="0"/>
    <xf numFmtId="0" fontId="178" fillId="0" borderId="235" applyNumberFormat="0" applyFill="0" applyAlignment="0" applyProtection="0"/>
    <xf numFmtId="0" fontId="54" fillId="56" borderId="249" applyNumberFormat="0" applyAlignment="0">
      <alignment horizontal="center"/>
    </xf>
    <xf numFmtId="0" fontId="2" fillId="0" borderId="244" applyNumberFormat="0" applyFont="0" applyFill="0" applyAlignment="0" applyProtection="0"/>
    <xf numFmtId="0" fontId="2" fillId="0" borderId="242" applyNumberFormat="0" applyFont="0" applyFill="0" applyAlignment="0" applyProtection="0"/>
    <xf numFmtId="0" fontId="54" fillId="0" borderId="239" applyNumberFormat="0" applyFill="0" applyProtection="0">
      <alignment horizontal="right"/>
    </xf>
    <xf numFmtId="0" fontId="239" fillId="52" borderId="241" applyNumberFormat="0" applyProtection="0">
      <alignment horizontal="right"/>
    </xf>
    <xf numFmtId="0" fontId="113" fillId="0" borderId="234"/>
    <xf numFmtId="4" fontId="99" fillId="26" borderId="247" applyBorder="0"/>
    <xf numFmtId="4" fontId="99" fillId="27" borderId="247" applyBorder="0"/>
    <xf numFmtId="0" fontId="132" fillId="50" borderId="231" applyNumberFormat="0" applyAlignment="0" applyProtection="0"/>
    <xf numFmtId="0" fontId="139" fillId="50" borderId="232" applyNumberFormat="0" applyAlignment="0" applyProtection="0"/>
    <xf numFmtId="265" fontId="2" fillId="48" borderId="249" applyProtection="0">
      <alignment horizontal="right"/>
    </xf>
    <xf numFmtId="263" fontId="2" fillId="48" borderId="249" applyProtection="0">
      <alignment horizontal="right"/>
    </xf>
    <xf numFmtId="214" fontId="2" fillId="48" borderId="249" applyProtection="0">
      <alignment horizontal="right"/>
      <protection locked="0"/>
    </xf>
    <xf numFmtId="258" fontId="2" fillId="48" borderId="249" applyProtection="0">
      <alignment horizontal="right"/>
    </xf>
    <xf numFmtId="4" fontId="99" fillId="27" borderId="247" applyBorder="0"/>
    <xf numFmtId="4" fontId="99" fillId="26" borderId="247" applyBorder="0"/>
    <xf numFmtId="0" fontId="178" fillId="0" borderId="235" applyNumberFormat="0" applyFill="0" applyAlignment="0" applyProtection="0"/>
    <xf numFmtId="0" fontId="132" fillId="50" borderId="218" applyNumberFormat="0" applyAlignment="0" applyProtection="0"/>
    <xf numFmtId="4" fontId="99" fillId="27" borderId="151" applyBorder="0"/>
    <xf numFmtId="4" fontId="99" fillId="26" borderId="151" applyBorder="0"/>
    <xf numFmtId="4" fontId="99" fillId="27" borderId="151" applyBorder="0"/>
    <xf numFmtId="4" fontId="99" fillId="26" borderId="151" applyBorder="0"/>
    <xf numFmtId="4" fontId="99" fillId="27" borderId="131" applyBorder="0"/>
    <xf numFmtId="4" fontId="99" fillId="26" borderId="131" applyBorder="0"/>
    <xf numFmtId="4" fontId="99" fillId="27" borderId="131" applyBorder="0"/>
    <xf numFmtId="4" fontId="99" fillId="26" borderId="131" applyBorder="0"/>
    <xf numFmtId="0" fontId="175" fillId="27" borderId="219" applyNumberFormat="0" applyAlignment="0" applyProtection="0"/>
    <xf numFmtId="3" fontId="2" fillId="0" borderId="221"/>
    <xf numFmtId="170" fontId="1" fillId="0" borderId="0" applyFont="0" applyFill="0" applyBorder="0" applyAlignment="0" applyProtection="0"/>
    <xf numFmtId="0" fontId="106" fillId="0" borderId="270" applyNumberFormat="0" applyFill="0" applyAlignment="0" applyProtection="0"/>
    <xf numFmtId="4" fontId="60" fillId="54" borderId="194" applyNumberFormat="0" applyProtection="0">
      <alignment horizontal="right" wrapText="1"/>
    </xf>
    <xf numFmtId="0" fontId="54" fillId="11" borderId="197">
      <alignment vertical="top" wrapText="1"/>
    </xf>
    <xf numFmtId="0" fontId="156" fillId="0" borderId="198" applyNumberFormat="0" applyAlignment="0" applyProtection="0">
      <alignment horizontal="left" vertical="center"/>
    </xf>
    <xf numFmtId="3" fontId="60" fillId="54" borderId="194" applyNumberFormat="0" applyFill="0" applyBorder="0" applyProtection="0">
      <alignment horizontal="left"/>
    </xf>
    <xf numFmtId="0" fontId="106" fillId="0" borderId="270" applyNumberFormat="0" applyFill="0" applyAlignment="0" applyProtection="0"/>
    <xf numFmtId="0" fontId="54" fillId="56" borderId="133" applyNumberFormat="0" applyAlignment="0">
      <alignment horizontal="center"/>
    </xf>
    <xf numFmtId="0" fontId="132" fillId="50" borderId="218" applyNumberFormat="0" applyAlignment="0" applyProtection="0"/>
    <xf numFmtId="0" fontId="238" fillId="0" borderId="171"/>
    <xf numFmtId="0" fontId="2" fillId="0" borderId="210" applyNumberFormat="0" applyFont="0" applyFill="0" applyProtection="0">
      <alignment horizontal="center"/>
    </xf>
    <xf numFmtId="0" fontId="239" fillId="52" borderId="172" applyNumberFormat="0" applyProtection="0">
      <alignment horizontal="right"/>
    </xf>
    <xf numFmtId="0" fontId="239" fillId="52" borderId="173" applyNumberFormat="0" applyProtection="0">
      <alignment horizontal="right"/>
    </xf>
    <xf numFmtId="0" fontId="239" fillId="52" borderId="174" applyNumberFormat="0" applyProtection="0">
      <alignment horizontal="right"/>
    </xf>
    <xf numFmtId="0" fontId="2" fillId="0" borderId="164" applyNumberFormat="0" applyFont="0" applyFill="0" applyProtection="0">
      <alignment horizontal="center"/>
    </xf>
    <xf numFmtId="0" fontId="239" fillId="52" borderId="170" applyNumberFormat="0" applyAlignment="0" applyProtection="0"/>
    <xf numFmtId="0" fontId="54" fillId="0" borderId="172" applyNumberFormat="0" applyFill="0" applyProtection="0">
      <alignment horizontal="right"/>
    </xf>
    <xf numFmtId="0" fontId="54" fillId="0" borderId="173" applyNumberFormat="0" applyFill="0" applyProtection="0">
      <alignment horizontal="right"/>
    </xf>
    <xf numFmtId="0" fontId="54" fillId="0" borderId="174" applyNumberFormat="0" applyFill="0" applyProtection="0">
      <alignment horizontal="right"/>
    </xf>
    <xf numFmtId="0" fontId="54" fillId="11" borderId="212">
      <alignment vertical="top" wrapText="1"/>
    </xf>
    <xf numFmtId="0" fontId="2" fillId="0" borderId="210" applyNumberFormat="0">
      <alignment horizontal="left" wrapText="1"/>
      <protection locked="0"/>
    </xf>
    <xf numFmtId="3" fontId="2" fillId="0" borderId="210"/>
    <xf numFmtId="3" fontId="36" fillId="0" borderId="210"/>
    <xf numFmtId="0" fontId="132" fillId="50" borderId="218" applyNumberFormat="0" applyAlignment="0" applyProtection="0"/>
    <xf numFmtId="214" fontId="2" fillId="48" borderId="210" applyProtection="0">
      <alignment horizontal="right"/>
    </xf>
    <xf numFmtId="261" fontId="2" fillId="48" borderId="210" applyProtection="0">
      <alignment horizontal="right"/>
    </xf>
    <xf numFmtId="259" fontId="2" fillId="48" borderId="210" applyProtection="0">
      <alignment horizontal="right"/>
      <protection locked="0"/>
    </xf>
    <xf numFmtId="0" fontId="14" fillId="35" borderId="221"/>
    <xf numFmtId="259" fontId="2" fillId="48" borderId="133" applyProtection="0">
      <alignment horizontal="right"/>
      <protection locked="0"/>
    </xf>
    <xf numFmtId="0" fontId="14" fillId="35" borderId="250"/>
    <xf numFmtId="0" fontId="239" fillId="52" borderId="237" applyNumberFormat="0" applyAlignment="0" applyProtection="0"/>
    <xf numFmtId="0" fontId="2" fillId="0" borderId="242" applyNumberFormat="0" applyFont="0" applyFill="0" applyAlignment="0" applyProtection="0"/>
    <xf numFmtId="0" fontId="2" fillId="0" borderId="175" applyNumberFormat="0" applyFont="0" applyFill="0" applyAlignment="0" applyProtection="0"/>
    <xf numFmtId="0" fontId="229" fillId="1" borderId="121" applyNumberFormat="0" applyFont="0" applyAlignment="0">
      <alignment horizontal="center"/>
    </xf>
    <xf numFmtId="0" fontId="2" fillId="0" borderId="175" applyNumberFormat="0" applyFont="0" applyFill="0" applyAlignment="0" applyProtection="0"/>
    <xf numFmtId="326" fontId="2" fillId="0" borderId="172" applyFill="0" applyAlignment="0" applyProtection="0"/>
    <xf numFmtId="326" fontId="2" fillId="0" borderId="173" applyFont="0" applyFill="0" applyAlignment="0" applyProtection="0"/>
    <xf numFmtId="0" fontId="238" fillId="0" borderId="124"/>
    <xf numFmtId="326" fontId="2" fillId="0" borderId="174" applyFont="0" applyFill="0" applyAlignment="0" applyProtection="0"/>
    <xf numFmtId="0" fontId="113" fillId="0" borderId="119"/>
    <xf numFmtId="327" fontId="2" fillId="0" borderId="172" applyFill="0" applyAlignment="0" applyProtection="0"/>
    <xf numFmtId="327" fontId="2" fillId="0" borderId="173" applyFont="0" applyFill="0" applyAlignment="0" applyProtection="0"/>
    <xf numFmtId="327" fontId="2" fillId="0" borderId="174" applyFont="0" applyFill="0" applyAlignment="0" applyProtection="0"/>
    <xf numFmtId="0" fontId="239" fillId="52" borderId="125" applyNumberFormat="0" applyProtection="0">
      <alignment horizontal="right"/>
    </xf>
    <xf numFmtId="0" fontId="239" fillId="52" borderId="126" applyNumberFormat="0" applyProtection="0">
      <alignment horizontal="right"/>
    </xf>
    <xf numFmtId="0" fontId="239" fillId="52" borderId="127" applyNumberFormat="0" applyProtection="0">
      <alignment horizontal="right"/>
    </xf>
    <xf numFmtId="0" fontId="2" fillId="0" borderId="115" applyNumberFormat="0" applyFont="0" applyFill="0" applyProtection="0">
      <alignment horizontal="center"/>
    </xf>
    <xf numFmtId="0" fontId="239" fillId="52" borderId="123" applyNumberFormat="0" applyAlignment="0" applyProtection="0"/>
    <xf numFmtId="0" fontId="54" fillId="0" borderId="125" applyNumberFormat="0" applyFill="0" applyProtection="0">
      <alignment horizontal="right"/>
    </xf>
    <xf numFmtId="0" fontId="54" fillId="0" borderId="126" applyNumberFormat="0" applyFill="0" applyProtection="0">
      <alignment horizontal="right"/>
    </xf>
    <xf numFmtId="0" fontId="54" fillId="0" borderId="127" applyNumberFormat="0" applyFill="0" applyProtection="0">
      <alignment horizontal="right"/>
    </xf>
    <xf numFmtId="328" fontId="2" fillId="0" borderId="172" applyFill="0" applyAlignment="0" applyProtection="0"/>
    <xf numFmtId="328" fontId="2" fillId="0" borderId="173" applyFont="0" applyFill="0" applyAlignment="0" applyProtection="0"/>
    <xf numFmtId="328" fontId="2" fillId="0" borderId="174" applyFont="0" applyFill="0" applyAlignment="0" applyProtection="0"/>
    <xf numFmtId="0" fontId="132" fillId="50" borderId="218" applyNumberFormat="0" applyAlignment="0" applyProtection="0"/>
    <xf numFmtId="0" fontId="247" fillId="0" borderId="238"/>
    <xf numFmtId="0" fontId="54" fillId="0" borderId="241" applyNumberFormat="0" applyFill="0" applyProtection="0">
      <alignment horizontal="right"/>
    </xf>
    <xf numFmtId="4" fontId="99" fillId="27" borderId="247" applyBorder="0"/>
    <xf numFmtId="258" fontId="2" fillId="48" borderId="210" applyProtection="0">
      <alignment horizontal="right"/>
    </xf>
    <xf numFmtId="0" fontId="2" fillId="0" borderId="175" applyNumberFormat="0"/>
    <xf numFmtId="0" fontId="2" fillId="0" borderId="176" applyNumberFormat="0"/>
    <xf numFmtId="0" fontId="2" fillId="0" borderId="177" applyNumberFormat="0"/>
    <xf numFmtId="263" fontId="2" fillId="48" borderId="210" applyProtection="0">
      <alignment horizontal="right"/>
    </xf>
    <xf numFmtId="265" fontId="2" fillId="48" borderId="210" applyProtection="0">
      <alignment horizontal="right"/>
    </xf>
    <xf numFmtId="0" fontId="2" fillId="0" borderId="128" applyNumberFormat="0" applyFont="0" applyFill="0" applyAlignment="0" applyProtection="0"/>
    <xf numFmtId="3" fontId="2" fillId="0" borderId="210"/>
    <xf numFmtId="49" fontId="90" fillId="14" borderId="210">
      <alignment horizontal="center" vertical="center" wrapText="1"/>
    </xf>
    <xf numFmtId="0" fontId="2" fillId="0" borderId="172" applyNumberFormat="0" applyFont="0" applyFill="0" applyAlignment="0" applyProtection="0"/>
    <xf numFmtId="0" fontId="2" fillId="0" borderId="173" applyNumberFormat="0" applyFont="0" applyFill="0" applyAlignment="0" applyProtection="0"/>
    <xf numFmtId="0" fontId="175" fillId="27" borderId="219" applyNumberFormat="0" applyAlignment="0" applyProtection="0"/>
    <xf numFmtId="0" fontId="2" fillId="0" borderId="175" applyNumberFormat="0" applyFont="0" applyFill="0" applyAlignment="0" applyProtection="0"/>
    <xf numFmtId="0" fontId="2" fillId="0" borderId="128" applyNumberFormat="0" applyFont="0" applyFill="0" applyAlignment="0" applyProtection="0"/>
    <xf numFmtId="326" fontId="2" fillId="0" borderId="125" applyFill="0" applyAlignment="0" applyProtection="0"/>
    <xf numFmtId="326" fontId="2" fillId="0" borderId="126" applyFont="0" applyFill="0" applyAlignment="0" applyProtection="0"/>
    <xf numFmtId="326" fontId="2" fillId="0" borderId="127" applyFont="0" applyFill="0" applyAlignment="0" applyProtection="0"/>
    <xf numFmtId="327" fontId="2" fillId="0" borderId="125" applyFill="0" applyAlignment="0" applyProtection="0"/>
    <xf numFmtId="327" fontId="2" fillId="0" borderId="126" applyFont="0" applyFill="0" applyAlignment="0" applyProtection="0"/>
    <xf numFmtId="327" fontId="2" fillId="0" borderId="127" applyFont="0" applyFill="0" applyAlignment="0" applyProtection="0"/>
    <xf numFmtId="328" fontId="2" fillId="0" borderId="125" applyFill="0" applyAlignment="0" applyProtection="0"/>
    <xf numFmtId="328" fontId="2" fillId="0" borderId="126" applyFont="0" applyFill="0" applyAlignment="0" applyProtection="0"/>
    <xf numFmtId="328" fontId="2" fillId="0" borderId="127" applyFont="0" applyFill="0" applyAlignment="0" applyProtection="0"/>
    <xf numFmtId="0" fontId="2" fillId="0" borderId="176" applyNumberFormat="0" applyFont="0" applyFill="0" applyAlignment="0" applyProtection="0"/>
    <xf numFmtId="0" fontId="2" fillId="0" borderId="177" applyNumberFormat="0" applyFont="0" applyFill="0" applyAlignment="0" applyProtection="0"/>
    <xf numFmtId="0" fontId="2" fillId="0" borderId="128" applyNumberFormat="0"/>
    <xf numFmtId="0" fontId="2" fillId="0" borderId="129" applyNumberFormat="0"/>
    <xf numFmtId="0" fontId="2" fillId="0" borderId="130" applyNumberFormat="0"/>
    <xf numFmtId="0" fontId="2" fillId="0" borderId="175" applyNumberFormat="0" applyFont="0" applyFill="0" applyAlignment="0" applyProtection="0"/>
    <xf numFmtId="0" fontId="2" fillId="0" borderId="125" applyNumberFormat="0" applyFont="0" applyFill="0" applyAlignment="0" applyProtection="0"/>
    <xf numFmtId="0" fontId="2" fillId="0" borderId="126" applyNumberFormat="0" applyFont="0" applyFill="0" applyAlignment="0" applyProtection="0"/>
    <xf numFmtId="0" fontId="2" fillId="0" borderId="128" applyNumberFormat="0" applyFont="0" applyFill="0" applyAlignment="0" applyProtection="0"/>
    <xf numFmtId="0" fontId="2" fillId="0" borderId="129" applyNumberFormat="0" applyFont="0" applyFill="0" applyAlignment="0" applyProtection="0"/>
    <xf numFmtId="0" fontId="2" fillId="0" borderId="130" applyNumberFormat="0" applyFont="0" applyFill="0" applyAlignment="0" applyProtection="0"/>
    <xf numFmtId="0" fontId="247" fillId="0" borderId="171"/>
    <xf numFmtId="0" fontId="54" fillId="56" borderId="164" applyNumberFormat="0" applyAlignment="0">
      <alignment horizontal="center"/>
    </xf>
    <xf numFmtId="0" fontId="2" fillId="0" borderId="128" applyNumberFormat="0" applyFont="0" applyFill="0" applyAlignment="0" applyProtection="0"/>
    <xf numFmtId="0" fontId="130" fillId="0" borderId="223" applyFont="0" applyFill="0" applyBorder="0" applyAlignment="0" applyProtection="0">
      <alignment horizontal="center" vertical="center"/>
    </xf>
    <xf numFmtId="0" fontId="247" fillId="0" borderId="124"/>
    <xf numFmtId="0" fontId="54" fillId="56" borderId="115" applyNumberFormat="0" applyAlignment="0">
      <alignment horizontal="center"/>
    </xf>
    <xf numFmtId="0" fontId="69" fillId="0" borderId="119"/>
    <xf numFmtId="0" fontId="113" fillId="0" borderId="119"/>
    <xf numFmtId="0" fontId="178" fillId="0" borderId="120" applyNumberFormat="0" applyFill="0" applyAlignment="0" applyProtection="0"/>
    <xf numFmtId="0" fontId="2" fillId="60" borderId="123" applyNumberFormat="0" applyFont="0" applyAlignment="0" applyProtection="0"/>
    <xf numFmtId="0" fontId="139" fillId="50" borderId="117" applyNumberFormat="0" applyAlignment="0" applyProtection="0"/>
    <xf numFmtId="0" fontId="54" fillId="11" borderId="157">
      <alignment vertical="top" wrapText="1"/>
    </xf>
    <xf numFmtId="0" fontId="178" fillId="0" borderId="120" applyNumberFormat="0" applyFill="0" applyAlignment="0" applyProtection="0"/>
    <xf numFmtId="0" fontId="132" fillId="50" borderId="116" applyNumberFormat="0" applyAlignment="0" applyProtection="0"/>
    <xf numFmtId="0" fontId="175" fillId="27" borderId="117" applyNumberFormat="0" applyAlignment="0" applyProtection="0"/>
    <xf numFmtId="0" fontId="139" fillId="50" borderId="156" applyNumberFormat="0" applyAlignment="0" applyProtection="0"/>
    <xf numFmtId="170" fontId="1" fillId="0" borderId="0" applyFont="0" applyFill="0" applyBorder="0" applyAlignment="0" applyProtection="0"/>
    <xf numFmtId="0" fontId="175" fillId="27" borderId="156" applyNumberFormat="0" applyAlignment="0" applyProtection="0"/>
    <xf numFmtId="49" fontId="90" fillId="14" borderId="164">
      <alignment horizontal="center" vertical="center" wrapText="1"/>
    </xf>
    <xf numFmtId="10" fontId="57" fillId="2" borderId="210" applyNumberFormat="0" applyBorder="0" applyAlignment="0" applyProtection="0"/>
    <xf numFmtId="0" fontId="54" fillId="56" borderId="133" applyNumberFormat="0" applyAlignment="0">
      <alignment horizontal="center"/>
    </xf>
    <xf numFmtId="0" fontId="2" fillId="56" borderId="210" applyNumberFormat="0" applyProtection="0">
      <alignment vertical="center" wrapText="1"/>
    </xf>
    <xf numFmtId="0" fontId="2" fillId="0" borderId="210" applyNumberFormat="0">
      <alignment horizontal="left" wrapText="1"/>
      <protection locked="0"/>
    </xf>
    <xf numFmtId="0" fontId="69" fillId="0" borderId="137"/>
    <xf numFmtId="0" fontId="113" fillId="0" borderId="137"/>
    <xf numFmtId="0" fontId="178" fillId="0" borderId="138" applyNumberFormat="0" applyFill="0" applyAlignment="0" applyProtection="0"/>
    <xf numFmtId="3" fontId="36" fillId="0" borderId="210"/>
    <xf numFmtId="0" fontId="2" fillId="14" borderId="210" applyNumberFormat="0" applyAlignment="0"/>
    <xf numFmtId="214" fontId="2" fillId="48" borderId="210" applyProtection="0">
      <alignment horizontal="right"/>
      <protection locked="0"/>
    </xf>
    <xf numFmtId="10" fontId="57" fillId="2" borderId="164" applyNumberFormat="0" applyBorder="0" applyAlignment="0" applyProtection="0"/>
    <xf numFmtId="0" fontId="2" fillId="60" borderId="141" applyNumberFormat="0" applyFont="0" applyAlignment="0" applyProtection="0"/>
    <xf numFmtId="0" fontId="139" fillId="50" borderId="135" applyNumberFormat="0" applyAlignment="0" applyProtection="0"/>
    <xf numFmtId="3" fontId="2" fillId="0" borderId="164"/>
    <xf numFmtId="170" fontId="1" fillId="0" borderId="0" applyFont="0" applyFill="0" applyBorder="0" applyAlignment="0" applyProtection="0"/>
    <xf numFmtId="0" fontId="178" fillId="0" borderId="138" applyNumberFormat="0" applyFill="0" applyAlignment="0" applyProtection="0"/>
    <xf numFmtId="0" fontId="132" fillId="50" borderId="134" applyNumberFormat="0" applyAlignment="0" applyProtection="0"/>
    <xf numFmtId="0" fontId="175" fillId="27" borderId="135" applyNumberFormat="0" applyAlignment="0" applyProtection="0"/>
    <xf numFmtId="49" fontId="90" fillId="14" borderId="87">
      <alignment horizontal="center" vertical="center" wrapText="1"/>
    </xf>
    <xf numFmtId="0" fontId="132" fillId="50" borderId="203" applyNumberFormat="0" applyAlignment="0" applyProtection="0"/>
    <xf numFmtId="0" fontId="132" fillId="50" borderId="203" applyNumberFormat="0" applyAlignment="0" applyProtection="0"/>
    <xf numFmtId="0" fontId="57" fillId="0" borderId="202" applyNumberFormat="0" applyFill="0" applyAlignment="0" applyProtection="0"/>
    <xf numFmtId="0" fontId="175" fillId="27" borderId="180" applyNumberFormat="0" applyAlignment="0" applyProtection="0"/>
    <xf numFmtId="0" fontId="130" fillId="0" borderId="201" applyFont="0" applyFill="0" applyBorder="0" applyAlignment="0" applyProtection="0">
      <alignment horizontal="center" vertical="center"/>
    </xf>
    <xf numFmtId="0" fontId="2" fillId="14" borderId="164" applyNumberFormat="0" applyAlignment="0"/>
    <xf numFmtId="262" fontId="2" fillId="48" borderId="221" applyProtection="0">
      <alignment horizontal="right"/>
    </xf>
    <xf numFmtId="0" fontId="54" fillId="56" borderId="87" applyNumberFormat="0" applyAlignment="0">
      <alignment horizontal="center"/>
    </xf>
    <xf numFmtId="258" fontId="2" fillId="48" borderId="221" applyProtection="0">
      <alignment horizontal="right"/>
    </xf>
    <xf numFmtId="214" fontId="2" fillId="48" borderId="221" applyProtection="0">
      <alignment horizontal="right"/>
      <protection locked="0"/>
    </xf>
    <xf numFmtId="214" fontId="2" fillId="48" borderId="221" applyProtection="0">
      <alignment horizontal="right"/>
    </xf>
    <xf numFmtId="0" fontId="139" fillId="50" borderId="156" applyNumberFormat="0" applyAlignment="0" applyProtection="0"/>
    <xf numFmtId="260" fontId="2" fillId="48" borderId="221" applyProtection="0">
      <alignment horizontal="right"/>
      <protection locked="0"/>
    </xf>
    <xf numFmtId="0" fontId="132" fillId="50" borderId="155" applyNumberFormat="0" applyAlignment="0" applyProtection="0"/>
    <xf numFmtId="0" fontId="175" fillId="27" borderId="156" applyNumberFormat="0" applyAlignment="0" applyProtection="0"/>
    <xf numFmtId="265" fontId="2" fillId="48" borderId="210" applyProtection="0">
      <alignment horizontal="right"/>
    </xf>
    <xf numFmtId="0" fontId="2" fillId="0" borderId="87" applyNumberFormat="0" applyFont="0" applyFill="0" applyProtection="0">
      <alignment horizontal="center"/>
    </xf>
    <xf numFmtId="4" fontId="99" fillId="26" borderId="131" applyBorder="0"/>
    <xf numFmtId="4" fontId="99" fillId="27" borderId="131" applyBorder="0"/>
    <xf numFmtId="4" fontId="99" fillId="26" borderId="131" applyBorder="0"/>
    <xf numFmtId="4" fontId="99" fillId="27" borderId="131" applyBorder="0"/>
    <xf numFmtId="0" fontId="57" fillId="0" borderId="132" applyNumberFormat="0" applyFill="0" applyAlignment="0" applyProtection="0"/>
    <xf numFmtId="258" fontId="2" fillId="48" borderId="133" applyProtection="0">
      <alignment horizontal="right"/>
    </xf>
    <xf numFmtId="259" fontId="2" fillId="48" borderId="133" applyProtection="0">
      <alignment horizontal="right"/>
      <protection locked="0"/>
    </xf>
    <xf numFmtId="260" fontId="2" fillId="48" borderId="133" applyProtection="0">
      <alignment horizontal="right"/>
      <protection locked="0"/>
    </xf>
    <xf numFmtId="214" fontId="2" fillId="48" borderId="133" applyProtection="0">
      <alignment horizontal="right"/>
      <protection locked="0"/>
    </xf>
    <xf numFmtId="261" fontId="2" fillId="48" borderId="133" applyProtection="0">
      <alignment horizontal="right"/>
    </xf>
    <xf numFmtId="262" fontId="2" fillId="48" borderId="133" applyProtection="0">
      <alignment horizontal="right"/>
    </xf>
    <xf numFmtId="263" fontId="2" fillId="48" borderId="133" applyProtection="0">
      <alignment horizontal="right"/>
    </xf>
    <xf numFmtId="214" fontId="2" fillId="48" borderId="133" applyProtection="0">
      <alignment horizontal="right"/>
    </xf>
    <xf numFmtId="264" fontId="2" fillId="48" borderId="133" applyProtection="0">
      <alignment horizontal="right"/>
    </xf>
    <xf numFmtId="265" fontId="2" fillId="48" borderId="133" applyProtection="0">
      <alignment horizontal="right"/>
    </xf>
    <xf numFmtId="0" fontId="132" fillId="50" borderId="134" applyNumberFormat="0" applyAlignment="0" applyProtection="0"/>
    <xf numFmtId="0" fontId="139" fillId="50" borderId="135" applyNumberFormat="0" applyAlignment="0" applyProtection="0"/>
    <xf numFmtId="0" fontId="139" fillId="50" borderId="135" applyNumberFormat="0" applyAlignment="0" applyProtection="0"/>
    <xf numFmtId="3" fontId="2" fillId="0" borderId="133"/>
    <xf numFmtId="3" fontId="36" fillId="0" borderId="133"/>
    <xf numFmtId="3" fontId="2" fillId="0" borderId="133"/>
    <xf numFmtId="3" fontId="2" fillId="0" borderId="133"/>
    <xf numFmtId="3" fontId="2" fillId="0" borderId="133"/>
    <xf numFmtId="3" fontId="2" fillId="0" borderId="133"/>
    <xf numFmtId="3" fontId="2" fillId="0" borderId="133"/>
    <xf numFmtId="4" fontId="60" fillId="54" borderId="160" applyNumberFormat="0" applyProtection="0">
      <alignment horizontal="right" wrapText="1"/>
    </xf>
    <xf numFmtId="0" fontId="54" fillId="0" borderId="133">
      <alignment horizontal="left" wrapText="1"/>
    </xf>
    <xf numFmtId="49" fontId="90" fillId="14" borderId="133">
      <alignment horizontal="center" vertical="center" wrapText="1"/>
    </xf>
    <xf numFmtId="182" fontId="167" fillId="0" borderId="136">
      <protection locked="0"/>
    </xf>
    <xf numFmtId="37" fontId="69" fillId="0" borderId="137"/>
    <xf numFmtId="0" fontId="175" fillId="27" borderId="135" applyNumberFormat="0" applyAlignment="0" applyProtection="0"/>
    <xf numFmtId="0" fontId="178" fillId="0" borderId="138" applyNumberFormat="0" applyFill="0" applyAlignment="0" applyProtection="0"/>
    <xf numFmtId="0" fontId="14" fillId="0" borderId="139" applyBorder="0"/>
    <xf numFmtId="0" fontId="54" fillId="11" borderId="161">
      <alignment vertical="top" wrapText="1"/>
    </xf>
    <xf numFmtId="0" fontId="156" fillId="0" borderId="162" applyNumberFormat="0" applyAlignment="0" applyProtection="0">
      <alignment horizontal="left" vertical="center"/>
    </xf>
    <xf numFmtId="0" fontId="156" fillId="0" borderId="139">
      <alignment horizontal="left" vertical="center"/>
    </xf>
    <xf numFmtId="10" fontId="57" fillId="2" borderId="133" applyNumberFormat="0" applyBorder="0" applyAlignment="0" applyProtection="0"/>
    <xf numFmtId="0" fontId="175" fillId="27" borderId="135" applyNumberFormat="0" applyAlignment="0" applyProtection="0"/>
    <xf numFmtId="0" fontId="2" fillId="0" borderId="133" applyNumberFormat="0">
      <alignment horizontal="left" wrapText="1"/>
      <protection locked="0"/>
    </xf>
    <xf numFmtId="0" fontId="197" fillId="0" borderId="140" applyNumberFormat="0" applyFill="0" applyAlignment="0" applyProtection="0"/>
    <xf numFmtId="0" fontId="2" fillId="56" borderId="133" applyNumberFormat="0" applyProtection="0">
      <alignment vertical="center" wrapText="1"/>
    </xf>
    <xf numFmtId="0" fontId="2" fillId="14" borderId="133" applyNumberFormat="0" applyAlignment="0"/>
    <xf numFmtId="0" fontId="2" fillId="59" borderId="133" applyNumberFormat="0" applyFont="0" applyBorder="0" applyAlignment="0" applyProtection="0"/>
    <xf numFmtId="0" fontId="216" fillId="60" borderId="141" applyNumberFormat="0" applyFont="0" applyAlignment="0" applyProtection="0"/>
    <xf numFmtId="0" fontId="91" fillId="60" borderId="141" applyNumberFormat="0" applyFont="0" applyAlignment="0" applyProtection="0"/>
    <xf numFmtId="0" fontId="132" fillId="50" borderId="134" applyNumberFormat="0" applyAlignment="0" applyProtection="0"/>
    <xf numFmtId="320" fontId="2" fillId="0" borderId="133" applyFont="0" applyFill="0" applyBorder="0" applyAlignment="0" applyProtection="0"/>
    <xf numFmtId="3" fontId="60" fillId="54" borderId="160" applyNumberFormat="0" applyFill="0" applyBorder="0" applyProtection="0">
      <alignment horizontal="left"/>
    </xf>
    <xf numFmtId="320" fontId="2" fillId="0" borderId="87" applyFont="0" applyFill="0" applyBorder="0" applyAlignment="0" applyProtection="0"/>
    <xf numFmtId="0" fontId="132" fillId="50" borderId="134" applyNumberFormat="0" applyAlignment="0" applyProtection="0"/>
    <xf numFmtId="0" fontId="2" fillId="59" borderId="87" applyNumberFormat="0" applyFont="0" applyBorder="0" applyAlignment="0" applyProtection="0"/>
    <xf numFmtId="0" fontId="2" fillId="14" borderId="87" applyNumberFormat="0" applyAlignment="0"/>
    <xf numFmtId="0" fontId="2" fillId="56" borderId="87" applyNumberFormat="0" applyProtection="0">
      <alignment vertical="center" wrapText="1"/>
    </xf>
    <xf numFmtId="0" fontId="2" fillId="0" borderId="87" applyNumberFormat="0">
      <alignment horizontal="left" wrapText="1"/>
      <protection locked="0"/>
    </xf>
    <xf numFmtId="0" fontId="175" fillId="27" borderId="135" applyNumberFormat="0" applyAlignment="0" applyProtection="0"/>
    <xf numFmtId="10" fontId="57" fillId="2" borderId="87" applyNumberFormat="0" applyBorder="0" applyAlignment="0" applyProtection="0"/>
    <xf numFmtId="0" fontId="175" fillId="27" borderId="135" applyNumberFormat="0" applyAlignment="0" applyProtection="0"/>
    <xf numFmtId="49" fontId="90" fillId="14" borderId="87">
      <alignment horizontal="center" vertical="center" wrapText="1"/>
    </xf>
    <xf numFmtId="0" fontId="54" fillId="0" borderId="87">
      <alignment horizontal="left" wrapText="1"/>
    </xf>
    <xf numFmtId="3" fontId="2" fillId="0" borderId="87"/>
    <xf numFmtId="3" fontId="2" fillId="0" borderId="87"/>
    <xf numFmtId="3" fontId="2" fillId="0" borderId="87"/>
    <xf numFmtId="3" fontId="36" fillId="0" borderId="87"/>
    <xf numFmtId="0" fontId="139" fillId="50" borderId="135" applyNumberFormat="0" applyAlignment="0" applyProtection="0"/>
    <xf numFmtId="0" fontId="139" fillId="50" borderId="135" applyNumberFormat="0" applyAlignment="0" applyProtection="0"/>
    <xf numFmtId="0" fontId="132" fillId="50" borderId="134" applyNumberFormat="0" applyAlignment="0" applyProtection="0"/>
    <xf numFmtId="265" fontId="2" fillId="48" borderId="87" applyProtection="0">
      <alignment horizontal="right"/>
    </xf>
    <xf numFmtId="264" fontId="2" fillId="48" borderId="87" applyProtection="0">
      <alignment horizontal="right"/>
    </xf>
    <xf numFmtId="214" fontId="2" fillId="48" borderId="87" applyProtection="0">
      <alignment horizontal="right"/>
    </xf>
    <xf numFmtId="263" fontId="2" fillId="48" borderId="87" applyProtection="0">
      <alignment horizontal="right"/>
    </xf>
    <xf numFmtId="262" fontId="2" fillId="48" borderId="87" applyProtection="0">
      <alignment horizontal="right"/>
    </xf>
    <xf numFmtId="261" fontId="2" fillId="48" borderId="87" applyProtection="0">
      <alignment horizontal="right"/>
    </xf>
    <xf numFmtId="214" fontId="2" fillId="48" borderId="87" applyProtection="0">
      <alignment horizontal="right"/>
      <protection locked="0"/>
    </xf>
    <xf numFmtId="260" fontId="2" fillId="48" borderId="87" applyProtection="0">
      <alignment horizontal="right"/>
      <protection locked="0"/>
    </xf>
    <xf numFmtId="259" fontId="2" fillId="48" borderId="87" applyProtection="0">
      <alignment horizontal="right"/>
      <protection locked="0"/>
    </xf>
    <xf numFmtId="258" fontId="2" fillId="48" borderId="87" applyProtection="0">
      <alignment horizontal="right"/>
    </xf>
    <xf numFmtId="0" fontId="57" fillId="0" borderId="132" applyNumberFormat="0" applyFill="0" applyAlignment="0" applyProtection="0"/>
    <xf numFmtId="0" fontId="14" fillId="35" borderId="164"/>
    <xf numFmtId="4" fontId="99" fillId="27" borderId="131" applyBorder="0"/>
    <xf numFmtId="4" fontId="99" fillId="26" borderId="131" applyBorder="0"/>
    <xf numFmtId="4" fontId="99" fillId="27" borderId="131" applyBorder="0"/>
    <xf numFmtId="4" fontId="99" fillId="26" borderId="131" applyBorder="0"/>
    <xf numFmtId="0" fontId="229" fillId="1" borderId="139" applyNumberFormat="0" applyFont="0" applyAlignment="0">
      <alignment horizontal="center"/>
    </xf>
    <xf numFmtId="0" fontId="238" fillId="0" borderId="142"/>
    <xf numFmtId="0" fontId="113" fillId="0" borderId="137"/>
    <xf numFmtId="0" fontId="239" fillId="52" borderId="143" applyNumberFormat="0" applyProtection="0">
      <alignment horizontal="right"/>
    </xf>
    <xf numFmtId="0" fontId="239" fillId="52" borderId="144" applyNumberFormat="0" applyProtection="0">
      <alignment horizontal="right"/>
    </xf>
    <xf numFmtId="0" fontId="239" fillId="52" borderId="145" applyNumberFormat="0" applyProtection="0">
      <alignment horizontal="right"/>
    </xf>
    <xf numFmtId="0" fontId="2" fillId="0" borderId="133" applyNumberFormat="0" applyFont="0" applyFill="0" applyProtection="0">
      <alignment horizontal="center"/>
    </xf>
    <xf numFmtId="0" fontId="239" fillId="52" borderId="141" applyNumberFormat="0" applyAlignment="0" applyProtection="0"/>
    <xf numFmtId="0" fontId="54" fillId="0" borderId="143" applyNumberFormat="0" applyFill="0" applyProtection="0">
      <alignment horizontal="right"/>
    </xf>
    <xf numFmtId="0" fontId="54" fillId="0" borderId="144" applyNumberFormat="0" applyFill="0" applyProtection="0">
      <alignment horizontal="right"/>
    </xf>
    <xf numFmtId="0" fontId="54" fillId="0" borderId="145" applyNumberFormat="0" applyFill="0" applyProtection="0">
      <alignment horizontal="right"/>
    </xf>
    <xf numFmtId="0" fontId="2" fillId="0" borderId="146" applyNumberFormat="0" applyFont="0" applyFill="0" applyAlignment="0" applyProtection="0"/>
    <xf numFmtId="327" fontId="52" fillId="0" borderId="163" applyFill="0" applyAlignment="0" applyProtection="0"/>
    <xf numFmtId="327" fontId="52" fillId="0" borderId="163" applyFill="0" applyAlignment="0" applyProtection="0"/>
    <xf numFmtId="0" fontId="2" fillId="0" borderId="146" applyNumberFormat="0" applyFont="0" applyFill="0" applyAlignment="0" applyProtection="0"/>
    <xf numFmtId="326" fontId="2" fillId="0" borderId="143" applyFill="0" applyAlignment="0" applyProtection="0"/>
    <xf numFmtId="326" fontId="2" fillId="0" borderId="144" applyFont="0" applyFill="0" applyAlignment="0" applyProtection="0"/>
    <xf numFmtId="326" fontId="2" fillId="0" borderId="145" applyFont="0" applyFill="0" applyAlignment="0" applyProtection="0"/>
    <xf numFmtId="327" fontId="2" fillId="0" borderId="143" applyFill="0" applyAlignment="0" applyProtection="0"/>
    <xf numFmtId="327" fontId="2" fillId="0" borderId="144" applyFont="0" applyFill="0" applyAlignment="0" applyProtection="0"/>
    <xf numFmtId="327" fontId="2" fillId="0" borderId="145" applyFont="0" applyFill="0" applyAlignment="0" applyProtection="0"/>
    <xf numFmtId="328" fontId="2" fillId="0" borderId="143" applyFill="0" applyAlignment="0" applyProtection="0"/>
    <xf numFmtId="328" fontId="2" fillId="0" borderId="144" applyFont="0" applyFill="0" applyAlignment="0" applyProtection="0"/>
    <xf numFmtId="328" fontId="2" fillId="0" borderId="145" applyFont="0" applyFill="0" applyAlignment="0" applyProtection="0"/>
    <xf numFmtId="3" fontId="72" fillId="0" borderId="164"/>
    <xf numFmtId="0" fontId="2" fillId="0" borderId="146" applyNumberFormat="0"/>
    <xf numFmtId="0" fontId="2" fillId="0" borderId="148" applyNumberFormat="0"/>
    <xf numFmtId="0" fontId="2" fillId="0" borderId="149" applyNumberFormat="0"/>
    <xf numFmtId="0" fontId="2" fillId="0" borderId="143" applyNumberFormat="0" applyFont="0" applyFill="0" applyAlignment="0" applyProtection="0"/>
    <xf numFmtId="0" fontId="2" fillId="0" borderId="144" applyNumberFormat="0" applyFont="0" applyFill="0" applyAlignment="0" applyProtection="0"/>
    <xf numFmtId="0" fontId="2" fillId="0" borderId="146" applyNumberFormat="0" applyFont="0" applyFill="0" applyAlignment="0" applyProtection="0"/>
    <xf numFmtId="0" fontId="2" fillId="0" borderId="148" applyNumberFormat="0" applyFont="0" applyFill="0" applyAlignment="0" applyProtection="0"/>
    <xf numFmtId="0" fontId="2" fillId="0" borderId="149" applyNumberFormat="0" applyFont="0" applyFill="0" applyAlignment="0" applyProtection="0"/>
    <xf numFmtId="0" fontId="2" fillId="0" borderId="146" applyNumberFormat="0" applyFont="0" applyFill="0" applyAlignment="0" applyProtection="0"/>
    <xf numFmtId="0" fontId="247" fillId="0" borderId="142"/>
    <xf numFmtId="0" fontId="54" fillId="56" borderId="133" applyNumberFormat="0" applyAlignment="0">
      <alignment horizontal="center"/>
    </xf>
    <xf numFmtId="0" fontId="69" fillId="0" borderId="137"/>
    <xf numFmtId="0" fontId="113" fillId="0" borderId="137"/>
    <xf numFmtId="0" fontId="178" fillId="0" borderId="138" applyNumberFormat="0" applyFill="0" applyAlignment="0" applyProtection="0"/>
    <xf numFmtId="3" fontId="2" fillId="0" borderId="164"/>
    <xf numFmtId="0" fontId="2" fillId="60" borderId="141" applyNumberFormat="0" applyFont="0" applyAlignment="0" applyProtection="0"/>
    <xf numFmtId="0" fontId="139" fillId="50" borderId="135" applyNumberFormat="0" applyAlignment="0" applyProtection="0"/>
    <xf numFmtId="0" fontId="178" fillId="0" borderId="138" applyNumberFormat="0" applyFill="0" applyAlignment="0" applyProtection="0"/>
    <xf numFmtId="0" fontId="132" fillId="50" borderId="134" applyNumberFormat="0" applyAlignment="0" applyProtection="0"/>
    <xf numFmtId="0" fontId="175" fillId="27" borderId="135" applyNumberFormat="0" applyAlignment="0" applyProtection="0"/>
    <xf numFmtId="0" fontId="54" fillId="56" borderId="87" applyNumberFormat="0" applyAlignment="0">
      <alignment horizontal="center"/>
    </xf>
    <xf numFmtId="0" fontId="139" fillId="50" borderId="135" applyNumberFormat="0" applyAlignment="0" applyProtection="0"/>
    <xf numFmtId="0" fontId="132" fillId="50" borderId="134" applyNumberFormat="0" applyAlignment="0" applyProtection="0"/>
    <xf numFmtId="0" fontId="175" fillId="27" borderId="135" applyNumberFormat="0" applyAlignment="0" applyProtection="0"/>
    <xf numFmtId="0" fontId="175" fillId="27" borderId="135" applyNumberFormat="0" applyAlignment="0" applyProtection="0"/>
    <xf numFmtId="0" fontId="132" fillId="50" borderId="134" applyNumberFormat="0" applyAlignment="0" applyProtection="0"/>
    <xf numFmtId="0" fontId="178" fillId="0" borderId="138" applyNumberFormat="0" applyFill="0" applyAlignment="0" applyProtection="0"/>
    <xf numFmtId="0" fontId="139" fillId="50" borderId="135" applyNumberFormat="0" applyAlignment="0" applyProtection="0"/>
    <xf numFmtId="0" fontId="2" fillId="60" borderId="141" applyNumberFormat="0" applyFont="0" applyAlignment="0" applyProtection="0"/>
    <xf numFmtId="0" fontId="178" fillId="0" borderId="138" applyNumberFormat="0" applyFill="0" applyAlignment="0" applyProtection="0"/>
    <xf numFmtId="0" fontId="113" fillId="0" borderId="137"/>
    <xf numFmtId="0" fontId="69" fillId="0" borderId="137"/>
    <xf numFmtId="0" fontId="54" fillId="56" borderId="133" applyNumberFormat="0" applyAlignment="0">
      <alignment horizontal="center"/>
    </xf>
    <xf numFmtId="0" fontId="247" fillId="0" borderId="142"/>
    <xf numFmtId="0" fontId="2" fillId="0" borderId="146" applyNumberFormat="0" applyFont="0" applyFill="0" applyAlignment="0" applyProtection="0"/>
    <xf numFmtId="0" fontId="2" fillId="0" borderId="149" applyNumberFormat="0" applyFont="0" applyFill="0" applyAlignment="0" applyProtection="0"/>
    <xf numFmtId="0" fontId="2" fillId="0" borderId="148" applyNumberFormat="0" applyFont="0" applyFill="0" applyAlignment="0" applyProtection="0"/>
    <xf numFmtId="0" fontId="2" fillId="0" borderId="146" applyNumberFormat="0" applyFont="0" applyFill="0" applyAlignment="0" applyProtection="0"/>
    <xf numFmtId="0" fontId="2" fillId="0" borderId="144" applyNumberFormat="0" applyFont="0" applyFill="0" applyAlignment="0" applyProtection="0"/>
    <xf numFmtId="0" fontId="2" fillId="0" borderId="143" applyNumberFormat="0" applyFont="0" applyFill="0" applyAlignment="0" applyProtection="0"/>
    <xf numFmtId="0" fontId="2" fillId="0" borderId="149" applyNumberFormat="0"/>
    <xf numFmtId="0" fontId="2" fillId="0" borderId="148" applyNumberFormat="0"/>
    <xf numFmtId="0" fontId="2" fillId="0" borderId="146" applyNumberFormat="0"/>
    <xf numFmtId="328" fontId="2" fillId="0" borderId="145" applyFont="0" applyFill="0" applyAlignment="0" applyProtection="0"/>
    <xf numFmtId="328" fontId="2" fillId="0" borderId="144" applyFont="0" applyFill="0" applyAlignment="0" applyProtection="0"/>
    <xf numFmtId="328" fontId="2" fillId="0" borderId="143" applyFill="0" applyAlignment="0" applyProtection="0"/>
    <xf numFmtId="327" fontId="2" fillId="0" borderId="145" applyFont="0" applyFill="0" applyAlignment="0" applyProtection="0"/>
    <xf numFmtId="327" fontId="2" fillId="0" borderId="144" applyFont="0" applyFill="0" applyAlignment="0" applyProtection="0"/>
    <xf numFmtId="327" fontId="2" fillId="0" borderId="143" applyFill="0" applyAlignment="0" applyProtection="0"/>
    <xf numFmtId="326" fontId="2" fillId="0" borderId="145" applyFont="0" applyFill="0" applyAlignment="0" applyProtection="0"/>
    <xf numFmtId="326" fontId="2" fillId="0" borderId="144" applyFont="0" applyFill="0" applyAlignment="0" applyProtection="0"/>
    <xf numFmtId="326" fontId="2" fillId="0" borderId="143" applyFill="0" applyAlignment="0" applyProtection="0"/>
    <xf numFmtId="0" fontId="2" fillId="0" borderId="146" applyNumberFormat="0" applyFont="0" applyFill="0" applyAlignment="0" applyProtection="0"/>
    <xf numFmtId="0" fontId="2" fillId="0" borderId="146" applyNumberFormat="0" applyFont="0" applyFill="0" applyAlignment="0" applyProtection="0"/>
    <xf numFmtId="0" fontId="54" fillId="0" borderId="145" applyNumberFormat="0" applyFill="0" applyProtection="0">
      <alignment horizontal="right"/>
    </xf>
    <xf numFmtId="0" fontId="54" fillId="0" borderId="144" applyNumberFormat="0" applyFill="0" applyProtection="0">
      <alignment horizontal="right"/>
    </xf>
    <xf numFmtId="0" fontId="54" fillId="0" borderId="143" applyNumberFormat="0" applyFill="0" applyProtection="0">
      <alignment horizontal="right"/>
    </xf>
    <xf numFmtId="0" fontId="239" fillId="52" borderId="141" applyNumberFormat="0" applyAlignment="0" applyProtection="0"/>
    <xf numFmtId="0" fontId="2" fillId="0" borderId="133" applyNumberFormat="0" applyFont="0" applyFill="0" applyProtection="0">
      <alignment horizontal="center"/>
    </xf>
    <xf numFmtId="0" fontId="239" fillId="52" borderId="145" applyNumberFormat="0" applyProtection="0">
      <alignment horizontal="right"/>
    </xf>
    <xf numFmtId="0" fontId="239" fillId="52" borderId="144" applyNumberFormat="0" applyProtection="0">
      <alignment horizontal="right"/>
    </xf>
    <xf numFmtId="0" fontId="239" fillId="52" borderId="143" applyNumberFormat="0" applyProtection="0">
      <alignment horizontal="right"/>
    </xf>
    <xf numFmtId="0" fontId="113" fillId="0" borderId="137"/>
    <xf numFmtId="0" fontId="238" fillId="0" borderId="142"/>
    <xf numFmtId="0" fontId="229" fillId="1" borderId="139" applyNumberFormat="0" applyFont="0" applyAlignment="0">
      <alignment horizontal="center"/>
    </xf>
    <xf numFmtId="3" fontId="60" fillId="54" borderId="160" applyNumberFormat="0" applyFill="0" applyBorder="0" applyProtection="0">
      <alignment horizontal="left"/>
    </xf>
    <xf numFmtId="320" fontId="2" fillId="0" borderId="133" applyFont="0" applyFill="0" applyBorder="0" applyAlignment="0" applyProtection="0"/>
    <xf numFmtId="0" fontId="132" fillId="50" borderId="134" applyNumberFormat="0" applyAlignment="0" applyProtection="0"/>
    <xf numFmtId="0" fontId="91" fillId="60" borderId="141" applyNumberFormat="0" applyFont="0" applyAlignment="0" applyProtection="0"/>
    <xf numFmtId="0" fontId="216" fillId="60" borderId="141" applyNumberFormat="0" applyFont="0" applyAlignment="0" applyProtection="0"/>
    <xf numFmtId="0" fontId="2" fillId="59" borderId="133" applyNumberFormat="0" applyFont="0" applyBorder="0" applyAlignment="0" applyProtection="0"/>
    <xf numFmtId="0" fontId="2" fillId="14" borderId="133" applyNumberFormat="0" applyAlignment="0"/>
    <xf numFmtId="0" fontId="2" fillId="56" borderId="133" applyNumberFormat="0" applyProtection="0">
      <alignment vertical="center" wrapText="1"/>
    </xf>
    <xf numFmtId="0" fontId="197" fillId="0" borderId="140" applyNumberFormat="0" applyFill="0" applyAlignment="0" applyProtection="0"/>
    <xf numFmtId="0" fontId="2" fillId="0" borderId="133" applyNumberFormat="0">
      <alignment horizontal="left" wrapText="1"/>
      <protection locked="0"/>
    </xf>
    <xf numFmtId="0" fontId="175" fillId="27" borderId="135" applyNumberFormat="0" applyAlignment="0" applyProtection="0"/>
    <xf numFmtId="10" fontId="57" fillId="2" borderId="133" applyNumberFormat="0" applyBorder="0" applyAlignment="0" applyProtection="0"/>
    <xf numFmtId="0" fontId="156" fillId="0" borderId="139">
      <alignment horizontal="left" vertical="center"/>
    </xf>
    <xf numFmtId="0" fontId="156" fillId="0" borderId="162" applyNumberFormat="0" applyAlignment="0" applyProtection="0">
      <alignment horizontal="left" vertical="center"/>
    </xf>
    <xf numFmtId="0" fontId="54" fillId="11" borderId="161">
      <alignment vertical="top" wrapText="1"/>
    </xf>
    <xf numFmtId="0" fontId="14" fillId="0" borderId="139" applyBorder="0"/>
    <xf numFmtId="0" fontId="178" fillId="0" borderId="138" applyNumberFormat="0" applyFill="0" applyAlignment="0" applyProtection="0"/>
    <xf numFmtId="0" fontId="175" fillId="27" borderId="135" applyNumberFormat="0" applyAlignment="0" applyProtection="0"/>
    <xf numFmtId="37" fontId="69" fillId="0" borderId="137"/>
    <xf numFmtId="182" fontId="167" fillId="0" borderId="136">
      <protection locked="0"/>
    </xf>
    <xf numFmtId="49" fontId="90" fillId="14" borderId="133">
      <alignment horizontal="center" vertical="center" wrapText="1"/>
    </xf>
    <xf numFmtId="0" fontId="54" fillId="0" borderId="133">
      <alignment horizontal="left" wrapText="1"/>
    </xf>
    <xf numFmtId="4" fontId="60" fillId="54" borderId="160" applyNumberFormat="0" applyProtection="0">
      <alignment horizontal="right" wrapText="1"/>
    </xf>
    <xf numFmtId="3" fontId="2" fillId="0" borderId="133"/>
    <xf numFmtId="3" fontId="2" fillId="0" borderId="133"/>
    <xf numFmtId="3" fontId="2" fillId="0" borderId="133"/>
    <xf numFmtId="3" fontId="2" fillId="0" borderId="133"/>
    <xf numFmtId="3" fontId="2" fillId="0" borderId="133"/>
    <xf numFmtId="3" fontId="36" fillId="0" borderId="133"/>
    <xf numFmtId="3" fontId="2" fillId="0" borderId="133"/>
    <xf numFmtId="0" fontId="139" fillId="50" borderId="135" applyNumberFormat="0" applyAlignment="0" applyProtection="0"/>
    <xf numFmtId="0" fontId="139" fillId="50" borderId="135" applyNumberFormat="0" applyAlignment="0" applyProtection="0"/>
    <xf numFmtId="0" fontId="132" fillId="50" borderId="134" applyNumberFormat="0" applyAlignment="0" applyProtection="0"/>
    <xf numFmtId="265" fontId="2" fillId="48" borderId="133" applyProtection="0">
      <alignment horizontal="right"/>
    </xf>
    <xf numFmtId="264" fontId="2" fillId="48" borderId="133" applyProtection="0">
      <alignment horizontal="right"/>
    </xf>
    <xf numFmtId="214" fontId="2" fillId="48" borderId="133" applyProtection="0">
      <alignment horizontal="right"/>
    </xf>
    <xf numFmtId="263" fontId="2" fillId="48" borderId="133" applyProtection="0">
      <alignment horizontal="right"/>
    </xf>
    <xf numFmtId="262" fontId="2" fillId="48" borderId="133" applyProtection="0">
      <alignment horizontal="right"/>
    </xf>
    <xf numFmtId="261" fontId="2" fillId="48" borderId="133" applyProtection="0">
      <alignment horizontal="right"/>
    </xf>
    <xf numFmtId="214" fontId="2" fillId="48" borderId="133" applyProtection="0">
      <alignment horizontal="right"/>
      <protection locked="0"/>
    </xf>
    <xf numFmtId="260" fontId="2" fillId="48" borderId="133" applyProtection="0">
      <alignment horizontal="right"/>
      <protection locked="0"/>
    </xf>
    <xf numFmtId="259" fontId="2" fillId="48" borderId="133" applyProtection="0">
      <alignment horizontal="right"/>
      <protection locked="0"/>
    </xf>
    <xf numFmtId="258" fontId="2" fillId="48" borderId="133" applyProtection="0">
      <alignment horizontal="right"/>
    </xf>
    <xf numFmtId="0" fontId="57" fillId="0" borderId="132" applyNumberFormat="0" applyFill="0" applyAlignment="0" applyProtection="0"/>
    <xf numFmtId="4" fontId="99" fillId="27" borderId="131" applyBorder="0"/>
    <xf numFmtId="4" fontId="99" fillId="26" borderId="131" applyBorder="0"/>
    <xf numFmtId="4" fontId="99" fillId="27" borderId="131" applyBorder="0"/>
    <xf numFmtId="4" fontId="99" fillId="26" borderId="131" applyBorder="0"/>
    <xf numFmtId="0" fontId="2" fillId="60" borderId="170" applyNumberFormat="0" applyFont="0" applyAlignment="0" applyProtection="0"/>
    <xf numFmtId="0" fontId="175" fillId="27" borderId="204" applyNumberFormat="0" applyAlignment="0" applyProtection="0"/>
    <xf numFmtId="0" fontId="2" fillId="0" borderId="164" applyNumberFormat="0" applyFont="0" applyFill="0" applyProtection="0">
      <alignment horizontal="center"/>
    </xf>
    <xf numFmtId="4" fontId="99" fillId="26" borderId="165" applyBorder="0"/>
    <xf numFmtId="4" fontId="99" fillId="27" borderId="165" applyBorder="0"/>
    <xf numFmtId="4" fontId="99" fillId="26" borderId="165" applyBorder="0"/>
    <xf numFmtId="4" fontId="99" fillId="27" borderId="165" applyBorder="0"/>
    <xf numFmtId="0" fontId="57" fillId="0" borderId="168" applyNumberFormat="0" applyFill="0" applyAlignment="0" applyProtection="0"/>
    <xf numFmtId="0" fontId="132" fillId="50" borderId="179" applyNumberFormat="0" applyAlignment="0" applyProtection="0"/>
    <xf numFmtId="0" fontId="139" fillId="50" borderId="180" applyNumberFormat="0" applyAlignment="0" applyProtection="0"/>
    <xf numFmtId="0" fontId="139" fillId="50" borderId="180" applyNumberFormat="0" applyAlignment="0" applyProtection="0"/>
    <xf numFmtId="0" fontId="106" fillId="0" borderId="288" applyNumberFormat="0" applyFill="0" applyAlignment="0" applyProtection="0"/>
    <xf numFmtId="4" fontId="60" fillId="54" borderId="178" applyNumberFormat="0" applyProtection="0">
      <alignment horizontal="right" wrapText="1"/>
    </xf>
    <xf numFmtId="262" fontId="2" fillId="48" borderId="210" applyProtection="0">
      <alignment horizontal="right"/>
    </xf>
    <xf numFmtId="214" fontId="2" fillId="48" borderId="210" applyProtection="0">
      <alignment horizontal="right"/>
    </xf>
    <xf numFmtId="182" fontId="167" fillId="0" borderId="181">
      <protection locked="0"/>
    </xf>
    <xf numFmtId="37" fontId="69" fillId="0" borderId="182"/>
    <xf numFmtId="0" fontId="175" fillId="27" borderId="180" applyNumberFormat="0" applyAlignment="0" applyProtection="0"/>
    <xf numFmtId="0" fontId="178" fillId="0" borderId="183" applyNumberFormat="0" applyFill="0" applyAlignment="0" applyProtection="0"/>
    <xf numFmtId="0" fontId="54" fillId="11" borderId="184">
      <alignment vertical="top" wrapText="1"/>
    </xf>
    <xf numFmtId="0" fontId="156" fillId="0" borderId="185" applyNumberFormat="0" applyAlignment="0" applyProtection="0">
      <alignment horizontal="left" vertical="center"/>
    </xf>
    <xf numFmtId="0" fontId="54" fillId="0" borderId="221">
      <alignment horizontal="left" wrapText="1"/>
    </xf>
    <xf numFmtId="0" fontId="175" fillId="27" borderId="180" applyNumberFormat="0" applyAlignment="0" applyProtection="0"/>
    <xf numFmtId="0" fontId="197" fillId="0" borderId="169" applyNumberFormat="0" applyFill="0" applyAlignment="0" applyProtection="0"/>
    <xf numFmtId="0" fontId="216" fillId="60" borderId="170" applyNumberFormat="0" applyFont="0" applyAlignment="0" applyProtection="0"/>
    <xf numFmtId="0" fontId="91" fillId="60" borderId="170" applyNumberFormat="0" applyFont="0" applyAlignment="0" applyProtection="0"/>
    <xf numFmtId="0" fontId="132" fillId="50" borderId="179" applyNumberFormat="0" applyAlignment="0" applyProtection="0"/>
    <xf numFmtId="3" fontId="60" fillId="54" borderId="178" applyNumberFormat="0" applyFill="0" applyBorder="0" applyProtection="0">
      <alignment horizontal="left"/>
    </xf>
    <xf numFmtId="320" fontId="2" fillId="0" borderId="164" applyFont="0" applyFill="0" applyBorder="0" applyAlignment="0" applyProtection="0"/>
    <xf numFmtId="0" fontId="132" fillId="50" borderId="179" applyNumberFormat="0" applyAlignment="0" applyProtection="0"/>
    <xf numFmtId="0" fontId="2" fillId="59" borderId="164" applyNumberFormat="0" applyFont="0" applyBorder="0" applyAlignment="0" applyProtection="0"/>
    <xf numFmtId="0" fontId="2" fillId="14" borderId="164" applyNumberFormat="0" applyAlignment="0"/>
    <xf numFmtId="0" fontId="2" fillId="56" borderId="164" applyNumberFormat="0" applyProtection="0">
      <alignment vertical="center" wrapText="1"/>
    </xf>
    <xf numFmtId="0" fontId="2" fillId="0" borderId="164" applyNumberFormat="0">
      <alignment horizontal="left" wrapText="1"/>
      <protection locked="0"/>
    </xf>
    <xf numFmtId="0" fontId="175" fillId="27" borderId="180" applyNumberFormat="0" applyAlignment="0" applyProtection="0"/>
    <xf numFmtId="10" fontId="57" fillId="2" borderId="164" applyNumberFormat="0" applyBorder="0" applyAlignment="0" applyProtection="0"/>
    <xf numFmtId="0" fontId="175" fillId="27" borderId="180" applyNumberFormat="0" applyAlignment="0" applyProtection="0"/>
    <xf numFmtId="49" fontId="90" fillId="14" borderId="164">
      <alignment horizontal="center" vertical="center" wrapText="1"/>
    </xf>
    <xf numFmtId="0" fontId="54" fillId="0" borderId="164">
      <alignment horizontal="left" wrapText="1"/>
    </xf>
    <xf numFmtId="3" fontId="2" fillId="0" borderId="164"/>
    <xf numFmtId="3" fontId="2" fillId="0" borderId="164"/>
    <xf numFmtId="3" fontId="2" fillId="0" borderId="164"/>
    <xf numFmtId="3" fontId="36" fillId="0" borderId="164"/>
    <xf numFmtId="0" fontId="139" fillId="50" borderId="180" applyNumberFormat="0" applyAlignment="0" applyProtection="0"/>
    <xf numFmtId="0" fontId="139" fillId="50" borderId="180" applyNumberFormat="0" applyAlignment="0" applyProtection="0"/>
    <xf numFmtId="0" fontId="132" fillId="50" borderId="179" applyNumberFormat="0" applyAlignment="0" applyProtection="0"/>
    <xf numFmtId="265" fontId="2" fillId="48" borderId="164" applyProtection="0">
      <alignment horizontal="right"/>
    </xf>
    <xf numFmtId="264" fontId="2" fillId="48" borderId="164" applyProtection="0">
      <alignment horizontal="right"/>
    </xf>
    <xf numFmtId="214" fontId="2" fillId="48" borderId="164" applyProtection="0">
      <alignment horizontal="right"/>
    </xf>
    <xf numFmtId="263" fontId="2" fillId="48" borderId="164" applyProtection="0">
      <alignment horizontal="right"/>
    </xf>
    <xf numFmtId="262" fontId="2" fillId="48" borderId="164" applyProtection="0">
      <alignment horizontal="right"/>
    </xf>
    <xf numFmtId="261" fontId="2" fillId="48" borderId="164" applyProtection="0">
      <alignment horizontal="right"/>
    </xf>
    <xf numFmtId="214" fontId="2" fillId="48" borderId="164" applyProtection="0">
      <alignment horizontal="right"/>
      <protection locked="0"/>
    </xf>
    <xf numFmtId="260" fontId="2" fillId="48" borderId="164" applyProtection="0">
      <alignment horizontal="right"/>
      <protection locked="0"/>
    </xf>
    <xf numFmtId="259" fontId="2" fillId="48" borderId="164" applyProtection="0">
      <alignment horizontal="right"/>
      <protection locked="0"/>
    </xf>
    <xf numFmtId="258" fontId="2" fillId="48" borderId="164" applyProtection="0">
      <alignment horizontal="right"/>
    </xf>
    <xf numFmtId="0" fontId="57" fillId="0" borderId="168" applyNumberFormat="0" applyFill="0" applyAlignment="0" applyProtection="0"/>
    <xf numFmtId="0" fontId="14" fillId="35" borderId="187"/>
    <xf numFmtId="4" fontId="99" fillId="27" borderId="165" applyBorder="0"/>
    <xf numFmtId="4" fontId="99" fillId="26" borderId="165" applyBorder="0"/>
    <xf numFmtId="4" fontId="99" fillId="27" borderId="165" applyBorder="0"/>
    <xf numFmtId="4" fontId="99" fillId="26" borderId="165" applyBorder="0"/>
    <xf numFmtId="0" fontId="238" fillId="0" borderId="171"/>
    <xf numFmtId="0" fontId="113" fillId="0" borderId="182"/>
    <xf numFmtId="0" fontId="239" fillId="52" borderId="172" applyNumberFormat="0" applyProtection="0">
      <alignment horizontal="right"/>
    </xf>
    <xf numFmtId="0" fontId="239" fillId="52" borderId="173" applyNumberFormat="0" applyProtection="0">
      <alignment horizontal="right"/>
    </xf>
    <xf numFmtId="0" fontId="239" fillId="52" borderId="174" applyNumberFormat="0" applyProtection="0">
      <alignment horizontal="right"/>
    </xf>
    <xf numFmtId="0" fontId="239" fillId="52" borderId="170" applyNumberFormat="0" applyAlignment="0" applyProtection="0"/>
    <xf numFmtId="0" fontId="54" fillId="0" borderId="172" applyNumberFormat="0" applyFill="0" applyProtection="0">
      <alignment horizontal="right"/>
    </xf>
    <xf numFmtId="0" fontId="54" fillId="0" borderId="173" applyNumberFormat="0" applyFill="0" applyProtection="0">
      <alignment horizontal="right"/>
    </xf>
    <xf numFmtId="0" fontId="54" fillId="0" borderId="174" applyNumberFormat="0" applyFill="0" applyProtection="0">
      <alignment horizontal="right"/>
    </xf>
    <xf numFmtId="0" fontId="2" fillId="0" borderId="175" applyNumberFormat="0" applyFont="0" applyFill="0" applyAlignment="0" applyProtection="0"/>
    <xf numFmtId="327" fontId="52" fillId="0" borderId="186" applyFill="0" applyAlignment="0" applyProtection="0"/>
    <xf numFmtId="327" fontId="52" fillId="0" borderId="186" applyFill="0" applyAlignment="0" applyProtection="0"/>
    <xf numFmtId="0" fontId="2" fillId="0" borderId="175" applyNumberFormat="0" applyFont="0" applyFill="0" applyAlignment="0" applyProtection="0"/>
    <xf numFmtId="326" fontId="2" fillId="0" borderId="172" applyFill="0" applyAlignment="0" applyProtection="0"/>
    <xf numFmtId="326" fontId="2" fillId="0" borderId="173" applyFont="0" applyFill="0" applyAlignment="0" applyProtection="0"/>
    <xf numFmtId="326" fontId="2" fillId="0" borderId="174" applyFont="0" applyFill="0" applyAlignment="0" applyProtection="0"/>
    <xf numFmtId="327" fontId="2" fillId="0" borderId="172" applyFill="0" applyAlignment="0" applyProtection="0"/>
    <xf numFmtId="327" fontId="2" fillId="0" borderId="173" applyFont="0" applyFill="0" applyAlignment="0" applyProtection="0"/>
    <xf numFmtId="327" fontId="2" fillId="0" borderId="174" applyFont="0" applyFill="0" applyAlignment="0" applyProtection="0"/>
    <xf numFmtId="328" fontId="2" fillId="0" borderId="172" applyFill="0" applyAlignment="0" applyProtection="0"/>
    <xf numFmtId="328" fontId="2" fillId="0" borderId="173" applyFont="0" applyFill="0" applyAlignment="0" applyProtection="0"/>
    <xf numFmtId="328" fontId="2" fillId="0" borderId="174" applyFont="0" applyFill="0" applyAlignment="0" applyProtection="0"/>
    <xf numFmtId="3" fontId="72" fillId="0" borderId="187"/>
    <xf numFmtId="0" fontId="2" fillId="0" borderId="175" applyNumberFormat="0"/>
    <xf numFmtId="0" fontId="2" fillId="0" borderId="176" applyNumberFormat="0"/>
    <xf numFmtId="0" fontId="2" fillId="0" borderId="177" applyNumberFormat="0"/>
    <xf numFmtId="0" fontId="2" fillId="0" borderId="172" applyNumberFormat="0" applyFont="0" applyFill="0" applyAlignment="0" applyProtection="0"/>
    <xf numFmtId="0" fontId="2" fillId="0" borderId="173" applyNumberFormat="0" applyFont="0" applyFill="0" applyAlignment="0" applyProtection="0"/>
    <xf numFmtId="0" fontId="2" fillId="0" borderId="175" applyNumberFormat="0" applyFont="0" applyFill="0" applyAlignment="0" applyProtection="0"/>
    <xf numFmtId="0" fontId="2" fillId="0" borderId="176" applyNumberFormat="0" applyFont="0" applyFill="0" applyAlignment="0" applyProtection="0"/>
    <xf numFmtId="0" fontId="2" fillId="0" borderId="177" applyNumberFormat="0" applyFont="0" applyFill="0" applyAlignment="0" applyProtection="0"/>
    <xf numFmtId="0" fontId="2" fillId="0" borderId="175" applyNumberFormat="0" applyFont="0" applyFill="0" applyAlignment="0" applyProtection="0"/>
    <xf numFmtId="0" fontId="247" fillId="0" borderId="171"/>
    <xf numFmtId="0" fontId="69" fillId="0" borderId="182"/>
    <xf numFmtId="0" fontId="113" fillId="0" borderId="182"/>
    <xf numFmtId="0" fontId="178" fillId="0" borderId="183" applyNumberFormat="0" applyFill="0" applyAlignment="0" applyProtection="0"/>
    <xf numFmtId="3" fontId="2" fillId="0" borderId="187"/>
    <xf numFmtId="0" fontId="2" fillId="60" borderId="170" applyNumberFormat="0" applyFont="0" applyAlignment="0" applyProtection="0"/>
    <xf numFmtId="0" fontId="139" fillId="50" borderId="180" applyNumberFormat="0" applyAlignment="0" applyProtection="0"/>
    <xf numFmtId="0" fontId="178" fillId="0" borderId="183" applyNumberFormat="0" applyFill="0" applyAlignment="0" applyProtection="0"/>
    <xf numFmtId="0" fontId="132" fillId="50" borderId="179" applyNumberFormat="0" applyAlignment="0" applyProtection="0"/>
    <xf numFmtId="0" fontId="175" fillId="27" borderId="180" applyNumberFormat="0" applyAlignment="0" applyProtection="0"/>
    <xf numFmtId="0" fontId="54" fillId="56" borderId="164" applyNumberFormat="0" applyAlignment="0">
      <alignment horizontal="center"/>
    </xf>
    <xf numFmtId="0" fontId="139" fillId="50" borderId="180" applyNumberFormat="0" applyAlignment="0" applyProtection="0"/>
    <xf numFmtId="0" fontId="132" fillId="50" borderId="179" applyNumberFormat="0" applyAlignment="0" applyProtection="0"/>
    <xf numFmtId="0" fontId="175" fillId="27" borderId="180" applyNumberFormat="0" applyAlignment="0" applyProtection="0"/>
    <xf numFmtId="0" fontId="175" fillId="27" borderId="180" applyNumberFormat="0" applyAlignment="0" applyProtection="0"/>
    <xf numFmtId="0" fontId="132" fillId="50" borderId="179" applyNumberFormat="0" applyAlignment="0" applyProtection="0"/>
    <xf numFmtId="0" fontId="178" fillId="0" borderId="183" applyNumberFormat="0" applyFill="0" applyAlignment="0" applyProtection="0"/>
    <xf numFmtId="0" fontId="139" fillId="50" borderId="180" applyNumberFormat="0" applyAlignment="0" applyProtection="0"/>
    <xf numFmtId="0" fontId="2" fillId="60" borderId="170" applyNumberFormat="0" applyFont="0" applyAlignment="0" applyProtection="0"/>
    <xf numFmtId="0" fontId="178" fillId="0" borderId="183" applyNumberFormat="0" applyFill="0" applyAlignment="0" applyProtection="0"/>
    <xf numFmtId="0" fontId="113" fillId="0" borderId="182"/>
    <xf numFmtId="0" fontId="69" fillId="0" borderId="182"/>
    <xf numFmtId="0" fontId="247" fillId="0" borderId="171"/>
    <xf numFmtId="0" fontId="2" fillId="0" borderId="175" applyNumberFormat="0" applyFont="0" applyFill="0" applyAlignment="0" applyProtection="0"/>
    <xf numFmtId="0" fontId="2" fillId="0" borderId="177" applyNumberFormat="0" applyFont="0" applyFill="0" applyAlignment="0" applyProtection="0"/>
    <xf numFmtId="0" fontId="2" fillId="0" borderId="176" applyNumberFormat="0" applyFont="0" applyFill="0" applyAlignment="0" applyProtection="0"/>
    <xf numFmtId="0" fontId="2" fillId="0" borderId="175" applyNumberFormat="0" applyFont="0" applyFill="0" applyAlignment="0" applyProtection="0"/>
    <xf numFmtId="0" fontId="2" fillId="0" borderId="173" applyNumberFormat="0" applyFont="0" applyFill="0" applyAlignment="0" applyProtection="0"/>
    <xf numFmtId="0" fontId="2" fillId="0" borderId="172" applyNumberFormat="0" applyFont="0" applyFill="0" applyAlignment="0" applyProtection="0"/>
    <xf numFmtId="0" fontId="2" fillId="0" borderId="177" applyNumberFormat="0"/>
    <xf numFmtId="0" fontId="2" fillId="0" borderId="176" applyNumberFormat="0"/>
    <xf numFmtId="0" fontId="2" fillId="0" borderId="175" applyNumberFormat="0"/>
    <xf numFmtId="328" fontId="2" fillId="0" borderId="174" applyFont="0" applyFill="0" applyAlignment="0" applyProtection="0"/>
    <xf numFmtId="328" fontId="2" fillId="0" borderId="173" applyFont="0" applyFill="0" applyAlignment="0" applyProtection="0"/>
    <xf numFmtId="328" fontId="2" fillId="0" borderId="172" applyFill="0" applyAlignment="0" applyProtection="0"/>
    <xf numFmtId="327" fontId="2" fillId="0" borderId="174" applyFont="0" applyFill="0" applyAlignment="0" applyProtection="0"/>
    <xf numFmtId="327" fontId="2" fillId="0" borderId="173" applyFont="0" applyFill="0" applyAlignment="0" applyProtection="0"/>
    <xf numFmtId="327" fontId="2" fillId="0" borderId="172" applyFill="0" applyAlignment="0" applyProtection="0"/>
    <xf numFmtId="326" fontId="2" fillId="0" borderId="174" applyFont="0" applyFill="0" applyAlignment="0" applyProtection="0"/>
    <xf numFmtId="326" fontId="2" fillId="0" borderId="173" applyFont="0" applyFill="0" applyAlignment="0" applyProtection="0"/>
    <xf numFmtId="326" fontId="2" fillId="0" borderId="172" applyFill="0" applyAlignment="0" applyProtection="0"/>
    <xf numFmtId="0" fontId="2" fillId="0" borderId="175" applyNumberFormat="0" applyFont="0" applyFill="0" applyAlignment="0" applyProtection="0"/>
    <xf numFmtId="0" fontId="2" fillId="0" borderId="175" applyNumberFormat="0" applyFont="0" applyFill="0" applyAlignment="0" applyProtection="0"/>
    <xf numFmtId="0" fontId="54" fillId="0" borderId="174" applyNumberFormat="0" applyFill="0" applyProtection="0">
      <alignment horizontal="right"/>
    </xf>
    <xf numFmtId="0" fontId="54" fillId="0" borderId="173" applyNumberFormat="0" applyFill="0" applyProtection="0">
      <alignment horizontal="right"/>
    </xf>
    <xf numFmtId="0" fontId="54" fillId="0" borderId="172" applyNumberFormat="0" applyFill="0" applyProtection="0">
      <alignment horizontal="right"/>
    </xf>
    <xf numFmtId="0" fontId="239" fillId="52" borderId="170" applyNumberFormat="0" applyAlignment="0" applyProtection="0"/>
    <xf numFmtId="0" fontId="239" fillId="52" borderId="174" applyNumberFormat="0" applyProtection="0">
      <alignment horizontal="right"/>
    </xf>
    <xf numFmtId="0" fontId="239" fillId="52" borderId="173" applyNumberFormat="0" applyProtection="0">
      <alignment horizontal="right"/>
    </xf>
    <xf numFmtId="0" fontId="239" fillId="52" borderId="172" applyNumberFormat="0" applyProtection="0">
      <alignment horizontal="right"/>
    </xf>
    <xf numFmtId="0" fontId="113" fillId="0" borderId="182"/>
    <xf numFmtId="0" fontId="238" fillId="0" borderId="171"/>
    <xf numFmtId="0" fontId="106" fillId="0" borderId="270" applyNumberFormat="0" applyFill="0" applyAlignment="0" applyProtection="0"/>
    <xf numFmtId="3" fontId="60" fillId="54" borderId="178" applyNumberFormat="0" applyFill="0" applyBorder="0" applyProtection="0">
      <alignment horizontal="left"/>
    </xf>
    <xf numFmtId="0" fontId="132" fillId="50" borderId="179" applyNumberFormat="0" applyAlignment="0" applyProtection="0"/>
    <xf numFmtId="0" fontId="91" fillId="60" borderId="170" applyNumberFormat="0" applyFont="0" applyAlignment="0" applyProtection="0"/>
    <xf numFmtId="0" fontId="216" fillId="60" borderId="170" applyNumberFormat="0" applyFont="0" applyAlignment="0" applyProtection="0"/>
    <xf numFmtId="0" fontId="197" fillId="0" borderId="169" applyNumberFormat="0" applyFill="0" applyAlignment="0" applyProtection="0"/>
    <xf numFmtId="0" fontId="175" fillId="27" borderId="180" applyNumberFormat="0" applyAlignment="0" applyProtection="0"/>
    <xf numFmtId="49" fontId="90" fillId="14" borderId="221">
      <alignment horizontal="center" vertical="center" wrapText="1"/>
    </xf>
    <xf numFmtId="0" fontId="156" fillId="0" borderId="185" applyNumberFormat="0" applyAlignment="0" applyProtection="0">
      <alignment horizontal="left" vertical="center"/>
    </xf>
    <xf numFmtId="0" fontId="54" fillId="11" borderId="184">
      <alignment vertical="top" wrapText="1"/>
    </xf>
    <xf numFmtId="0" fontId="178" fillId="0" borderId="183" applyNumberFormat="0" applyFill="0" applyAlignment="0" applyProtection="0"/>
    <xf numFmtId="0" fontId="175" fillId="27" borderId="180" applyNumberFormat="0" applyAlignment="0" applyProtection="0"/>
    <xf numFmtId="37" fontId="69" fillId="0" borderId="182"/>
    <xf numFmtId="182" fontId="167" fillId="0" borderId="181">
      <protection locked="0"/>
    </xf>
    <xf numFmtId="264" fontId="2" fillId="48" borderId="210" applyProtection="0">
      <alignment horizontal="right"/>
    </xf>
    <xf numFmtId="263" fontId="2" fillId="48" borderId="210" applyProtection="0">
      <alignment horizontal="right"/>
    </xf>
    <xf numFmtId="4" fontId="60" fillId="54" borderId="178" applyNumberFormat="0" applyProtection="0">
      <alignment horizontal="right" wrapText="1"/>
    </xf>
    <xf numFmtId="0" fontId="106" fillId="0" borderId="288" applyNumberFormat="0" applyFill="0" applyAlignment="0" applyProtection="0"/>
    <xf numFmtId="0" fontId="106" fillId="0" borderId="288" applyNumberFormat="0" applyFill="0" applyAlignment="0" applyProtection="0"/>
    <xf numFmtId="0" fontId="139" fillId="50" borderId="180" applyNumberFormat="0" applyAlignment="0" applyProtection="0"/>
    <xf numFmtId="0" fontId="139" fillId="50" borderId="180" applyNumberFormat="0" applyAlignment="0" applyProtection="0"/>
    <xf numFmtId="0" fontId="132" fillId="50" borderId="179" applyNumberFormat="0" applyAlignment="0" applyProtection="0"/>
    <xf numFmtId="0" fontId="57" fillId="0" borderId="168" applyNumberFormat="0" applyFill="0" applyAlignment="0" applyProtection="0"/>
    <xf numFmtId="4" fontId="99" fillId="27" borderId="165" applyBorder="0"/>
    <xf numFmtId="4" fontId="99" fillId="26" borderId="165" applyBorder="0"/>
    <xf numFmtId="4" fontId="99" fillId="27" borderId="165" applyBorder="0"/>
    <xf numFmtId="4" fontId="99" fillId="26" borderId="165" applyBorder="0"/>
    <xf numFmtId="0" fontId="2" fillId="0" borderId="187" applyNumberFormat="0" applyFont="0" applyFill="0" applyProtection="0">
      <alignment horizontal="center"/>
    </xf>
    <xf numFmtId="0" fontId="238" fillId="0" borderId="238"/>
    <xf numFmtId="3" fontId="2" fillId="0" borderId="221"/>
    <xf numFmtId="327" fontId="52" fillId="0" borderId="293" applyFill="0" applyAlignment="0" applyProtection="0"/>
    <xf numFmtId="0" fontId="106" fillId="0" borderId="263" applyNumberFormat="0" applyFill="0" applyAlignment="0" applyProtection="0"/>
    <xf numFmtId="0" fontId="106" fillId="0" borderId="263" applyNumberFormat="0" applyFill="0" applyAlignment="0" applyProtection="0"/>
    <xf numFmtId="4" fontId="60" fillId="54" borderId="190" applyNumberFormat="0" applyProtection="0">
      <alignment horizontal="right" wrapText="1"/>
    </xf>
    <xf numFmtId="0" fontId="106" fillId="0" borderId="281" applyNumberFormat="0" applyFill="0" applyAlignment="0" applyProtection="0"/>
    <xf numFmtId="0" fontId="54" fillId="11" borderId="191">
      <alignment vertical="top" wrapText="1"/>
    </xf>
    <xf numFmtId="0" fontId="156" fillId="0" borderId="192" applyNumberFormat="0" applyAlignment="0" applyProtection="0">
      <alignment horizontal="left" vertical="center"/>
    </xf>
    <xf numFmtId="3" fontId="60" fillId="54" borderId="190" applyNumberFormat="0" applyFill="0" applyBorder="0" applyProtection="0">
      <alignment horizontal="left"/>
    </xf>
    <xf numFmtId="320" fontId="2" fillId="0" borderId="187" applyFont="0" applyFill="0" applyBorder="0" applyAlignment="0" applyProtection="0"/>
    <xf numFmtId="0" fontId="2" fillId="59" borderId="187" applyNumberFormat="0" applyFont="0" applyBorder="0" applyAlignment="0" applyProtection="0"/>
    <xf numFmtId="0" fontId="2" fillId="14" borderId="187" applyNumberFormat="0" applyAlignment="0"/>
    <xf numFmtId="0" fontId="2" fillId="56" borderId="187" applyNumberFormat="0" applyProtection="0">
      <alignment vertical="center" wrapText="1"/>
    </xf>
    <xf numFmtId="0" fontId="2" fillId="0" borderId="187" applyNumberFormat="0">
      <alignment horizontal="left" wrapText="1"/>
      <protection locked="0"/>
    </xf>
    <xf numFmtId="10" fontId="57" fillId="2" borderId="187" applyNumberFormat="0" applyBorder="0" applyAlignment="0" applyProtection="0"/>
    <xf numFmtId="49" fontId="90" fillId="14" borderId="187">
      <alignment horizontal="center" vertical="center" wrapText="1"/>
    </xf>
    <xf numFmtId="0" fontId="54" fillId="0" borderId="187">
      <alignment horizontal="left" wrapText="1"/>
    </xf>
    <xf numFmtId="3" fontId="2" fillId="0" borderId="187"/>
    <xf numFmtId="3" fontId="2" fillId="0" borderId="187"/>
    <xf numFmtId="3" fontId="2" fillId="0" borderId="187"/>
    <xf numFmtId="3" fontId="36" fillId="0" borderId="187"/>
    <xf numFmtId="265" fontId="2" fillId="48" borderId="187" applyProtection="0">
      <alignment horizontal="right"/>
    </xf>
    <xf numFmtId="264" fontId="2" fillId="48" borderId="187" applyProtection="0">
      <alignment horizontal="right"/>
    </xf>
    <xf numFmtId="214" fontId="2" fillId="48" borderId="187" applyProtection="0">
      <alignment horizontal="right"/>
    </xf>
    <xf numFmtId="263" fontId="2" fillId="48" borderId="187" applyProtection="0">
      <alignment horizontal="right"/>
    </xf>
    <xf numFmtId="262" fontId="2" fillId="48" borderId="187" applyProtection="0">
      <alignment horizontal="right"/>
    </xf>
    <xf numFmtId="261" fontId="2" fillId="48" borderId="187" applyProtection="0">
      <alignment horizontal="right"/>
    </xf>
    <xf numFmtId="214" fontId="2" fillId="48" borderId="187" applyProtection="0">
      <alignment horizontal="right"/>
      <protection locked="0"/>
    </xf>
    <xf numFmtId="260" fontId="2" fillId="48" borderId="187" applyProtection="0">
      <alignment horizontal="right"/>
      <protection locked="0"/>
    </xf>
    <xf numFmtId="259" fontId="2" fillId="48" borderId="187" applyProtection="0">
      <alignment horizontal="right"/>
      <protection locked="0"/>
    </xf>
    <xf numFmtId="258" fontId="2" fillId="48" borderId="187" applyProtection="0">
      <alignment horizontal="right"/>
    </xf>
    <xf numFmtId="0" fontId="54" fillId="56" borderId="210" applyNumberFormat="0" applyAlignment="0">
      <alignment horizontal="center"/>
    </xf>
    <xf numFmtId="4" fontId="60" fillId="54" borderId="206" applyNumberFormat="0" applyProtection="0">
      <alignment horizontal="right" wrapText="1"/>
    </xf>
    <xf numFmtId="0" fontId="54" fillId="11" borderId="207">
      <alignment vertical="top" wrapText="1"/>
    </xf>
    <xf numFmtId="0" fontId="132" fillId="50" borderId="203" applyNumberFormat="0" applyAlignment="0" applyProtection="0"/>
    <xf numFmtId="327" fontId="52" fillId="0" borderId="193" applyFill="0" applyAlignment="0" applyProtection="0"/>
    <xf numFmtId="327" fontId="52" fillId="0" borderId="193" applyFill="0" applyAlignment="0" applyProtection="0"/>
    <xf numFmtId="327" fontId="52" fillId="0" borderId="209" applyFill="0" applyAlignment="0" applyProtection="0"/>
    <xf numFmtId="264" fontId="2" fillId="48" borderId="133" applyProtection="0">
      <alignment horizontal="right"/>
    </xf>
    <xf numFmtId="0" fontId="132" fillId="50" borderId="203" applyNumberFormat="0" applyAlignment="0" applyProtection="0"/>
    <xf numFmtId="0" fontId="2" fillId="59" borderId="210" applyNumberFormat="0" applyFont="0" applyBorder="0" applyAlignment="0" applyProtection="0"/>
    <xf numFmtId="37" fontId="69" fillId="0" borderId="234"/>
    <xf numFmtId="0" fontId="2" fillId="59" borderId="221" applyNumberFormat="0" applyFont="0" applyBorder="0" applyAlignment="0" applyProtection="0"/>
    <xf numFmtId="0" fontId="54" fillId="56" borderId="187" applyNumberFormat="0" applyAlignment="0">
      <alignment horizontal="center"/>
    </xf>
    <xf numFmtId="0" fontId="2" fillId="0" borderId="221" applyNumberFormat="0">
      <alignment horizontal="left" wrapText="1"/>
      <protection locked="0"/>
    </xf>
    <xf numFmtId="0" fontId="57" fillId="0" borderId="230" applyNumberFormat="0" applyFill="0" applyAlignment="0" applyProtection="0"/>
    <xf numFmtId="0" fontId="132" fillId="50" borderId="218" applyNumberFormat="0" applyAlignment="0" applyProtection="0"/>
    <xf numFmtId="261" fontId="2" fillId="48" borderId="133" applyProtection="0">
      <alignment horizontal="right"/>
    </xf>
    <xf numFmtId="0" fontId="218" fillId="28" borderId="292"/>
    <xf numFmtId="0" fontId="130" fillId="0" borderId="282" applyFont="0" applyFill="0" applyBorder="0" applyAlignment="0" applyProtection="0">
      <alignment horizontal="center" vertical="center"/>
    </xf>
    <xf numFmtId="0" fontId="156" fillId="0" borderId="208" applyNumberFormat="0" applyAlignment="0" applyProtection="0">
      <alignment horizontal="left" vertical="center"/>
    </xf>
    <xf numFmtId="3" fontId="60" fillId="54" borderId="194" applyNumberFormat="0" applyFill="0" applyBorder="0" applyProtection="0">
      <alignment horizontal="left"/>
    </xf>
    <xf numFmtId="0" fontId="156" fillId="0" borderId="192" applyNumberFormat="0" applyAlignment="0" applyProtection="0">
      <alignment horizontal="left" vertical="center"/>
    </xf>
    <xf numFmtId="0" fontId="54" fillId="11" borderId="191">
      <alignment vertical="top" wrapText="1"/>
    </xf>
    <xf numFmtId="0" fontId="106" fillId="0" borderId="281" applyNumberFormat="0" applyFill="0" applyAlignment="0" applyProtection="0"/>
    <xf numFmtId="4" fontId="60" fillId="54" borderId="194" applyNumberFormat="0" applyProtection="0">
      <alignment horizontal="right" wrapText="1"/>
    </xf>
    <xf numFmtId="0" fontId="106" fillId="0" borderId="263" applyNumberFormat="0" applyFill="0" applyAlignment="0" applyProtection="0"/>
    <xf numFmtId="0" fontId="106" fillId="0" borderId="263" applyNumberFormat="0" applyFill="0" applyAlignment="0" applyProtection="0"/>
    <xf numFmtId="0" fontId="156" fillId="0" borderId="198" applyNumberFormat="0" applyAlignment="0" applyProtection="0">
      <alignment horizontal="left" vertical="center"/>
    </xf>
    <xf numFmtId="0" fontId="54" fillId="11" borderId="197">
      <alignment vertical="top" wrapText="1"/>
    </xf>
    <xf numFmtId="0" fontId="54" fillId="0" borderId="210">
      <alignment horizontal="left" wrapText="1"/>
    </xf>
    <xf numFmtId="3" fontId="2" fillId="0" borderId="210"/>
    <xf numFmtId="0" fontId="139" fillId="50" borderId="219" applyNumberFormat="0" applyAlignment="0" applyProtection="0"/>
    <xf numFmtId="0" fontId="106" fillId="0" borderId="270" applyNumberFormat="0" applyFill="0" applyAlignment="0" applyProtection="0"/>
    <xf numFmtId="0" fontId="106" fillId="0" borderId="270" applyNumberFormat="0" applyFill="0" applyAlignment="0" applyProtection="0"/>
    <xf numFmtId="0" fontId="2" fillId="60" borderId="256" applyNumberFormat="0" applyFont="0" applyAlignment="0" applyProtection="0"/>
    <xf numFmtId="0" fontId="247" fillId="0" borderId="238"/>
    <xf numFmtId="0" fontId="2" fillId="0" borderId="258" applyNumberFormat="0" applyFont="0" applyFill="0" applyAlignment="0" applyProtection="0"/>
    <xf numFmtId="0" fontId="139" fillId="50" borderId="274" applyNumberFormat="0" applyAlignment="0" applyProtection="0"/>
    <xf numFmtId="0" fontId="132" fillId="50" borderId="218" applyNumberFormat="0" applyAlignment="0" applyProtection="0"/>
    <xf numFmtId="0" fontId="54" fillId="56" borderId="280" applyNumberFormat="0" applyAlignment="0">
      <alignment horizontal="center"/>
    </xf>
    <xf numFmtId="327" fontId="52" fillId="0" borderId="265" applyFill="0" applyAlignment="0" applyProtection="0"/>
    <xf numFmtId="3" fontId="2" fillId="0" borderId="280"/>
    <xf numFmtId="0" fontId="54" fillId="0" borderId="280">
      <alignment horizontal="left" wrapText="1"/>
    </xf>
    <xf numFmtId="10" fontId="57" fillId="2" borderId="280" applyNumberFormat="0" applyBorder="0" applyAlignment="0" applyProtection="0"/>
    <xf numFmtId="0" fontId="2" fillId="56" borderId="280" applyNumberFormat="0" applyProtection="0">
      <alignment vertical="center" wrapText="1"/>
    </xf>
    <xf numFmtId="3" fontId="60" fillId="54" borderId="224" applyNumberFormat="0" applyFill="0" applyBorder="0" applyProtection="0">
      <alignment horizontal="left"/>
    </xf>
    <xf numFmtId="0" fontId="156" fillId="0" borderId="226" applyNumberFormat="0" applyAlignment="0" applyProtection="0">
      <alignment horizontal="left" vertical="center"/>
    </xf>
    <xf numFmtId="0" fontId="54" fillId="11" borderId="225">
      <alignment vertical="top" wrapText="1"/>
    </xf>
    <xf numFmtId="4" fontId="60" fillId="54" borderId="224" applyNumberFormat="0" applyProtection="0">
      <alignment horizontal="right" wrapText="1"/>
    </xf>
    <xf numFmtId="0" fontId="106" fillId="0" borderId="281" applyNumberFormat="0" applyFill="0" applyAlignment="0" applyProtection="0"/>
    <xf numFmtId="0" fontId="197" fillId="0" borderId="236" applyNumberFormat="0" applyFill="0" applyAlignment="0" applyProtection="0"/>
    <xf numFmtId="0" fontId="2" fillId="0" borderId="249" applyNumberFormat="0">
      <alignment horizontal="left" wrapText="1"/>
      <protection locked="0"/>
    </xf>
    <xf numFmtId="0" fontId="175" fillId="27" borderId="252" applyNumberFormat="0" applyAlignment="0" applyProtection="0"/>
    <xf numFmtId="10" fontId="57" fillId="2" borderId="249" applyNumberFormat="0" applyBorder="0" applyAlignment="0" applyProtection="0"/>
    <xf numFmtId="0" fontId="156" fillId="0" borderId="255" applyNumberFormat="0" applyAlignment="0" applyProtection="0">
      <alignment horizontal="left" vertical="center"/>
    </xf>
    <xf numFmtId="0" fontId="54" fillId="11" borderId="254">
      <alignment vertical="top" wrapText="1"/>
    </xf>
    <xf numFmtId="0" fontId="178" fillId="0" borderId="253" applyNumberFormat="0" applyFill="0" applyAlignment="0" applyProtection="0"/>
    <xf numFmtId="0" fontId="175" fillId="27" borderId="252" applyNumberFormat="0" applyAlignment="0" applyProtection="0"/>
    <xf numFmtId="37" fontId="69" fillId="0" borderId="234"/>
    <xf numFmtId="182" fontId="167" fillId="0" borderId="233">
      <protection locked="0"/>
    </xf>
    <xf numFmtId="49" fontId="90" fillId="14" borderId="249">
      <alignment horizontal="center" vertical="center" wrapText="1"/>
    </xf>
    <xf numFmtId="0" fontId="54" fillId="0" borderId="249">
      <alignment horizontal="left" wrapText="1"/>
    </xf>
    <xf numFmtId="4" fontId="60" fillId="54" borderId="246" applyNumberFormat="0" applyProtection="0">
      <alignment horizontal="right" wrapText="1"/>
    </xf>
    <xf numFmtId="3" fontId="2" fillId="0" borderId="249"/>
    <xf numFmtId="3" fontId="2" fillId="0" borderId="249"/>
    <xf numFmtId="3" fontId="2" fillId="0" borderId="249"/>
    <xf numFmtId="3" fontId="2" fillId="0" borderId="249"/>
    <xf numFmtId="3" fontId="2" fillId="0" borderId="249"/>
    <xf numFmtId="3" fontId="36" fillId="0" borderId="249"/>
    <xf numFmtId="3" fontId="2" fillId="0" borderId="249"/>
    <xf numFmtId="0" fontId="139" fillId="50" borderId="252" applyNumberFormat="0" applyAlignment="0" applyProtection="0"/>
    <xf numFmtId="0" fontId="139" fillId="50" borderId="252" applyNumberFormat="0" applyAlignment="0" applyProtection="0"/>
    <xf numFmtId="0" fontId="132" fillId="50" borderId="251" applyNumberFormat="0" applyAlignment="0" applyProtection="0"/>
    <xf numFmtId="265" fontId="2" fillId="48" borderId="249" applyProtection="0">
      <alignment horizontal="right"/>
    </xf>
    <xf numFmtId="264" fontId="2" fillId="48" borderId="249" applyProtection="0">
      <alignment horizontal="right"/>
    </xf>
    <xf numFmtId="214" fontId="2" fillId="48" borderId="249" applyProtection="0">
      <alignment horizontal="right"/>
    </xf>
    <xf numFmtId="263" fontId="2" fillId="48" borderId="249" applyProtection="0">
      <alignment horizontal="right"/>
    </xf>
    <xf numFmtId="262" fontId="2" fillId="48" borderId="249" applyProtection="0">
      <alignment horizontal="right"/>
    </xf>
    <xf numFmtId="261" fontId="2" fillId="48" borderId="249" applyProtection="0">
      <alignment horizontal="right"/>
    </xf>
    <xf numFmtId="214" fontId="2" fillId="48" borderId="249" applyProtection="0">
      <alignment horizontal="right"/>
      <protection locked="0"/>
    </xf>
    <xf numFmtId="260" fontId="2" fillId="48" borderId="249" applyProtection="0">
      <alignment horizontal="right"/>
      <protection locked="0"/>
    </xf>
    <xf numFmtId="259" fontId="2" fillId="48" borderId="249" applyProtection="0">
      <alignment horizontal="right"/>
      <protection locked="0"/>
    </xf>
    <xf numFmtId="258" fontId="2" fillId="48" borderId="249" applyProtection="0">
      <alignment horizontal="right"/>
    </xf>
    <xf numFmtId="0" fontId="57" fillId="0" borderId="248" applyNumberFormat="0" applyFill="0" applyAlignment="0" applyProtection="0"/>
    <xf numFmtId="4" fontId="99" fillId="27" borderId="227" applyBorder="0"/>
    <xf numFmtId="4" fontId="99" fillId="26" borderId="227" applyBorder="0"/>
    <xf numFmtId="4" fontId="99" fillId="27" borderId="227" applyBorder="0"/>
    <xf numFmtId="4" fontId="99" fillId="26" borderId="227" applyBorder="0"/>
    <xf numFmtId="0" fontId="2" fillId="0" borderId="250" applyNumberFormat="0" applyFont="0" applyFill="0" applyProtection="0">
      <alignment horizontal="center"/>
    </xf>
    <xf numFmtId="4" fontId="99" fillId="26" borderId="227" applyBorder="0"/>
    <xf numFmtId="4" fontId="99" fillId="27" borderId="227" applyBorder="0"/>
    <xf numFmtId="4" fontId="99" fillId="26" borderId="227" applyBorder="0"/>
    <xf numFmtId="4" fontId="99" fillId="27" borderId="227" applyBorder="0"/>
    <xf numFmtId="0" fontId="132" fillId="50" borderId="251" applyNumberFormat="0" applyAlignment="0" applyProtection="0"/>
    <xf numFmtId="0" fontId="139" fillId="50" borderId="252" applyNumberFormat="0" applyAlignment="0" applyProtection="0"/>
    <xf numFmtId="0" fontId="139" fillId="50" borderId="252" applyNumberFormat="0" applyAlignment="0" applyProtection="0"/>
    <xf numFmtId="4" fontId="60" fillId="54" borderId="266" applyNumberFormat="0" applyProtection="0">
      <alignment horizontal="right" wrapText="1"/>
    </xf>
    <xf numFmtId="0" fontId="175" fillId="27" borderId="252" applyNumberFormat="0" applyAlignment="0" applyProtection="0"/>
    <xf numFmtId="0" fontId="178" fillId="0" borderId="253" applyNumberFormat="0" applyFill="0" applyAlignment="0" applyProtection="0"/>
    <xf numFmtId="0" fontId="54" fillId="11" borderId="254">
      <alignment vertical="top" wrapText="1"/>
    </xf>
    <xf numFmtId="0" fontId="156" fillId="0" borderId="255" applyNumberFormat="0" applyAlignment="0" applyProtection="0">
      <alignment horizontal="left" vertical="center"/>
    </xf>
    <xf numFmtId="0" fontId="175" fillId="27" borderId="252" applyNumberFormat="0" applyAlignment="0" applyProtection="0"/>
    <xf numFmtId="0" fontId="216" fillId="60" borderId="256" applyNumberFormat="0" applyFont="0" applyAlignment="0" applyProtection="0"/>
    <xf numFmtId="0" fontId="91" fillId="60" borderId="256" applyNumberFormat="0" applyFont="0" applyAlignment="0" applyProtection="0"/>
    <xf numFmtId="0" fontId="132" fillId="50" borderId="251" applyNumberFormat="0" applyAlignment="0" applyProtection="0"/>
    <xf numFmtId="3" fontId="60" fillId="54" borderId="266" applyNumberFormat="0" applyFill="0" applyBorder="0" applyProtection="0">
      <alignment horizontal="left"/>
    </xf>
    <xf numFmtId="320" fontId="2" fillId="0" borderId="250" applyFont="0" applyFill="0" applyBorder="0" applyAlignment="0" applyProtection="0"/>
    <xf numFmtId="0" fontId="2" fillId="59" borderId="250" applyNumberFormat="0" applyFont="0" applyBorder="0" applyAlignment="0" applyProtection="0"/>
    <xf numFmtId="0" fontId="2" fillId="14" borderId="250" applyNumberFormat="0" applyAlignment="0"/>
    <xf numFmtId="0" fontId="2" fillId="56" borderId="250" applyNumberFormat="0" applyProtection="0">
      <alignment vertical="center" wrapText="1"/>
    </xf>
    <xf numFmtId="0" fontId="2" fillId="0" borderId="250" applyNumberFormat="0">
      <alignment horizontal="left" wrapText="1"/>
      <protection locked="0"/>
    </xf>
    <xf numFmtId="10" fontId="57" fillId="2" borderId="250" applyNumberFormat="0" applyBorder="0" applyAlignment="0" applyProtection="0"/>
    <xf numFmtId="49" fontId="90" fillId="14" borderId="250">
      <alignment horizontal="center" vertical="center" wrapText="1"/>
    </xf>
    <xf numFmtId="0" fontId="54" fillId="0" borderId="250">
      <alignment horizontal="left" wrapText="1"/>
    </xf>
    <xf numFmtId="3" fontId="2" fillId="0" borderId="250"/>
    <xf numFmtId="3" fontId="2" fillId="0" borderId="250"/>
    <xf numFmtId="3" fontId="2" fillId="0" borderId="250"/>
    <xf numFmtId="3" fontId="36" fillId="0" borderId="250"/>
    <xf numFmtId="265" fontId="2" fillId="48" borderId="250" applyProtection="0">
      <alignment horizontal="right"/>
    </xf>
    <xf numFmtId="264" fontId="2" fillId="48" borderId="250" applyProtection="0">
      <alignment horizontal="right"/>
    </xf>
    <xf numFmtId="214" fontId="2" fillId="48" borderId="250" applyProtection="0">
      <alignment horizontal="right"/>
    </xf>
    <xf numFmtId="263" fontId="2" fillId="48" borderId="250" applyProtection="0">
      <alignment horizontal="right"/>
    </xf>
    <xf numFmtId="262" fontId="2" fillId="48" borderId="250" applyProtection="0">
      <alignment horizontal="right"/>
    </xf>
    <xf numFmtId="261" fontId="2" fillId="48" borderId="250" applyProtection="0">
      <alignment horizontal="right"/>
    </xf>
    <xf numFmtId="214" fontId="2" fillId="48" borderId="250" applyProtection="0">
      <alignment horizontal="right"/>
      <protection locked="0"/>
    </xf>
    <xf numFmtId="260" fontId="2" fillId="48" borderId="250" applyProtection="0">
      <alignment horizontal="right"/>
      <protection locked="0"/>
    </xf>
    <xf numFmtId="259" fontId="2" fillId="48" borderId="250" applyProtection="0">
      <alignment horizontal="right"/>
      <protection locked="0"/>
    </xf>
    <xf numFmtId="258" fontId="2" fillId="48" borderId="250" applyProtection="0">
      <alignment horizontal="right"/>
    </xf>
    <xf numFmtId="4" fontId="99" fillId="27" borderId="227" applyBorder="0"/>
    <xf numFmtId="4" fontId="99" fillId="26" borderId="227" applyBorder="0"/>
    <xf numFmtId="4" fontId="99" fillId="27" borderId="227" applyBorder="0"/>
    <xf numFmtId="4" fontId="99" fillId="26" borderId="227" applyBorder="0"/>
    <xf numFmtId="0" fontId="239" fillId="52" borderId="257" applyNumberFormat="0" applyProtection="0">
      <alignment horizontal="right"/>
    </xf>
    <xf numFmtId="0" fontId="239" fillId="52" borderId="258" applyNumberFormat="0" applyProtection="0">
      <alignment horizontal="right"/>
    </xf>
    <xf numFmtId="0" fontId="239" fillId="52" borderId="259" applyNumberFormat="0" applyProtection="0">
      <alignment horizontal="right"/>
    </xf>
    <xf numFmtId="0" fontId="239" fillId="52" borderId="256" applyNumberFormat="0" applyAlignment="0" applyProtection="0"/>
    <xf numFmtId="0" fontId="54" fillId="0" borderId="257" applyNumberFormat="0" applyFill="0" applyProtection="0">
      <alignment horizontal="right"/>
    </xf>
    <xf numFmtId="0" fontId="54" fillId="0" borderId="258" applyNumberFormat="0" applyFill="0" applyProtection="0">
      <alignment horizontal="right"/>
    </xf>
    <xf numFmtId="0" fontId="54" fillId="0" borderId="259" applyNumberFormat="0" applyFill="0" applyProtection="0">
      <alignment horizontal="right"/>
    </xf>
    <xf numFmtId="0" fontId="2" fillId="0" borderId="260" applyNumberFormat="0" applyFont="0" applyFill="0" applyAlignment="0" applyProtection="0"/>
    <xf numFmtId="327" fontId="52" fillId="0" borderId="265" applyFill="0" applyAlignment="0" applyProtection="0"/>
    <xf numFmtId="327" fontId="52" fillId="0" borderId="265" applyFill="0" applyAlignment="0" applyProtection="0"/>
    <xf numFmtId="0" fontId="2" fillId="0" borderId="260" applyNumberFormat="0" applyFont="0" applyFill="0" applyAlignment="0" applyProtection="0"/>
    <xf numFmtId="326" fontId="2" fillId="0" borderId="257" applyFill="0" applyAlignment="0" applyProtection="0"/>
    <xf numFmtId="326" fontId="2" fillId="0" borderId="258" applyFont="0" applyFill="0" applyAlignment="0" applyProtection="0"/>
    <xf numFmtId="326" fontId="2" fillId="0" borderId="259" applyFont="0" applyFill="0" applyAlignment="0" applyProtection="0"/>
    <xf numFmtId="327" fontId="2" fillId="0" borderId="257" applyFill="0" applyAlignment="0" applyProtection="0"/>
    <xf numFmtId="327" fontId="2" fillId="0" borderId="258" applyFont="0" applyFill="0" applyAlignment="0" applyProtection="0"/>
    <xf numFmtId="327" fontId="2" fillId="0" borderId="259" applyFont="0" applyFill="0" applyAlignment="0" applyProtection="0"/>
    <xf numFmtId="328" fontId="2" fillId="0" borderId="257" applyFill="0" applyAlignment="0" applyProtection="0"/>
    <xf numFmtId="328" fontId="2" fillId="0" borderId="258" applyFont="0" applyFill="0" applyAlignment="0" applyProtection="0"/>
    <xf numFmtId="328" fontId="2" fillId="0" borderId="259" applyFont="0" applyFill="0" applyAlignment="0" applyProtection="0"/>
    <xf numFmtId="0" fontId="2" fillId="0" borderId="260" applyNumberFormat="0"/>
    <xf numFmtId="0" fontId="2" fillId="0" borderId="261" applyNumberFormat="0"/>
    <xf numFmtId="0" fontId="2" fillId="0" borderId="262" applyNumberFormat="0"/>
    <xf numFmtId="0" fontId="2" fillId="0" borderId="257" applyNumberFormat="0" applyFont="0" applyFill="0" applyAlignment="0" applyProtection="0"/>
    <xf numFmtId="0" fontId="2" fillId="0" borderId="258" applyNumberFormat="0" applyFont="0" applyFill="0" applyAlignment="0" applyProtection="0"/>
    <xf numFmtId="0" fontId="2" fillId="0" borderId="260" applyNumberFormat="0" applyFont="0" applyFill="0" applyAlignment="0" applyProtection="0"/>
    <xf numFmtId="0" fontId="2" fillId="0" borderId="261" applyNumberFormat="0" applyFont="0" applyFill="0" applyAlignment="0" applyProtection="0"/>
    <xf numFmtId="0" fontId="2" fillId="0" borderId="262" applyNumberFormat="0" applyFont="0" applyFill="0" applyAlignment="0" applyProtection="0"/>
    <xf numFmtId="0" fontId="2" fillId="0" borderId="260" applyNumberFormat="0" applyFont="0" applyFill="0" applyAlignment="0" applyProtection="0"/>
    <xf numFmtId="0" fontId="178" fillId="0" borderId="253" applyNumberFormat="0" applyFill="0" applyAlignment="0" applyProtection="0"/>
    <xf numFmtId="0" fontId="2" fillId="60" borderId="256" applyNumberFormat="0" applyFont="0" applyAlignment="0" applyProtection="0"/>
    <xf numFmtId="0" fontId="139" fillId="50" borderId="252" applyNumberFormat="0" applyAlignment="0" applyProtection="0"/>
    <xf numFmtId="0" fontId="178" fillId="0" borderId="253" applyNumberFormat="0" applyFill="0" applyAlignment="0" applyProtection="0"/>
    <xf numFmtId="0" fontId="132" fillId="50" borderId="251" applyNumberFormat="0" applyAlignment="0" applyProtection="0"/>
    <xf numFmtId="0" fontId="175" fillId="27" borderId="252" applyNumberFormat="0" applyAlignment="0" applyProtection="0"/>
    <xf numFmtId="0" fontId="54" fillId="56" borderId="250" applyNumberFormat="0" applyAlignment="0">
      <alignment horizontal="center"/>
    </xf>
    <xf numFmtId="327" fontId="52" fillId="0" borderId="286" applyFill="0" applyAlignment="0" applyProtection="0"/>
    <xf numFmtId="0" fontId="156" fillId="0" borderId="285" applyNumberFormat="0" applyAlignment="0" applyProtection="0">
      <alignment horizontal="left" vertical="center"/>
    </xf>
    <xf numFmtId="3" fontId="60" fillId="54" borderId="266" applyNumberFormat="0" applyFill="0" applyBorder="0" applyProtection="0">
      <alignment horizontal="left"/>
    </xf>
    <xf numFmtId="0" fontId="156" fillId="0" borderId="268" applyNumberFormat="0" applyAlignment="0" applyProtection="0">
      <alignment horizontal="left" vertical="center"/>
    </xf>
    <xf numFmtId="0" fontId="54" fillId="11" borderId="267">
      <alignment vertical="top" wrapText="1"/>
    </xf>
    <xf numFmtId="4" fontId="60" fillId="54" borderId="266" applyNumberFormat="0" applyProtection="0">
      <alignment horizontal="right" wrapText="1"/>
    </xf>
    <xf numFmtId="0" fontId="132" fillId="50" borderId="273" applyNumberFormat="0" applyAlignment="0" applyProtection="0"/>
    <xf numFmtId="3" fontId="60" fillId="54" borderId="276" applyNumberFormat="0" applyFill="0" applyBorder="0" applyProtection="0">
      <alignment horizontal="left"/>
    </xf>
    <xf numFmtId="0" fontId="132" fillId="50" borderId="273" applyNumberFormat="0" applyAlignment="0" applyProtection="0"/>
    <xf numFmtId="0" fontId="156" fillId="0" borderId="278" applyNumberFormat="0" applyAlignment="0" applyProtection="0">
      <alignment horizontal="left" vertical="center"/>
    </xf>
    <xf numFmtId="0" fontId="54" fillId="11" borderId="277">
      <alignment vertical="top" wrapText="1"/>
    </xf>
    <xf numFmtId="4" fontId="60" fillId="54" borderId="276" applyNumberFormat="0" applyProtection="0">
      <alignment horizontal="right" wrapText="1"/>
    </xf>
    <xf numFmtId="0" fontId="132" fillId="50" borderId="273" applyNumberFormat="0" applyAlignment="0" applyProtection="0"/>
    <xf numFmtId="0" fontId="156" fillId="0" borderId="285" applyNumberFormat="0" applyAlignment="0" applyProtection="0">
      <alignment horizontal="left" vertical="center"/>
    </xf>
    <xf numFmtId="0" fontId="54" fillId="11" borderId="284">
      <alignment vertical="top" wrapText="1"/>
    </xf>
    <xf numFmtId="4" fontId="60" fillId="54" borderId="287" applyNumberFormat="0" applyProtection="0">
      <alignment horizontal="right" wrapText="1"/>
    </xf>
    <xf numFmtId="0" fontId="156" fillId="0" borderId="291" applyNumberFormat="0" applyAlignment="0" applyProtection="0">
      <alignment horizontal="left" vertical="center"/>
    </xf>
    <xf numFmtId="0" fontId="54" fillId="11" borderId="290">
      <alignment vertical="top" wrapText="1"/>
    </xf>
    <xf numFmtId="3" fontId="2" fillId="0" borderId="294"/>
    <xf numFmtId="3" fontId="72" fillId="0" borderId="294"/>
    <xf numFmtId="0" fontId="106" fillId="0" borderId="308" applyNumberFormat="0" applyFill="0" applyAlignment="0" applyProtection="0"/>
    <xf numFmtId="0" fontId="106" fillId="0" borderId="308" applyNumberFormat="0" applyFill="0" applyAlignment="0" applyProtection="0"/>
    <xf numFmtId="0" fontId="106" fillId="0" borderId="308" applyNumberFormat="0" applyFill="0" applyAlignment="0" applyProtection="0"/>
    <xf numFmtId="0" fontId="106" fillId="0" borderId="308" applyNumberFormat="0" applyFill="0" applyAlignment="0" applyProtection="0"/>
    <xf numFmtId="0" fontId="106" fillId="0" borderId="308" applyNumberFormat="0" applyFill="0" applyAlignment="0" applyProtection="0"/>
    <xf numFmtId="0" fontId="106" fillId="0" borderId="308" applyNumberFormat="0" applyFill="0" applyAlignment="0" applyProtection="0"/>
    <xf numFmtId="0" fontId="14" fillId="35" borderId="294"/>
    <xf numFmtId="0" fontId="130" fillId="0" borderId="309" applyFont="0" applyFill="0" applyBorder="0" applyAlignment="0" applyProtection="0">
      <alignment horizontal="center" vertical="center"/>
    </xf>
    <xf numFmtId="258" fontId="2" fillId="48" borderId="294" applyProtection="0">
      <alignment horizontal="right"/>
    </xf>
    <xf numFmtId="259" fontId="2" fillId="48" borderId="294" applyProtection="0">
      <alignment horizontal="right"/>
      <protection locked="0"/>
    </xf>
    <xf numFmtId="260" fontId="2" fillId="48" borderId="294" applyProtection="0">
      <alignment horizontal="right"/>
      <protection locked="0"/>
    </xf>
    <xf numFmtId="214" fontId="2" fillId="48" borderId="294" applyProtection="0">
      <alignment horizontal="right"/>
      <protection locked="0"/>
    </xf>
    <xf numFmtId="261" fontId="2" fillId="48" borderId="294" applyProtection="0">
      <alignment horizontal="right"/>
    </xf>
    <xf numFmtId="262" fontId="2" fillId="48" borderId="294" applyProtection="0">
      <alignment horizontal="right"/>
    </xf>
    <xf numFmtId="263" fontId="2" fillId="48" borderId="294" applyProtection="0">
      <alignment horizontal="right"/>
    </xf>
    <xf numFmtId="214" fontId="2" fillId="48" borderId="294" applyProtection="0">
      <alignment horizontal="right"/>
    </xf>
    <xf numFmtId="264" fontId="2" fillId="48" borderId="294" applyProtection="0">
      <alignment horizontal="right"/>
    </xf>
    <xf numFmtId="265" fontId="2" fillId="48" borderId="294" applyProtection="0">
      <alignment horizontal="right"/>
    </xf>
    <xf numFmtId="3" fontId="2" fillId="0" borderId="294"/>
    <xf numFmtId="3" fontId="36" fillId="0" borderId="294"/>
    <xf numFmtId="3" fontId="2" fillId="0" borderId="294"/>
    <xf numFmtId="3" fontId="2" fillId="0" borderId="294"/>
    <xf numFmtId="3" fontId="2" fillId="0" borderId="294"/>
    <xf numFmtId="3" fontId="2" fillId="0" borderId="294"/>
    <xf numFmtId="3" fontId="2" fillId="0" borderId="294"/>
    <xf numFmtId="0" fontId="54" fillId="0" borderId="294">
      <alignment horizontal="left" wrapText="1"/>
    </xf>
    <xf numFmtId="49" fontId="90" fillId="14" borderId="294">
      <alignment horizontal="center" vertical="center" wrapText="1"/>
    </xf>
    <xf numFmtId="182" fontId="167" fillId="0" borderId="310">
      <protection locked="0"/>
    </xf>
    <xf numFmtId="37" fontId="69" fillId="0" borderId="311"/>
    <xf numFmtId="0" fontId="178" fillId="0" borderId="312" applyNumberFormat="0" applyFill="0" applyAlignment="0" applyProtection="0"/>
    <xf numFmtId="0" fontId="14" fillId="0" borderId="313" applyBorder="0"/>
    <xf numFmtId="0" fontId="156" fillId="0" borderId="313">
      <alignment horizontal="left" vertical="center"/>
    </xf>
    <xf numFmtId="10" fontId="57" fillId="2" borderId="294" applyNumberFormat="0" applyBorder="0" applyAlignment="0" applyProtection="0"/>
    <xf numFmtId="0" fontId="2" fillId="0" borderId="294" applyNumberFormat="0">
      <alignment horizontal="left" wrapText="1"/>
      <protection locked="0"/>
    </xf>
    <xf numFmtId="0" fontId="197" fillId="0" borderId="314" applyNumberFormat="0" applyFill="0" applyAlignment="0" applyProtection="0"/>
    <xf numFmtId="0" fontId="2" fillId="56" borderId="294" applyNumberFormat="0" applyProtection="0">
      <alignment vertical="center" wrapText="1"/>
    </xf>
    <xf numFmtId="0" fontId="2" fillId="14" borderId="294" applyNumberFormat="0" applyAlignment="0"/>
    <xf numFmtId="0" fontId="2" fillId="59" borderId="294" applyNumberFormat="0" applyFont="0" applyBorder="0" applyAlignment="0" applyProtection="0"/>
    <xf numFmtId="0" fontId="216" fillId="60" borderId="315" applyNumberFormat="0" applyFont="0" applyAlignment="0" applyProtection="0"/>
    <xf numFmtId="0" fontId="91" fillId="60" borderId="315" applyNumberFormat="0" applyFont="0" applyAlignment="0" applyProtection="0"/>
    <xf numFmtId="320" fontId="2" fillId="0" borderId="294" applyFont="0" applyFill="0" applyBorder="0" applyAlignment="0" applyProtection="0"/>
    <xf numFmtId="0" fontId="229" fillId="1" borderId="313" applyNumberFormat="0" applyFont="0" applyAlignment="0">
      <alignment horizontal="center"/>
    </xf>
    <xf numFmtId="0" fontId="238" fillId="0" borderId="316"/>
    <xf numFmtId="0" fontId="113" fillId="0" borderId="311"/>
    <xf numFmtId="0" fontId="239" fillId="52" borderId="317" applyNumberFormat="0" applyProtection="0">
      <alignment horizontal="right"/>
    </xf>
    <xf numFmtId="0" fontId="239" fillId="52" borderId="318" applyNumberFormat="0" applyProtection="0">
      <alignment horizontal="right"/>
    </xf>
    <xf numFmtId="0" fontId="239" fillId="52" borderId="319" applyNumberFormat="0" applyProtection="0">
      <alignment horizontal="right"/>
    </xf>
    <xf numFmtId="0" fontId="2" fillId="0" borderId="294" applyNumberFormat="0" applyFont="0" applyFill="0" applyProtection="0">
      <alignment horizontal="center"/>
    </xf>
    <xf numFmtId="0" fontId="239" fillId="52" borderId="315" applyNumberFormat="0" applyAlignment="0" applyProtection="0"/>
    <xf numFmtId="0" fontId="54" fillId="0" borderId="317" applyNumberFormat="0" applyFill="0" applyProtection="0">
      <alignment horizontal="right"/>
    </xf>
    <xf numFmtId="0" fontId="54" fillId="0" borderId="318" applyNumberFormat="0" applyFill="0" applyProtection="0">
      <alignment horizontal="right"/>
    </xf>
    <xf numFmtId="0" fontId="54" fillId="0" borderId="319" applyNumberFormat="0" applyFill="0" applyProtection="0">
      <alignment horizontal="right"/>
    </xf>
    <xf numFmtId="0" fontId="2" fillId="0" borderId="320" applyNumberFormat="0" applyFont="0" applyFill="0" applyAlignment="0" applyProtection="0"/>
    <xf numFmtId="327" fontId="52" fillId="0" borderId="321" applyFill="0" applyAlignment="0" applyProtection="0"/>
    <xf numFmtId="327" fontId="52" fillId="0" borderId="321" applyFill="0" applyAlignment="0" applyProtection="0"/>
    <xf numFmtId="0" fontId="2" fillId="0" borderId="320" applyNumberFormat="0" applyFont="0" applyFill="0" applyAlignment="0" applyProtection="0"/>
    <xf numFmtId="326" fontId="2" fillId="0" borderId="317" applyFill="0" applyAlignment="0" applyProtection="0"/>
    <xf numFmtId="326" fontId="2" fillId="0" borderId="318" applyFont="0" applyFill="0" applyAlignment="0" applyProtection="0"/>
    <xf numFmtId="326" fontId="2" fillId="0" borderId="319" applyFont="0" applyFill="0" applyAlignment="0" applyProtection="0"/>
    <xf numFmtId="327" fontId="2" fillId="0" borderId="317" applyFill="0" applyAlignment="0" applyProtection="0"/>
    <xf numFmtId="327" fontId="2" fillId="0" borderId="318" applyFont="0" applyFill="0" applyAlignment="0" applyProtection="0"/>
    <xf numFmtId="327" fontId="2" fillId="0" borderId="319" applyFont="0" applyFill="0" applyAlignment="0" applyProtection="0"/>
    <xf numFmtId="328" fontId="2" fillId="0" borderId="317" applyFill="0" applyAlignment="0" applyProtection="0"/>
    <xf numFmtId="328" fontId="2" fillId="0" borderId="318" applyFont="0" applyFill="0" applyAlignment="0" applyProtection="0"/>
    <xf numFmtId="328" fontId="2" fillId="0" borderId="319" applyFont="0" applyFill="0" applyAlignment="0" applyProtection="0"/>
    <xf numFmtId="0" fontId="2" fillId="0" borderId="320" applyNumberFormat="0"/>
    <xf numFmtId="0" fontId="2" fillId="0" borderId="322" applyNumberFormat="0"/>
    <xf numFmtId="0" fontId="2" fillId="0" borderId="323" applyNumberFormat="0"/>
    <xf numFmtId="0" fontId="2" fillId="0" borderId="317" applyNumberFormat="0" applyFont="0" applyFill="0" applyAlignment="0" applyProtection="0"/>
    <xf numFmtId="0" fontId="2" fillId="0" borderId="318" applyNumberFormat="0" applyFont="0" applyFill="0" applyAlignment="0" applyProtection="0"/>
    <xf numFmtId="0" fontId="2" fillId="0" borderId="320" applyNumberFormat="0" applyFont="0" applyFill="0" applyAlignment="0" applyProtection="0"/>
    <xf numFmtId="0" fontId="2" fillId="0" borderId="322" applyNumberFormat="0" applyFont="0" applyFill="0" applyAlignment="0" applyProtection="0"/>
    <xf numFmtId="0" fontId="2" fillId="0" borderId="323" applyNumberFormat="0" applyFont="0" applyFill="0" applyAlignment="0" applyProtection="0"/>
    <xf numFmtId="0" fontId="2" fillId="0" borderId="320" applyNumberFormat="0" applyFont="0" applyFill="0" applyAlignment="0" applyProtection="0"/>
    <xf numFmtId="0" fontId="247" fillId="0" borderId="316"/>
    <xf numFmtId="0" fontId="54" fillId="56" borderId="294" applyNumberFormat="0" applyAlignment="0">
      <alignment horizontal="center"/>
    </xf>
    <xf numFmtId="0" fontId="69" fillId="0" borderId="311"/>
    <xf numFmtId="0" fontId="113" fillId="0" borderId="311"/>
    <xf numFmtId="0" fontId="178" fillId="0" borderId="312" applyNumberFormat="0" applyFill="0" applyAlignment="0" applyProtection="0"/>
    <xf numFmtId="0" fontId="2" fillId="60" borderId="315" applyNumberFormat="0" applyFont="0" applyAlignment="0" applyProtection="0"/>
    <xf numFmtId="0" fontId="178" fillId="0" borderId="312" applyNumberFormat="0" applyFill="0" applyAlignment="0" applyProtection="0"/>
    <xf numFmtId="0" fontId="2" fillId="0" borderId="294" applyNumberFormat="0" applyFont="0" applyFill="0" applyProtection="0">
      <alignment horizontal="center"/>
    </xf>
    <xf numFmtId="4" fontId="99" fillId="26" borderId="325" applyBorder="0"/>
    <xf numFmtId="4" fontId="99" fillId="27" borderId="325" applyBorder="0"/>
    <xf numFmtId="4" fontId="99" fillId="26" borderId="325" applyBorder="0"/>
    <xf numFmtId="4" fontId="99" fillId="27" borderId="325" applyBorder="0"/>
    <xf numFmtId="0" fontId="57" fillId="0" borderId="326" applyNumberFormat="0" applyFill="0" applyAlignment="0" applyProtection="0"/>
    <xf numFmtId="258" fontId="2" fillId="48" borderId="327" applyProtection="0">
      <alignment horizontal="right"/>
    </xf>
    <xf numFmtId="259" fontId="2" fillId="48" borderId="327" applyProtection="0">
      <alignment horizontal="right"/>
      <protection locked="0"/>
    </xf>
    <xf numFmtId="260" fontId="2" fillId="48" borderId="327" applyProtection="0">
      <alignment horizontal="right"/>
      <protection locked="0"/>
    </xf>
    <xf numFmtId="214" fontId="2" fillId="48" borderId="327" applyProtection="0">
      <alignment horizontal="right"/>
      <protection locked="0"/>
    </xf>
    <xf numFmtId="261" fontId="2" fillId="48" borderId="327" applyProtection="0">
      <alignment horizontal="right"/>
    </xf>
    <xf numFmtId="262" fontId="2" fillId="48" borderId="327" applyProtection="0">
      <alignment horizontal="right"/>
    </xf>
    <xf numFmtId="263" fontId="2" fillId="48" borderId="327" applyProtection="0">
      <alignment horizontal="right"/>
    </xf>
    <xf numFmtId="214" fontId="2" fillId="48" borderId="327" applyProtection="0">
      <alignment horizontal="right"/>
    </xf>
    <xf numFmtId="264" fontId="2" fillId="48" borderId="327" applyProtection="0">
      <alignment horizontal="right"/>
    </xf>
    <xf numFmtId="265" fontId="2" fillId="48" borderId="327" applyProtection="0">
      <alignment horizontal="right"/>
    </xf>
    <xf numFmtId="0" fontId="132" fillId="50" borderId="328" applyNumberFormat="0" applyAlignment="0" applyProtection="0"/>
    <xf numFmtId="0" fontId="139" fillId="50" borderId="329" applyNumberFormat="0" applyAlignment="0" applyProtection="0"/>
    <xf numFmtId="0" fontId="139" fillId="50" borderId="329" applyNumberFormat="0" applyAlignment="0" applyProtection="0"/>
    <xf numFmtId="3" fontId="2" fillId="0" borderId="327"/>
    <xf numFmtId="3" fontId="36" fillId="0" borderId="327"/>
    <xf numFmtId="3" fontId="2" fillId="0" borderId="327"/>
    <xf numFmtId="3" fontId="2" fillId="0" borderId="327"/>
    <xf numFmtId="3" fontId="2" fillId="0" borderId="327"/>
    <xf numFmtId="3" fontId="2" fillId="0" borderId="327"/>
    <xf numFmtId="3" fontId="2" fillId="0" borderId="327"/>
    <xf numFmtId="4" fontId="60" fillId="54" borderId="324" applyNumberFormat="0" applyProtection="0">
      <alignment horizontal="right" wrapText="1"/>
    </xf>
    <xf numFmtId="0" fontId="54" fillId="0" borderId="327">
      <alignment horizontal="left" wrapText="1"/>
    </xf>
    <xf numFmtId="49" fontId="90" fillId="14" borderId="327">
      <alignment horizontal="center" vertical="center" wrapText="1"/>
    </xf>
    <xf numFmtId="182" fontId="167" fillId="0" borderId="310">
      <protection locked="0"/>
    </xf>
    <xf numFmtId="37" fontId="69" fillId="0" borderId="311"/>
    <xf numFmtId="0" fontId="175" fillId="27" borderId="329" applyNumberFormat="0" applyAlignment="0" applyProtection="0"/>
    <xf numFmtId="0" fontId="178" fillId="0" borderId="312" applyNumberFormat="0" applyFill="0" applyAlignment="0" applyProtection="0"/>
    <xf numFmtId="0" fontId="14" fillId="0" borderId="313" applyBorder="0"/>
    <xf numFmtId="0" fontId="54" fillId="11" borderId="330">
      <alignment vertical="top" wrapText="1"/>
    </xf>
    <xf numFmtId="0" fontId="156" fillId="0" borderId="331" applyNumberFormat="0" applyAlignment="0" applyProtection="0">
      <alignment horizontal="left" vertical="center"/>
    </xf>
    <xf numFmtId="0" fontId="156" fillId="0" borderId="313">
      <alignment horizontal="left" vertical="center"/>
    </xf>
    <xf numFmtId="10" fontId="57" fillId="2" borderId="327" applyNumberFormat="0" applyBorder="0" applyAlignment="0" applyProtection="0"/>
    <xf numFmtId="0" fontId="175" fillId="27" borderId="329" applyNumberFormat="0" applyAlignment="0" applyProtection="0"/>
    <xf numFmtId="0" fontId="2" fillId="0" borderId="327" applyNumberFormat="0">
      <alignment horizontal="left" wrapText="1"/>
      <protection locked="0"/>
    </xf>
    <xf numFmtId="0" fontId="197" fillId="0" borderId="314" applyNumberFormat="0" applyFill="0" applyAlignment="0" applyProtection="0"/>
    <xf numFmtId="0" fontId="2" fillId="56" borderId="327" applyNumberFormat="0" applyProtection="0">
      <alignment vertical="center" wrapText="1"/>
    </xf>
    <xf numFmtId="0" fontId="2" fillId="14" borderId="327" applyNumberFormat="0" applyAlignment="0"/>
    <xf numFmtId="0" fontId="2" fillId="59" borderId="327" applyNumberFormat="0" applyFont="0" applyBorder="0" applyAlignment="0" applyProtection="0"/>
    <xf numFmtId="0" fontId="216" fillId="60" borderId="315" applyNumberFormat="0" applyFont="0" applyAlignment="0" applyProtection="0"/>
    <xf numFmtId="0" fontId="91" fillId="60" borderId="315" applyNumberFormat="0" applyFont="0" applyAlignment="0" applyProtection="0"/>
    <xf numFmtId="0" fontId="132" fillId="50" borderId="328" applyNumberFormat="0" applyAlignment="0" applyProtection="0"/>
    <xf numFmtId="320" fontId="2" fillId="0" borderId="327" applyFont="0" applyFill="0" applyBorder="0" applyAlignment="0" applyProtection="0"/>
    <xf numFmtId="3" fontId="60" fillId="54" borderId="324" applyNumberFormat="0" applyFill="0" applyBorder="0" applyProtection="0">
      <alignment horizontal="left"/>
    </xf>
    <xf numFmtId="320" fontId="2" fillId="0" borderId="294" applyFont="0" applyFill="0" applyBorder="0" applyAlignment="0" applyProtection="0"/>
    <xf numFmtId="0" fontId="132" fillId="50" borderId="328" applyNumberFormat="0" applyAlignment="0" applyProtection="0"/>
    <xf numFmtId="0" fontId="2" fillId="59" borderId="294" applyNumberFormat="0" applyFont="0" applyBorder="0" applyAlignment="0" applyProtection="0"/>
    <xf numFmtId="0" fontId="2" fillId="14" borderId="294" applyNumberFormat="0" applyAlignment="0"/>
    <xf numFmtId="0" fontId="2" fillId="56" borderId="294" applyNumberFormat="0" applyProtection="0">
      <alignment vertical="center" wrapText="1"/>
    </xf>
    <xf numFmtId="0" fontId="2" fillId="0" borderId="294" applyNumberFormat="0">
      <alignment horizontal="left" wrapText="1"/>
      <protection locked="0"/>
    </xf>
    <xf numFmtId="0" fontId="175" fillId="27" borderId="329" applyNumberFormat="0" applyAlignment="0" applyProtection="0"/>
    <xf numFmtId="10" fontId="57" fillId="2" borderId="294" applyNumberFormat="0" applyBorder="0" applyAlignment="0" applyProtection="0"/>
    <xf numFmtId="0" fontId="175" fillId="27" borderId="329" applyNumberFormat="0" applyAlignment="0" applyProtection="0"/>
    <xf numFmtId="49" fontId="90" fillId="14" borderId="294">
      <alignment horizontal="center" vertical="center" wrapText="1"/>
    </xf>
    <xf numFmtId="0" fontId="54" fillId="0" borderId="294">
      <alignment horizontal="left" wrapText="1"/>
    </xf>
    <xf numFmtId="3" fontId="2" fillId="0" borderId="294"/>
    <xf numFmtId="3" fontId="2" fillId="0" borderId="294"/>
    <xf numFmtId="3" fontId="2" fillId="0" borderId="294"/>
    <xf numFmtId="3" fontId="36" fillId="0" borderId="294"/>
    <xf numFmtId="0" fontId="139" fillId="50" borderId="329" applyNumberFormat="0" applyAlignment="0" applyProtection="0"/>
    <xf numFmtId="0" fontId="139" fillId="50" borderId="329" applyNumberFormat="0" applyAlignment="0" applyProtection="0"/>
    <xf numFmtId="0" fontId="132" fillId="50" borderId="328" applyNumberFormat="0" applyAlignment="0" applyProtection="0"/>
    <xf numFmtId="265" fontId="2" fillId="48" borderId="294" applyProtection="0">
      <alignment horizontal="right"/>
    </xf>
    <xf numFmtId="264" fontId="2" fillId="48" borderId="294" applyProtection="0">
      <alignment horizontal="right"/>
    </xf>
    <xf numFmtId="214" fontId="2" fillId="48" borderId="294" applyProtection="0">
      <alignment horizontal="right"/>
    </xf>
    <xf numFmtId="263" fontId="2" fillId="48" borderId="294" applyProtection="0">
      <alignment horizontal="right"/>
    </xf>
    <xf numFmtId="262" fontId="2" fillId="48" borderId="294" applyProtection="0">
      <alignment horizontal="right"/>
    </xf>
    <xf numFmtId="261" fontId="2" fillId="48" borderId="294" applyProtection="0">
      <alignment horizontal="right"/>
    </xf>
    <xf numFmtId="214" fontId="2" fillId="48" borderId="294" applyProtection="0">
      <alignment horizontal="right"/>
      <protection locked="0"/>
    </xf>
    <xf numFmtId="260" fontId="2" fillId="48" borderId="294" applyProtection="0">
      <alignment horizontal="right"/>
      <protection locked="0"/>
    </xf>
    <xf numFmtId="259" fontId="2" fillId="48" borderId="294" applyProtection="0">
      <alignment horizontal="right"/>
      <protection locked="0"/>
    </xf>
    <xf numFmtId="258" fontId="2" fillId="48" borderId="294" applyProtection="0">
      <alignment horizontal="right"/>
    </xf>
    <xf numFmtId="0" fontId="57" fillId="0" borderId="326" applyNumberFormat="0" applyFill="0" applyAlignment="0" applyProtection="0"/>
    <xf numFmtId="4" fontId="99" fillId="27" borderId="325" applyBorder="0"/>
    <xf numFmtId="4" fontId="99" fillId="26" borderId="325" applyBorder="0"/>
    <xf numFmtId="4" fontId="99" fillId="27" borderId="325" applyBorder="0"/>
    <xf numFmtId="4" fontId="99" fillId="26" borderId="325" applyBorder="0"/>
    <xf numFmtId="0" fontId="229" fillId="1" borderId="313" applyNumberFormat="0" applyFont="0" applyAlignment="0">
      <alignment horizontal="center"/>
    </xf>
    <xf numFmtId="0" fontId="238" fillId="0" borderId="316"/>
    <xf numFmtId="0" fontId="113" fillId="0" borderId="311"/>
    <xf numFmtId="0" fontId="239" fillId="52" borderId="317" applyNumberFormat="0" applyProtection="0">
      <alignment horizontal="right"/>
    </xf>
    <xf numFmtId="0" fontId="239" fillId="52" borderId="318" applyNumberFormat="0" applyProtection="0">
      <alignment horizontal="right"/>
    </xf>
    <xf numFmtId="0" fontId="239" fillId="52" borderId="319" applyNumberFormat="0" applyProtection="0">
      <alignment horizontal="right"/>
    </xf>
    <xf numFmtId="0" fontId="2" fillId="0" borderId="327" applyNumberFormat="0" applyFont="0" applyFill="0" applyProtection="0">
      <alignment horizontal="center"/>
    </xf>
    <xf numFmtId="0" fontId="239" fillId="52" borderId="315" applyNumberFormat="0" applyAlignment="0" applyProtection="0"/>
    <xf numFmtId="0" fontId="54" fillId="0" borderId="317" applyNumberFormat="0" applyFill="0" applyProtection="0">
      <alignment horizontal="right"/>
    </xf>
    <xf numFmtId="0" fontId="54" fillId="0" borderId="318" applyNumberFormat="0" applyFill="0" applyProtection="0">
      <alignment horizontal="right"/>
    </xf>
    <xf numFmtId="0" fontId="54" fillId="0" borderId="319" applyNumberFormat="0" applyFill="0" applyProtection="0">
      <alignment horizontal="right"/>
    </xf>
    <xf numFmtId="0" fontId="2" fillId="0" borderId="320" applyNumberFormat="0" applyFont="0" applyFill="0" applyAlignment="0" applyProtection="0"/>
    <xf numFmtId="327" fontId="52" fillId="0" borderId="321" applyFill="0" applyAlignment="0" applyProtection="0"/>
    <xf numFmtId="327" fontId="52" fillId="0" borderId="321" applyFill="0" applyAlignment="0" applyProtection="0"/>
    <xf numFmtId="0" fontId="2" fillId="0" borderId="320" applyNumberFormat="0" applyFont="0" applyFill="0" applyAlignment="0" applyProtection="0"/>
    <xf numFmtId="326" fontId="2" fillId="0" borderId="317" applyFill="0" applyAlignment="0" applyProtection="0"/>
    <xf numFmtId="326" fontId="2" fillId="0" borderId="318" applyFont="0" applyFill="0" applyAlignment="0" applyProtection="0"/>
    <xf numFmtId="326" fontId="2" fillId="0" borderId="319" applyFont="0" applyFill="0" applyAlignment="0" applyProtection="0"/>
    <xf numFmtId="327" fontId="2" fillId="0" borderId="317" applyFill="0" applyAlignment="0" applyProtection="0"/>
    <xf numFmtId="327" fontId="2" fillId="0" borderId="318" applyFont="0" applyFill="0" applyAlignment="0" applyProtection="0"/>
    <xf numFmtId="327" fontId="2" fillId="0" borderId="319" applyFont="0" applyFill="0" applyAlignment="0" applyProtection="0"/>
    <xf numFmtId="328" fontId="2" fillId="0" borderId="317" applyFill="0" applyAlignment="0" applyProtection="0"/>
    <xf numFmtId="328" fontId="2" fillId="0" borderId="318" applyFont="0" applyFill="0" applyAlignment="0" applyProtection="0"/>
    <xf numFmtId="328" fontId="2" fillId="0" borderId="319" applyFont="0" applyFill="0" applyAlignment="0" applyProtection="0"/>
    <xf numFmtId="0" fontId="2" fillId="0" borderId="320" applyNumberFormat="0"/>
    <xf numFmtId="0" fontId="2" fillId="0" borderId="322" applyNumberFormat="0"/>
    <xf numFmtId="0" fontId="2" fillId="0" borderId="323" applyNumberFormat="0"/>
    <xf numFmtId="0" fontId="2" fillId="0" borderId="317" applyNumberFormat="0" applyFont="0" applyFill="0" applyAlignment="0" applyProtection="0"/>
    <xf numFmtId="0" fontId="2" fillId="0" borderId="318" applyNumberFormat="0" applyFont="0" applyFill="0" applyAlignment="0" applyProtection="0"/>
    <xf numFmtId="0" fontId="2" fillId="0" borderId="320" applyNumberFormat="0" applyFont="0" applyFill="0" applyAlignment="0" applyProtection="0"/>
    <xf numFmtId="0" fontId="2" fillId="0" borderId="322" applyNumberFormat="0" applyFont="0" applyFill="0" applyAlignment="0" applyProtection="0"/>
    <xf numFmtId="0" fontId="2" fillId="0" borderId="323" applyNumberFormat="0" applyFont="0" applyFill="0" applyAlignment="0" applyProtection="0"/>
    <xf numFmtId="0" fontId="2" fillId="0" borderId="320" applyNumberFormat="0" applyFont="0" applyFill="0" applyAlignment="0" applyProtection="0"/>
    <xf numFmtId="0" fontId="247" fillId="0" borderId="316"/>
    <xf numFmtId="0" fontId="54" fillId="56" borderId="327" applyNumberFormat="0" applyAlignment="0">
      <alignment horizontal="center"/>
    </xf>
    <xf numFmtId="0" fontId="69" fillId="0" borderId="311"/>
    <xf numFmtId="0" fontId="113" fillId="0" borderId="311"/>
    <xf numFmtId="0" fontId="178" fillId="0" borderId="312" applyNumberFormat="0" applyFill="0" applyAlignment="0" applyProtection="0"/>
    <xf numFmtId="0" fontId="2" fillId="60" borderId="315" applyNumberFormat="0" applyFont="0" applyAlignment="0" applyProtection="0"/>
    <xf numFmtId="0" fontId="139" fillId="50" borderId="329" applyNumberFormat="0" applyAlignment="0" applyProtection="0"/>
    <xf numFmtId="0" fontId="178" fillId="0" borderId="312" applyNumberFormat="0" applyFill="0" applyAlignment="0" applyProtection="0"/>
    <xf numFmtId="0" fontId="132" fillId="50" borderId="328" applyNumberFormat="0" applyAlignment="0" applyProtection="0"/>
    <xf numFmtId="0" fontId="175" fillId="27" borderId="329" applyNumberFormat="0" applyAlignment="0" applyProtection="0"/>
    <xf numFmtId="0" fontId="54" fillId="56" borderId="294" applyNumberFormat="0" applyAlignment="0">
      <alignment horizontal="center"/>
    </xf>
    <xf numFmtId="0" fontId="139" fillId="50" borderId="329" applyNumberFormat="0" applyAlignment="0" applyProtection="0"/>
    <xf numFmtId="0" fontId="132" fillId="50" borderId="328" applyNumberFormat="0" applyAlignment="0" applyProtection="0"/>
    <xf numFmtId="0" fontId="175" fillId="27" borderId="329" applyNumberFormat="0" applyAlignment="0" applyProtection="0"/>
    <xf numFmtId="0" fontId="175" fillId="27" borderId="329" applyNumberFormat="0" applyAlignment="0" applyProtection="0"/>
    <xf numFmtId="0" fontId="132" fillId="50" borderId="328" applyNumberFormat="0" applyAlignment="0" applyProtection="0"/>
    <xf numFmtId="0" fontId="178" fillId="0" borderId="312" applyNumberFormat="0" applyFill="0" applyAlignment="0" applyProtection="0"/>
    <xf numFmtId="0" fontId="139" fillId="50" borderId="329" applyNumberFormat="0" applyAlignment="0" applyProtection="0"/>
    <xf numFmtId="0" fontId="2" fillId="60" borderId="315" applyNumberFormat="0" applyFont="0" applyAlignment="0" applyProtection="0"/>
    <xf numFmtId="0" fontId="178" fillId="0" borderId="312" applyNumberFormat="0" applyFill="0" applyAlignment="0" applyProtection="0"/>
    <xf numFmtId="0" fontId="113" fillId="0" borderId="311"/>
    <xf numFmtId="0" fontId="69" fillId="0" borderId="311"/>
    <xf numFmtId="0" fontId="54" fillId="56" borderId="327" applyNumberFormat="0" applyAlignment="0">
      <alignment horizontal="center"/>
    </xf>
    <xf numFmtId="0" fontId="247" fillId="0" borderId="316"/>
    <xf numFmtId="0" fontId="2" fillId="0" borderId="320" applyNumberFormat="0" applyFont="0" applyFill="0" applyAlignment="0" applyProtection="0"/>
    <xf numFmtId="0" fontId="2" fillId="0" borderId="323" applyNumberFormat="0" applyFont="0" applyFill="0" applyAlignment="0" applyProtection="0"/>
    <xf numFmtId="0" fontId="2" fillId="0" borderId="322" applyNumberFormat="0" applyFont="0" applyFill="0" applyAlignment="0" applyProtection="0"/>
    <xf numFmtId="0" fontId="2" fillId="0" borderId="320" applyNumberFormat="0" applyFont="0" applyFill="0" applyAlignment="0" applyProtection="0"/>
    <xf numFmtId="0" fontId="2" fillId="0" borderId="318" applyNumberFormat="0" applyFont="0" applyFill="0" applyAlignment="0" applyProtection="0"/>
    <xf numFmtId="0" fontId="2" fillId="0" borderId="317" applyNumberFormat="0" applyFont="0" applyFill="0" applyAlignment="0" applyProtection="0"/>
    <xf numFmtId="0" fontId="2" fillId="0" borderId="323" applyNumberFormat="0"/>
    <xf numFmtId="0" fontId="2" fillId="0" borderId="322" applyNumberFormat="0"/>
    <xf numFmtId="0" fontId="2" fillId="0" borderId="320" applyNumberFormat="0"/>
    <xf numFmtId="328" fontId="2" fillId="0" borderId="319" applyFont="0" applyFill="0" applyAlignment="0" applyProtection="0"/>
    <xf numFmtId="328" fontId="2" fillId="0" borderId="318" applyFont="0" applyFill="0" applyAlignment="0" applyProtection="0"/>
    <xf numFmtId="328" fontId="2" fillId="0" borderId="317" applyFill="0" applyAlignment="0" applyProtection="0"/>
    <xf numFmtId="327" fontId="2" fillId="0" borderId="319" applyFont="0" applyFill="0" applyAlignment="0" applyProtection="0"/>
    <xf numFmtId="327" fontId="2" fillId="0" borderId="318" applyFont="0" applyFill="0" applyAlignment="0" applyProtection="0"/>
    <xf numFmtId="327" fontId="2" fillId="0" borderId="317" applyFill="0" applyAlignment="0" applyProtection="0"/>
    <xf numFmtId="326" fontId="2" fillId="0" borderId="319" applyFont="0" applyFill="0" applyAlignment="0" applyProtection="0"/>
    <xf numFmtId="326" fontId="2" fillId="0" borderId="318" applyFont="0" applyFill="0" applyAlignment="0" applyProtection="0"/>
    <xf numFmtId="326" fontId="2" fillId="0" borderId="317" applyFill="0" applyAlignment="0" applyProtection="0"/>
    <xf numFmtId="0" fontId="2" fillId="0" borderId="320" applyNumberFormat="0" applyFont="0" applyFill="0" applyAlignment="0" applyProtection="0"/>
    <xf numFmtId="0" fontId="2" fillId="0" borderId="320" applyNumberFormat="0" applyFont="0" applyFill="0" applyAlignment="0" applyProtection="0"/>
    <xf numFmtId="0" fontId="54" fillId="0" borderId="319" applyNumberFormat="0" applyFill="0" applyProtection="0">
      <alignment horizontal="right"/>
    </xf>
    <xf numFmtId="0" fontId="54" fillId="0" borderId="318" applyNumberFormat="0" applyFill="0" applyProtection="0">
      <alignment horizontal="right"/>
    </xf>
    <xf numFmtId="0" fontId="54" fillId="0" borderId="317" applyNumberFormat="0" applyFill="0" applyProtection="0">
      <alignment horizontal="right"/>
    </xf>
    <xf numFmtId="0" fontId="239" fillId="52" borderId="315" applyNumberFormat="0" applyAlignment="0" applyProtection="0"/>
    <xf numFmtId="0" fontId="2" fillId="0" borderId="327" applyNumberFormat="0" applyFont="0" applyFill="0" applyProtection="0">
      <alignment horizontal="center"/>
    </xf>
    <xf numFmtId="0" fontId="239" fillId="52" borderId="319" applyNumberFormat="0" applyProtection="0">
      <alignment horizontal="right"/>
    </xf>
    <xf numFmtId="0" fontId="239" fillId="52" borderId="318" applyNumberFormat="0" applyProtection="0">
      <alignment horizontal="right"/>
    </xf>
    <xf numFmtId="0" fontId="239" fillId="52" borderId="317" applyNumberFormat="0" applyProtection="0">
      <alignment horizontal="right"/>
    </xf>
    <xf numFmtId="0" fontId="113" fillId="0" borderId="311"/>
    <xf numFmtId="0" fontId="238" fillId="0" borderId="316"/>
    <xf numFmtId="0" fontId="229" fillId="1" borderId="313" applyNumberFormat="0" applyFont="0" applyAlignment="0">
      <alignment horizontal="center"/>
    </xf>
    <xf numFmtId="3" fontId="60" fillId="54" borderId="324" applyNumberFormat="0" applyFill="0" applyBorder="0" applyProtection="0">
      <alignment horizontal="left"/>
    </xf>
    <xf numFmtId="320" fontId="2" fillId="0" borderId="327" applyFont="0" applyFill="0" applyBorder="0" applyAlignment="0" applyProtection="0"/>
    <xf numFmtId="0" fontId="132" fillId="50" borderId="328" applyNumberFormat="0" applyAlignment="0" applyProtection="0"/>
    <xf numFmtId="0" fontId="91" fillId="60" borderId="315" applyNumberFormat="0" applyFont="0" applyAlignment="0" applyProtection="0"/>
    <xf numFmtId="0" fontId="216" fillId="60" borderId="315" applyNumberFormat="0" applyFont="0" applyAlignment="0" applyProtection="0"/>
    <xf numFmtId="0" fontId="2" fillId="59" borderId="327" applyNumberFormat="0" applyFont="0" applyBorder="0" applyAlignment="0" applyProtection="0"/>
    <xf numFmtId="0" fontId="2" fillId="14" borderId="327" applyNumberFormat="0" applyAlignment="0"/>
    <xf numFmtId="0" fontId="2" fillId="56" borderId="327" applyNumberFormat="0" applyProtection="0">
      <alignment vertical="center" wrapText="1"/>
    </xf>
    <xf numFmtId="0" fontId="197" fillId="0" borderId="314" applyNumberFormat="0" applyFill="0" applyAlignment="0" applyProtection="0"/>
    <xf numFmtId="0" fontId="2" fillId="0" borderId="327" applyNumberFormat="0">
      <alignment horizontal="left" wrapText="1"/>
      <protection locked="0"/>
    </xf>
    <xf numFmtId="0" fontId="175" fillId="27" borderId="329" applyNumberFormat="0" applyAlignment="0" applyProtection="0"/>
    <xf numFmtId="10" fontId="57" fillId="2" borderId="327" applyNumberFormat="0" applyBorder="0" applyAlignment="0" applyProtection="0"/>
    <xf numFmtId="0" fontId="156" fillId="0" borderId="313">
      <alignment horizontal="left" vertical="center"/>
    </xf>
    <xf numFmtId="0" fontId="156" fillId="0" borderId="331" applyNumberFormat="0" applyAlignment="0" applyProtection="0">
      <alignment horizontal="left" vertical="center"/>
    </xf>
    <xf numFmtId="0" fontId="54" fillId="11" borderId="330">
      <alignment vertical="top" wrapText="1"/>
    </xf>
    <xf numFmtId="0" fontId="14" fillId="0" borderId="313" applyBorder="0"/>
    <xf numFmtId="0" fontId="178" fillId="0" borderId="312" applyNumberFormat="0" applyFill="0" applyAlignment="0" applyProtection="0"/>
    <xf numFmtId="0" fontId="175" fillId="27" borderId="329" applyNumberFormat="0" applyAlignment="0" applyProtection="0"/>
    <xf numFmtId="37" fontId="69" fillId="0" borderId="311"/>
    <xf numFmtId="182" fontId="167" fillId="0" borderId="310">
      <protection locked="0"/>
    </xf>
    <xf numFmtId="49" fontId="90" fillId="14" borderId="327">
      <alignment horizontal="center" vertical="center" wrapText="1"/>
    </xf>
    <xf numFmtId="0" fontId="54" fillId="0" borderId="327">
      <alignment horizontal="left" wrapText="1"/>
    </xf>
    <xf numFmtId="4" fontId="60" fillId="54" borderId="324" applyNumberFormat="0" applyProtection="0">
      <alignment horizontal="right" wrapText="1"/>
    </xf>
    <xf numFmtId="3" fontId="2" fillId="0" borderId="327"/>
    <xf numFmtId="3" fontId="2" fillId="0" borderId="327"/>
    <xf numFmtId="3" fontId="2" fillId="0" borderId="327"/>
    <xf numFmtId="3" fontId="2" fillId="0" borderId="327"/>
    <xf numFmtId="3" fontId="2" fillId="0" borderId="327"/>
    <xf numFmtId="3" fontId="36" fillId="0" borderId="327"/>
    <xf numFmtId="3" fontId="2" fillId="0" borderId="327"/>
    <xf numFmtId="0" fontId="139" fillId="50" borderId="329" applyNumberFormat="0" applyAlignment="0" applyProtection="0"/>
    <xf numFmtId="0" fontId="139" fillId="50" borderId="329" applyNumberFormat="0" applyAlignment="0" applyProtection="0"/>
    <xf numFmtId="0" fontId="132" fillId="50" borderId="328" applyNumberFormat="0" applyAlignment="0" applyProtection="0"/>
    <xf numFmtId="265" fontId="2" fillId="48" borderId="327" applyProtection="0">
      <alignment horizontal="right"/>
    </xf>
    <xf numFmtId="264" fontId="2" fillId="48" borderId="327" applyProtection="0">
      <alignment horizontal="right"/>
    </xf>
    <xf numFmtId="214" fontId="2" fillId="48" borderId="327" applyProtection="0">
      <alignment horizontal="right"/>
    </xf>
    <xf numFmtId="263" fontId="2" fillId="48" borderId="327" applyProtection="0">
      <alignment horizontal="right"/>
    </xf>
    <xf numFmtId="262" fontId="2" fillId="48" borderId="327" applyProtection="0">
      <alignment horizontal="right"/>
    </xf>
    <xf numFmtId="261" fontId="2" fillId="48" borderId="327" applyProtection="0">
      <alignment horizontal="right"/>
    </xf>
    <xf numFmtId="214" fontId="2" fillId="48" borderId="327" applyProtection="0">
      <alignment horizontal="right"/>
      <protection locked="0"/>
    </xf>
    <xf numFmtId="260" fontId="2" fillId="48" borderId="327" applyProtection="0">
      <alignment horizontal="right"/>
      <protection locked="0"/>
    </xf>
    <xf numFmtId="259" fontId="2" fillId="48" borderId="327" applyProtection="0">
      <alignment horizontal="right"/>
      <protection locked="0"/>
    </xf>
    <xf numFmtId="258" fontId="2" fillId="48" borderId="327" applyProtection="0">
      <alignment horizontal="right"/>
    </xf>
    <xf numFmtId="0" fontId="57" fillId="0" borderId="326" applyNumberFormat="0" applyFill="0" applyAlignment="0" applyProtection="0"/>
    <xf numFmtId="4" fontId="99" fillId="27" borderId="325" applyBorder="0"/>
    <xf numFmtId="4" fontId="99" fillId="26" borderId="325" applyBorder="0"/>
    <xf numFmtId="4" fontId="99" fillId="27" borderId="325" applyBorder="0"/>
    <xf numFmtId="4" fontId="99" fillId="26" borderId="325" applyBorder="0"/>
    <xf numFmtId="0" fontId="2" fillId="59" borderId="221" applyNumberFormat="0" applyFont="0" applyBorder="0" applyAlignment="0" applyProtection="0"/>
    <xf numFmtId="49" fontId="90" fillId="14" borderId="221">
      <alignment horizontal="center" vertical="center" wrapText="1"/>
    </xf>
    <xf numFmtId="0" fontId="106" fillId="0" borderId="308" applyNumberFormat="0" applyFill="0" applyAlignment="0" applyProtection="0"/>
    <xf numFmtId="0" fontId="216" fillId="60" borderId="315" applyNumberFormat="0" applyFont="0" applyAlignment="0" applyProtection="0"/>
    <xf numFmtId="0" fontId="247" fillId="0" borderId="316"/>
    <xf numFmtId="0" fontId="132" fillId="50" borderId="328" applyNumberFormat="0" applyAlignment="0" applyProtection="0"/>
    <xf numFmtId="0" fontId="175" fillId="27" borderId="329" applyNumberFormat="0" applyAlignment="0" applyProtection="0"/>
    <xf numFmtId="0" fontId="197" fillId="0" borderId="314" applyNumberFormat="0" applyFill="0" applyAlignment="0" applyProtection="0"/>
    <xf numFmtId="182" fontId="167" fillId="0" borderId="310">
      <protection locked="0"/>
    </xf>
    <xf numFmtId="0" fontId="2" fillId="0" borderId="320" applyNumberFormat="0" applyFont="0" applyFill="0" applyAlignment="0" applyProtection="0"/>
    <xf numFmtId="0" fontId="91" fillId="60" borderId="315" applyNumberFormat="0" applyFont="0" applyAlignment="0" applyProtection="0"/>
    <xf numFmtId="0" fontId="175" fillId="27" borderId="329" applyNumberFormat="0" applyAlignment="0" applyProtection="0"/>
    <xf numFmtId="0" fontId="2" fillId="0" borderId="323" applyNumberFormat="0" applyFont="0" applyFill="0" applyAlignment="0" applyProtection="0"/>
    <xf numFmtId="0" fontId="2" fillId="0" borderId="322" applyNumberFormat="0" applyFont="0" applyFill="0" applyAlignment="0" applyProtection="0"/>
    <xf numFmtId="0" fontId="2" fillId="0" borderId="320" applyNumberFormat="0" applyFont="0" applyFill="0" applyAlignment="0" applyProtection="0"/>
    <xf numFmtId="0" fontId="2" fillId="0" borderId="318" applyNumberFormat="0" applyFont="0" applyFill="0" applyAlignment="0" applyProtection="0"/>
    <xf numFmtId="0" fontId="2" fillId="0" borderId="317" applyNumberFormat="0" applyFont="0" applyFill="0" applyAlignment="0" applyProtection="0"/>
    <xf numFmtId="0" fontId="130" fillId="0" borderId="309" applyFont="0" applyFill="0" applyBorder="0" applyAlignment="0" applyProtection="0">
      <alignment horizontal="center" vertical="center"/>
    </xf>
    <xf numFmtId="0" fontId="132" fillId="50" borderId="328" applyNumberFormat="0" applyAlignment="0" applyProtection="0"/>
    <xf numFmtId="0" fontId="2" fillId="0" borderId="323" applyNumberFormat="0"/>
    <xf numFmtId="0" fontId="2" fillId="0" borderId="322" applyNumberFormat="0"/>
    <xf numFmtId="0" fontId="2" fillId="0" borderId="320" applyNumberFormat="0"/>
    <xf numFmtId="327" fontId="52" fillId="0" borderId="336" applyFill="0" applyAlignment="0" applyProtection="0"/>
    <xf numFmtId="327" fontId="52" fillId="0" borderId="336" applyFill="0" applyAlignment="0" applyProtection="0"/>
    <xf numFmtId="328" fontId="2" fillId="0" borderId="319" applyFont="0" applyFill="0" applyAlignment="0" applyProtection="0"/>
    <xf numFmtId="328" fontId="2" fillId="0" borderId="318" applyFont="0" applyFill="0" applyAlignment="0" applyProtection="0"/>
    <xf numFmtId="328" fontId="2" fillId="0" borderId="317" applyFill="0" applyAlignment="0" applyProtection="0"/>
    <xf numFmtId="327" fontId="2" fillId="0" borderId="319" applyFont="0" applyFill="0" applyAlignment="0" applyProtection="0"/>
    <xf numFmtId="327" fontId="2" fillId="0" borderId="318" applyFont="0" applyFill="0" applyAlignment="0" applyProtection="0"/>
    <xf numFmtId="327" fontId="2" fillId="0" borderId="317" applyFill="0" applyAlignment="0" applyProtection="0"/>
    <xf numFmtId="326" fontId="2" fillId="0" borderId="319" applyFont="0" applyFill="0" applyAlignment="0" applyProtection="0"/>
    <xf numFmtId="326" fontId="2" fillId="0" borderId="318" applyFont="0" applyFill="0" applyAlignment="0" applyProtection="0"/>
    <xf numFmtId="326" fontId="2" fillId="0" borderId="317" applyFill="0" applyAlignment="0" applyProtection="0"/>
    <xf numFmtId="0" fontId="2" fillId="0" borderId="320" applyNumberFormat="0" applyFont="0" applyFill="0" applyAlignment="0" applyProtection="0"/>
    <xf numFmtId="327" fontId="52" fillId="0" borderId="332" applyFill="0" applyAlignment="0" applyProtection="0"/>
    <xf numFmtId="327" fontId="52" fillId="0" borderId="332" applyFill="0" applyAlignment="0" applyProtection="0"/>
    <xf numFmtId="0" fontId="2" fillId="0" borderId="320" applyNumberFormat="0" applyFont="0" applyFill="0" applyAlignment="0" applyProtection="0"/>
    <xf numFmtId="0" fontId="139" fillId="50" borderId="329" applyNumberFormat="0" applyAlignment="0" applyProtection="0"/>
    <xf numFmtId="0" fontId="2" fillId="0" borderId="221" applyNumberFormat="0" applyFont="0" applyFill="0" applyProtection="0">
      <alignment horizontal="center"/>
    </xf>
    <xf numFmtId="0" fontId="132" fillId="50" borderId="328" applyNumberFormat="0" applyAlignment="0" applyProtection="0"/>
    <xf numFmtId="0" fontId="54" fillId="0" borderId="319" applyNumberFormat="0" applyFill="0" applyProtection="0">
      <alignment horizontal="right"/>
    </xf>
    <xf numFmtId="0" fontId="54" fillId="0" borderId="318" applyNumberFormat="0" applyFill="0" applyProtection="0">
      <alignment horizontal="right"/>
    </xf>
    <xf numFmtId="0" fontId="54" fillId="0" borderId="317" applyNumberFormat="0" applyFill="0" applyProtection="0">
      <alignment horizontal="right"/>
    </xf>
    <xf numFmtId="0" fontId="239" fillId="52" borderId="315" applyNumberFormat="0" applyAlignment="0" applyProtection="0"/>
    <xf numFmtId="0" fontId="2" fillId="0" borderId="327" applyNumberFormat="0" applyFont="0" applyFill="0" applyProtection="0">
      <alignment horizontal="center"/>
    </xf>
    <xf numFmtId="0" fontId="239" fillId="52" borderId="319" applyNumberFormat="0" applyProtection="0">
      <alignment horizontal="right"/>
    </xf>
    <xf numFmtId="0" fontId="239" fillId="52" borderId="318" applyNumberFormat="0" applyProtection="0">
      <alignment horizontal="right"/>
    </xf>
    <xf numFmtId="0" fontId="239" fillId="52" borderId="317" applyNumberFormat="0" applyProtection="0">
      <alignment horizontal="right"/>
    </xf>
    <xf numFmtId="4" fontId="60" fillId="54" borderId="357" applyNumberFormat="0" applyProtection="0">
      <alignment horizontal="right" wrapText="1"/>
    </xf>
    <xf numFmtId="0" fontId="113" fillId="0" borderId="311"/>
    <xf numFmtId="0" fontId="238" fillId="0" borderId="316"/>
    <xf numFmtId="0" fontId="54" fillId="11" borderId="358">
      <alignment vertical="top" wrapText="1"/>
    </xf>
    <xf numFmtId="0" fontId="156" fillId="0" borderId="359" applyNumberFormat="0" applyAlignment="0" applyProtection="0">
      <alignment horizontal="left" vertical="center"/>
    </xf>
    <xf numFmtId="0" fontId="132" fillId="50" borderId="328" applyNumberFormat="0" applyAlignment="0" applyProtection="0"/>
    <xf numFmtId="0" fontId="229" fillId="1" borderId="313" applyNumberFormat="0" applyFont="0" applyAlignment="0">
      <alignment horizontal="center"/>
    </xf>
    <xf numFmtId="3" fontId="60" fillId="54" borderId="357" applyNumberFormat="0" applyFill="0" applyBorder="0" applyProtection="0">
      <alignment horizontal="left"/>
    </xf>
    <xf numFmtId="0" fontId="2" fillId="0" borderId="318" applyNumberFormat="0" applyFont="0" applyFill="0" applyAlignment="0" applyProtection="0"/>
    <xf numFmtId="0" fontId="132" fillId="50" borderId="328" applyNumberFormat="0" applyAlignment="0" applyProtection="0"/>
    <xf numFmtId="320" fontId="2" fillId="0" borderId="327" applyFont="0" applyFill="0" applyBorder="0" applyAlignment="0" applyProtection="0"/>
    <xf numFmtId="214" fontId="2" fillId="48" borderId="327" applyProtection="0">
      <alignment horizontal="right"/>
    </xf>
    <xf numFmtId="214" fontId="2" fillId="48" borderId="327" applyProtection="0">
      <alignment horizontal="right"/>
      <protection locked="0"/>
    </xf>
    <xf numFmtId="258" fontId="2" fillId="48" borderId="327" applyProtection="0">
      <alignment horizontal="right"/>
    </xf>
    <xf numFmtId="3" fontId="2" fillId="0" borderId="221"/>
    <xf numFmtId="0" fontId="132" fillId="50" borderId="328" applyNumberFormat="0" applyAlignment="0" applyProtection="0"/>
    <xf numFmtId="0" fontId="132" fillId="50" borderId="328" applyNumberFormat="0" applyAlignment="0" applyProtection="0"/>
    <xf numFmtId="3" fontId="2" fillId="0" borderId="221"/>
    <xf numFmtId="49" fontId="90" fillId="14" borderId="221">
      <alignment horizontal="center" vertical="center" wrapText="1"/>
    </xf>
    <xf numFmtId="3" fontId="72" fillId="0" borderId="221"/>
    <xf numFmtId="327" fontId="52" fillId="0" borderId="356" applyFill="0" applyAlignment="0" applyProtection="0"/>
    <xf numFmtId="0" fontId="2" fillId="0" borderId="317" applyNumberFormat="0" applyFont="0" applyFill="0" applyAlignment="0" applyProtection="0"/>
    <xf numFmtId="0" fontId="2" fillId="0" borderId="320" applyNumberFormat="0" applyFont="0" applyFill="0" applyAlignment="0" applyProtection="0"/>
    <xf numFmtId="0" fontId="69" fillId="0" borderId="311"/>
    <xf numFmtId="0" fontId="175" fillId="27" borderId="329" applyNumberFormat="0" applyAlignment="0" applyProtection="0"/>
    <xf numFmtId="0" fontId="14" fillId="35" borderId="221"/>
    <xf numFmtId="0" fontId="132" fillId="50" borderId="328" applyNumberFormat="0" applyAlignment="0" applyProtection="0"/>
    <xf numFmtId="3" fontId="60" fillId="54" borderId="353" applyNumberFormat="0" applyFill="0" applyBorder="0" applyProtection="0">
      <alignment horizontal="left"/>
    </xf>
    <xf numFmtId="0" fontId="132" fillId="50" borderId="328" applyNumberFormat="0" applyAlignment="0" applyProtection="0"/>
    <xf numFmtId="0" fontId="132" fillId="50" borderId="328" applyNumberFormat="0" applyAlignment="0" applyProtection="0"/>
    <xf numFmtId="0" fontId="132" fillId="50" borderId="328" applyNumberFormat="0" applyAlignment="0" applyProtection="0"/>
    <xf numFmtId="0" fontId="54" fillId="56" borderId="327" applyNumberFormat="0" applyAlignment="0">
      <alignment horizontal="center"/>
    </xf>
    <xf numFmtId="0" fontId="2" fillId="0" borderId="323" applyNumberFormat="0" applyFont="0" applyFill="0" applyAlignment="0" applyProtection="0"/>
    <xf numFmtId="0" fontId="2" fillId="0" borderId="320" applyNumberFormat="0"/>
    <xf numFmtId="0" fontId="132" fillId="50" borderId="328" applyNumberFormat="0" applyAlignment="0" applyProtection="0"/>
    <xf numFmtId="0" fontId="175" fillId="27" borderId="329" applyNumberFormat="0" applyAlignment="0" applyProtection="0"/>
    <xf numFmtId="0" fontId="132" fillId="50" borderId="328" applyNumberFormat="0" applyAlignment="0" applyProtection="0"/>
    <xf numFmtId="4" fontId="99" fillId="26" borderId="325" applyBorder="0"/>
    <xf numFmtId="4" fontId="99" fillId="27" borderId="325" applyBorder="0"/>
    <xf numFmtId="4" fontId="99" fillId="26" borderId="325" applyBorder="0"/>
    <xf numFmtId="4" fontId="99" fillId="27" borderId="325" applyBorder="0"/>
    <xf numFmtId="0" fontId="139" fillId="50" borderId="329" applyNumberFormat="0" applyAlignment="0" applyProtection="0"/>
    <xf numFmtId="4" fontId="99" fillId="26" borderId="325" applyBorder="0"/>
    <xf numFmtId="4" fontId="99" fillId="27" borderId="325" applyBorder="0"/>
    <xf numFmtId="4" fontId="99" fillId="26" borderId="325" applyBorder="0"/>
    <xf numFmtId="4" fontId="99" fillId="27" borderId="325" applyBorder="0"/>
    <xf numFmtId="0" fontId="175" fillId="27" borderId="329" applyNumberFormat="0" applyAlignment="0" applyProtection="0"/>
    <xf numFmtId="0" fontId="175" fillId="27" borderId="329" applyNumberFormat="0" applyAlignment="0" applyProtection="0"/>
    <xf numFmtId="0" fontId="2" fillId="14" borderId="221" applyNumberFormat="0" applyAlignment="0"/>
    <xf numFmtId="320" fontId="2" fillId="0" borderId="221" applyFont="0" applyFill="0" applyBorder="0" applyAlignment="0" applyProtection="0"/>
    <xf numFmtId="0" fontId="132" fillId="50" borderId="328" applyNumberFormat="0" applyAlignment="0" applyProtection="0"/>
    <xf numFmtId="0" fontId="2" fillId="0" borderId="322" applyNumberFormat="0" applyFont="0" applyFill="0" applyAlignment="0" applyProtection="0"/>
    <xf numFmtId="0" fontId="2" fillId="0" borderId="317" applyNumberFormat="0" applyFont="0" applyFill="0" applyAlignment="0" applyProtection="0"/>
    <xf numFmtId="260" fontId="2" fillId="48" borderId="327" applyProtection="0">
      <alignment horizontal="right"/>
      <protection locked="0"/>
    </xf>
    <xf numFmtId="262" fontId="2" fillId="48" borderId="327" applyProtection="0">
      <alignment horizontal="right"/>
    </xf>
    <xf numFmtId="263" fontId="2" fillId="48" borderId="327" applyProtection="0">
      <alignment horizontal="right"/>
    </xf>
    <xf numFmtId="265" fontId="2" fillId="48" borderId="327" applyProtection="0">
      <alignment horizontal="right"/>
    </xf>
    <xf numFmtId="0" fontId="106" fillId="0" borderId="308" applyNumberFormat="0" applyFill="0" applyAlignment="0" applyProtection="0"/>
    <xf numFmtId="3" fontId="36" fillId="0" borderId="327"/>
    <xf numFmtId="3" fontId="2" fillId="0" borderId="327"/>
    <xf numFmtId="3" fontId="2" fillId="0" borderId="327"/>
    <xf numFmtId="3" fontId="2" fillId="0" borderId="327"/>
    <xf numFmtId="0" fontId="54" fillId="0" borderId="327">
      <alignment horizontal="left" wrapText="1"/>
    </xf>
    <xf numFmtId="49" fontId="90" fillId="14" borderId="327">
      <alignment horizontal="center" vertical="center" wrapText="1"/>
    </xf>
    <xf numFmtId="10" fontId="57" fillId="2" borderId="327" applyNumberFormat="0" applyBorder="0" applyAlignment="0" applyProtection="0"/>
    <xf numFmtId="0" fontId="2" fillId="0" borderId="327" applyNumberFormat="0">
      <alignment horizontal="left" wrapText="1"/>
      <protection locked="0"/>
    </xf>
    <xf numFmtId="0" fontId="2" fillId="56" borderId="327" applyNumberFormat="0" applyProtection="0">
      <alignment vertical="center" wrapText="1"/>
    </xf>
    <xf numFmtId="0" fontId="2" fillId="14" borderId="327" applyNumberFormat="0" applyAlignment="0"/>
    <xf numFmtId="0" fontId="2" fillId="59" borderId="327" applyNumberFormat="0" applyFont="0" applyBorder="0" applyAlignment="0" applyProtection="0"/>
    <xf numFmtId="0" fontId="106" fillId="0" borderId="308" applyNumberFormat="0" applyFill="0" applyAlignment="0" applyProtection="0"/>
    <xf numFmtId="0" fontId="132" fillId="50" borderId="328" applyNumberFormat="0" applyAlignment="0" applyProtection="0"/>
    <xf numFmtId="327" fontId="52" fillId="0" borderId="352" applyFill="0" applyAlignment="0" applyProtection="0"/>
    <xf numFmtId="327" fontId="52" fillId="0" borderId="352" applyFill="0" applyAlignment="0" applyProtection="0"/>
    <xf numFmtId="0" fontId="2" fillId="0" borderId="323" applyNumberFormat="0" applyFont="0" applyFill="0" applyAlignment="0" applyProtection="0"/>
    <xf numFmtId="0" fontId="2" fillId="0" borderId="327" applyNumberFormat="0" applyFont="0" applyFill="0" applyProtection="0">
      <alignment horizontal="center"/>
    </xf>
    <xf numFmtId="0" fontId="132" fillId="50" borderId="328" applyNumberFormat="0" applyAlignment="0" applyProtection="0"/>
    <xf numFmtId="0" fontId="106" fillId="0" borderId="308" applyNumberFormat="0" applyFill="0" applyAlignment="0" applyProtection="0"/>
    <xf numFmtId="0" fontId="106" fillId="0" borderId="308" applyNumberFormat="0" applyFill="0" applyAlignment="0" applyProtection="0"/>
    <xf numFmtId="0" fontId="106" fillId="0" borderId="308" applyNumberFormat="0" applyFill="0" applyAlignment="0" applyProtection="0"/>
    <xf numFmtId="0" fontId="106" fillId="0" borderId="308" applyNumberFormat="0" applyFill="0" applyAlignment="0" applyProtection="0"/>
    <xf numFmtId="0" fontId="106" fillId="0" borderId="308" applyNumberFormat="0" applyFill="0" applyAlignment="0" applyProtection="0"/>
    <xf numFmtId="0" fontId="106" fillId="0" borderId="308" applyNumberFormat="0" applyFill="0" applyAlignment="0" applyProtection="0"/>
    <xf numFmtId="0" fontId="106" fillId="0" borderId="308" applyNumberFormat="0" applyFill="0" applyAlignment="0" applyProtection="0"/>
    <xf numFmtId="0" fontId="106" fillId="0" borderId="308" applyNumberFormat="0" applyFill="0" applyAlignment="0" applyProtection="0"/>
    <xf numFmtId="0" fontId="106" fillId="0" borderId="308" applyNumberFormat="0" applyFill="0" applyAlignment="0" applyProtection="0"/>
    <xf numFmtId="0" fontId="106" fillId="0" borderId="308" applyNumberFormat="0" applyFill="0" applyAlignment="0" applyProtection="0"/>
    <xf numFmtId="0" fontId="106" fillId="0" borderId="308" applyNumberFormat="0" applyFill="0" applyAlignment="0" applyProtection="0"/>
    <xf numFmtId="0" fontId="106" fillId="0" borderId="308" applyNumberFormat="0" applyFill="0" applyAlignment="0" applyProtection="0"/>
    <xf numFmtId="3" fontId="60" fillId="54" borderId="381" applyNumberFormat="0" applyFill="0" applyBorder="0" applyProtection="0">
      <alignment horizontal="left"/>
    </xf>
    <xf numFmtId="4" fontId="99" fillId="26" borderId="325" applyBorder="0"/>
    <xf numFmtId="4" fontId="99" fillId="27" borderId="325" applyBorder="0"/>
    <xf numFmtId="4" fontId="99" fillId="26" borderId="325" applyBorder="0"/>
    <xf numFmtId="4" fontId="99" fillId="27" borderId="325" applyBorder="0"/>
    <xf numFmtId="0" fontId="132" fillId="50" borderId="328" applyNumberFormat="0" applyAlignment="0" applyProtection="0"/>
    <xf numFmtId="327" fontId="52" fillId="0" borderId="380" applyFill="0" applyAlignment="0" applyProtection="0"/>
    <xf numFmtId="258" fontId="2" fillId="48" borderId="221" applyProtection="0">
      <alignment horizontal="right"/>
    </xf>
    <xf numFmtId="259" fontId="2" fillId="48" borderId="221" applyProtection="0">
      <alignment horizontal="right"/>
      <protection locked="0"/>
    </xf>
    <xf numFmtId="260" fontId="2" fillId="48" borderId="221" applyProtection="0">
      <alignment horizontal="right"/>
      <protection locked="0"/>
    </xf>
    <xf numFmtId="214" fontId="2" fillId="48" borderId="221" applyProtection="0">
      <alignment horizontal="right"/>
      <protection locked="0"/>
    </xf>
    <xf numFmtId="261" fontId="2" fillId="48" borderId="221" applyProtection="0">
      <alignment horizontal="right"/>
    </xf>
    <xf numFmtId="262" fontId="2" fillId="48" borderId="221" applyProtection="0">
      <alignment horizontal="right"/>
    </xf>
    <xf numFmtId="263" fontId="2" fillId="48" borderId="221" applyProtection="0">
      <alignment horizontal="right"/>
    </xf>
    <xf numFmtId="214" fontId="2" fillId="48" borderId="221" applyProtection="0">
      <alignment horizontal="right"/>
    </xf>
    <xf numFmtId="264" fontId="2" fillId="48" borderId="221" applyProtection="0">
      <alignment horizontal="right"/>
    </xf>
    <xf numFmtId="265" fontId="2" fillId="48" borderId="221" applyProtection="0">
      <alignment horizontal="right"/>
    </xf>
    <xf numFmtId="327" fontId="52" fillId="0" borderId="368" applyFill="0" applyAlignment="0" applyProtection="0"/>
    <xf numFmtId="3" fontId="36" fillId="0" borderId="221"/>
    <xf numFmtId="3" fontId="2" fillId="0" borderId="221"/>
    <xf numFmtId="0" fontId="2" fillId="0" borderId="221" applyNumberFormat="0">
      <alignment horizontal="left" wrapText="1"/>
      <protection locked="0"/>
    </xf>
    <xf numFmtId="0" fontId="2" fillId="59" borderId="221" applyNumberFormat="0" applyFont="0" applyBorder="0" applyAlignment="0" applyProtection="0"/>
    <xf numFmtId="3" fontId="60" fillId="54" borderId="377" applyNumberFormat="0" applyFill="0" applyBorder="0" applyProtection="0">
      <alignment horizontal="left"/>
    </xf>
    <xf numFmtId="0" fontId="54" fillId="11" borderId="378">
      <alignment vertical="top" wrapText="1"/>
    </xf>
    <xf numFmtId="4" fontId="60" fillId="54" borderId="377" applyNumberFormat="0" applyProtection="0">
      <alignment horizontal="right" wrapText="1"/>
    </xf>
    <xf numFmtId="0" fontId="132" fillId="50" borderId="328" applyNumberFormat="0" applyAlignment="0" applyProtection="0"/>
    <xf numFmtId="0" fontId="2" fillId="0" borderId="221" applyNumberFormat="0" applyFont="0" applyFill="0" applyProtection="0">
      <alignment horizontal="center"/>
    </xf>
    <xf numFmtId="4" fontId="99" fillId="26" borderId="325" applyBorder="0"/>
    <xf numFmtId="4" fontId="99" fillId="27" borderId="325" applyBorder="0"/>
    <xf numFmtId="4" fontId="99" fillId="26" borderId="325" applyBorder="0"/>
    <xf numFmtId="4" fontId="99" fillId="27" borderId="325" applyBorder="0"/>
    <xf numFmtId="0" fontId="106" fillId="0" borderId="308" applyNumberFormat="0" applyFill="0" applyAlignment="0" applyProtection="0"/>
    <xf numFmtId="0" fontId="106" fillId="0" borderId="308" applyNumberFormat="0" applyFill="0" applyAlignment="0" applyProtection="0"/>
    <xf numFmtId="0" fontId="106" fillId="0" borderId="308" applyNumberFormat="0" applyFill="0" applyAlignment="0" applyProtection="0"/>
    <xf numFmtId="0" fontId="106" fillId="0" borderId="308" applyNumberFormat="0" applyFill="0" applyAlignment="0" applyProtection="0"/>
    <xf numFmtId="0" fontId="106" fillId="0" borderId="308" applyNumberFormat="0" applyFill="0" applyAlignment="0" applyProtection="0"/>
    <xf numFmtId="0" fontId="106" fillId="0" borderId="308" applyNumberFormat="0" applyFill="0" applyAlignment="0" applyProtection="0"/>
    <xf numFmtId="4" fontId="99" fillId="26" borderId="325" applyBorder="0"/>
    <xf numFmtId="4" fontId="99" fillId="27" borderId="325" applyBorder="0"/>
    <xf numFmtId="4" fontId="99" fillId="26" borderId="325" applyBorder="0"/>
    <xf numFmtId="4" fontId="99" fillId="27" borderId="325" applyBorder="0"/>
    <xf numFmtId="0" fontId="57" fillId="0" borderId="326" applyNumberFormat="0" applyFill="0" applyAlignment="0" applyProtection="0"/>
    <xf numFmtId="258" fontId="2" fillId="48" borderId="327" applyProtection="0">
      <alignment horizontal="right"/>
    </xf>
    <xf numFmtId="259" fontId="2" fillId="48" borderId="327" applyProtection="0">
      <alignment horizontal="right"/>
      <protection locked="0"/>
    </xf>
    <xf numFmtId="260" fontId="2" fillId="48" borderId="327" applyProtection="0">
      <alignment horizontal="right"/>
      <protection locked="0"/>
    </xf>
    <xf numFmtId="214" fontId="2" fillId="48" borderId="327" applyProtection="0">
      <alignment horizontal="right"/>
      <protection locked="0"/>
    </xf>
    <xf numFmtId="261" fontId="2" fillId="48" borderId="327" applyProtection="0">
      <alignment horizontal="right"/>
    </xf>
    <xf numFmtId="262" fontId="2" fillId="48" borderId="327" applyProtection="0">
      <alignment horizontal="right"/>
    </xf>
    <xf numFmtId="263" fontId="2" fillId="48" borderId="327" applyProtection="0">
      <alignment horizontal="right"/>
    </xf>
    <xf numFmtId="214" fontId="2" fillId="48" borderId="327" applyProtection="0">
      <alignment horizontal="right"/>
    </xf>
    <xf numFmtId="264" fontId="2" fillId="48" borderId="327" applyProtection="0">
      <alignment horizontal="right"/>
    </xf>
    <xf numFmtId="265" fontId="2" fillId="48" borderId="327" applyProtection="0">
      <alignment horizontal="right"/>
    </xf>
    <xf numFmtId="0" fontId="132" fillId="50" borderId="328" applyNumberFormat="0" applyAlignment="0" applyProtection="0"/>
    <xf numFmtId="0" fontId="139" fillId="50" borderId="329" applyNumberFormat="0" applyAlignment="0" applyProtection="0"/>
    <xf numFmtId="0" fontId="130" fillId="0" borderId="309" applyFont="0" applyFill="0" applyBorder="0" applyAlignment="0" applyProtection="0">
      <alignment horizontal="center" vertical="center"/>
    </xf>
    <xf numFmtId="0" fontId="57" fillId="0" borderId="326" applyNumberFormat="0" applyFill="0" applyAlignment="0" applyProtection="0"/>
    <xf numFmtId="258" fontId="2" fillId="48" borderId="221" applyProtection="0">
      <alignment horizontal="right"/>
    </xf>
    <xf numFmtId="259" fontId="2" fillId="48" borderId="221" applyProtection="0">
      <alignment horizontal="right"/>
      <protection locked="0"/>
    </xf>
    <xf numFmtId="260" fontId="2" fillId="48" borderId="221" applyProtection="0">
      <alignment horizontal="right"/>
      <protection locked="0"/>
    </xf>
    <xf numFmtId="214" fontId="2" fillId="48" borderId="221" applyProtection="0">
      <alignment horizontal="right"/>
      <protection locked="0"/>
    </xf>
    <xf numFmtId="261" fontId="2" fillId="48" borderId="221" applyProtection="0">
      <alignment horizontal="right"/>
    </xf>
    <xf numFmtId="262" fontId="2" fillId="48" borderId="221" applyProtection="0">
      <alignment horizontal="right"/>
    </xf>
    <xf numFmtId="263" fontId="2" fillId="48" borderId="221" applyProtection="0">
      <alignment horizontal="right"/>
    </xf>
    <xf numFmtId="214" fontId="2" fillId="48" borderId="221" applyProtection="0">
      <alignment horizontal="right"/>
    </xf>
    <xf numFmtId="264" fontId="2" fillId="48" borderId="221" applyProtection="0">
      <alignment horizontal="right"/>
    </xf>
    <xf numFmtId="265" fontId="2" fillId="48" borderId="221" applyProtection="0">
      <alignment horizontal="right"/>
    </xf>
    <xf numFmtId="0" fontId="106" fillId="0" borderId="308" applyNumberFormat="0" applyFill="0" applyAlignment="0" applyProtection="0"/>
    <xf numFmtId="0" fontId="106" fillId="0" borderId="308" applyNumberFormat="0" applyFill="0" applyAlignment="0" applyProtection="0"/>
    <xf numFmtId="0" fontId="106" fillId="0" borderId="308" applyNumberFormat="0" applyFill="0" applyAlignment="0" applyProtection="0"/>
    <xf numFmtId="0" fontId="106" fillId="0" borderId="308" applyNumberFormat="0" applyFill="0" applyAlignment="0" applyProtection="0"/>
    <xf numFmtId="0" fontId="106" fillId="0" borderId="308" applyNumberFormat="0" applyFill="0" applyAlignment="0" applyProtection="0"/>
    <xf numFmtId="0" fontId="106" fillId="0" borderId="308" applyNumberFormat="0" applyFill="0" applyAlignment="0" applyProtection="0"/>
    <xf numFmtId="0" fontId="130" fillId="0" borderId="309" applyFont="0" applyFill="0" applyBorder="0" applyAlignment="0" applyProtection="0">
      <alignment horizontal="center" vertical="center"/>
    </xf>
    <xf numFmtId="0" fontId="106" fillId="0" borderId="308" applyNumberFormat="0" applyFill="0" applyAlignment="0" applyProtection="0"/>
    <xf numFmtId="0" fontId="139" fillId="50" borderId="329" applyNumberFormat="0" applyAlignment="0" applyProtection="0"/>
    <xf numFmtId="3" fontId="2" fillId="0" borderId="327"/>
    <xf numFmtId="3" fontId="36" fillId="0" borderId="327"/>
    <xf numFmtId="3" fontId="2" fillId="0" borderId="327"/>
    <xf numFmtId="3" fontId="2" fillId="0" borderId="327"/>
    <xf numFmtId="3" fontId="2" fillId="0" borderId="327"/>
    <xf numFmtId="3" fontId="2" fillId="0" borderId="327"/>
    <xf numFmtId="3" fontId="2" fillId="0" borderId="327"/>
    <xf numFmtId="0" fontId="54" fillId="0" borderId="327">
      <alignment horizontal="left" wrapText="1"/>
    </xf>
    <xf numFmtId="49" fontId="90" fillId="14" borderId="327">
      <alignment horizontal="center" vertical="center" wrapText="1"/>
    </xf>
    <xf numFmtId="3" fontId="36" fillId="0" borderId="221"/>
    <xf numFmtId="3" fontId="2" fillId="0" borderId="221"/>
    <xf numFmtId="3" fontId="2" fillId="0" borderId="221"/>
    <xf numFmtId="0" fontId="106" fillId="0" borderId="308" applyNumberFormat="0" applyFill="0" applyAlignment="0" applyProtection="0"/>
    <xf numFmtId="0" fontId="130" fillId="0" borderId="309" applyFont="0" applyFill="0" applyBorder="0" applyAlignment="0" applyProtection="0">
      <alignment horizontal="center" vertical="center"/>
    </xf>
    <xf numFmtId="0" fontId="106" fillId="0" borderId="308" applyNumberFormat="0" applyFill="0" applyAlignment="0" applyProtection="0"/>
    <xf numFmtId="0" fontId="57" fillId="0" borderId="326" applyNumberFormat="0" applyFill="0" applyAlignment="0" applyProtection="0"/>
    <xf numFmtId="258" fontId="2" fillId="48" borderId="221" applyProtection="0">
      <alignment horizontal="right"/>
    </xf>
    <xf numFmtId="259" fontId="2" fillId="48" borderId="221" applyProtection="0">
      <alignment horizontal="right"/>
      <protection locked="0"/>
    </xf>
    <xf numFmtId="260" fontId="2" fillId="48" borderId="221" applyProtection="0">
      <alignment horizontal="right"/>
      <protection locked="0"/>
    </xf>
    <xf numFmtId="214" fontId="2" fillId="48" borderId="221" applyProtection="0">
      <alignment horizontal="right"/>
      <protection locked="0"/>
    </xf>
    <xf numFmtId="261" fontId="2" fillId="48" borderId="221" applyProtection="0">
      <alignment horizontal="right"/>
    </xf>
    <xf numFmtId="0" fontId="54" fillId="0" borderId="221">
      <alignment horizontal="left" wrapText="1"/>
    </xf>
    <xf numFmtId="0" fontId="132" fillId="50" borderId="328" applyNumberFormat="0" applyAlignment="0" applyProtection="0"/>
    <xf numFmtId="182" fontId="167" fillId="0" borderId="310">
      <protection locked="0"/>
    </xf>
    <xf numFmtId="0" fontId="139" fillId="50" borderId="329" applyNumberFormat="0" applyAlignment="0" applyProtection="0"/>
    <xf numFmtId="0" fontId="130" fillId="0" borderId="309" applyFont="0" applyFill="0" applyBorder="0" applyAlignment="0" applyProtection="0">
      <alignment horizontal="center" vertical="center"/>
    </xf>
    <xf numFmtId="0" fontId="57" fillId="0" borderId="326" applyNumberFormat="0" applyFill="0" applyAlignment="0" applyProtection="0"/>
    <xf numFmtId="37" fontId="69" fillId="0" borderId="311"/>
    <xf numFmtId="0" fontId="175" fillId="27" borderId="329" applyNumberFormat="0" applyAlignment="0" applyProtection="0"/>
    <xf numFmtId="0" fontId="132" fillId="50" borderId="328" applyNumberFormat="0" applyAlignment="0" applyProtection="0"/>
    <xf numFmtId="0" fontId="139" fillId="50" borderId="329" applyNumberFormat="0" applyAlignment="0" applyProtection="0"/>
    <xf numFmtId="0" fontId="178" fillId="0" borderId="312" applyNumberFormat="0" applyFill="0" applyAlignment="0" applyProtection="0"/>
    <xf numFmtId="3" fontId="2" fillId="0" borderId="221"/>
    <xf numFmtId="3" fontId="2" fillId="0" borderId="221"/>
    <xf numFmtId="0" fontId="14" fillId="0" borderId="313" applyBorder="0"/>
    <xf numFmtId="0" fontId="156" fillId="0" borderId="313">
      <alignment horizontal="left" vertical="center"/>
    </xf>
    <xf numFmtId="10" fontId="57" fillId="2" borderId="327" applyNumberFormat="0" applyBorder="0" applyAlignment="0" applyProtection="0"/>
    <xf numFmtId="0" fontId="175" fillId="27" borderId="329" applyNumberFormat="0" applyAlignment="0" applyProtection="0"/>
    <xf numFmtId="0" fontId="2" fillId="0" borderId="327" applyNumberFormat="0">
      <alignment horizontal="left" wrapText="1"/>
      <protection locked="0"/>
    </xf>
    <xf numFmtId="0" fontId="197" fillId="0" borderId="314" applyNumberFormat="0" applyFill="0" applyAlignment="0" applyProtection="0"/>
    <xf numFmtId="0" fontId="2" fillId="56" borderId="327" applyNumberFormat="0" applyProtection="0">
      <alignment vertical="center" wrapText="1"/>
    </xf>
    <xf numFmtId="0" fontId="139" fillId="50" borderId="329" applyNumberFormat="0" applyAlignment="0" applyProtection="0"/>
    <xf numFmtId="0" fontId="130" fillId="0" borderId="309" applyFont="0" applyFill="0" applyBorder="0" applyAlignment="0" applyProtection="0">
      <alignment horizontal="center" vertical="center"/>
    </xf>
    <xf numFmtId="0" fontId="175" fillId="27" borderId="329" applyNumberFormat="0" applyAlignment="0" applyProtection="0"/>
    <xf numFmtId="0" fontId="2" fillId="0" borderId="221" applyNumberFormat="0">
      <alignment horizontal="left" wrapText="1"/>
      <protection locked="0"/>
    </xf>
    <xf numFmtId="0" fontId="2" fillId="14" borderId="327" applyNumberFormat="0" applyAlignment="0"/>
    <xf numFmtId="0" fontId="197" fillId="0" borderId="314" applyNumberFormat="0" applyFill="0" applyAlignment="0" applyProtection="0"/>
    <xf numFmtId="0" fontId="2" fillId="56" borderId="221" applyNumberFormat="0" applyProtection="0">
      <alignment vertical="center" wrapText="1"/>
    </xf>
    <xf numFmtId="0" fontId="175" fillId="27" borderId="329" applyNumberFormat="0" applyAlignment="0" applyProtection="0"/>
    <xf numFmtId="0" fontId="178" fillId="0" borderId="312" applyNumberFormat="0" applyFill="0" applyAlignment="0" applyProtection="0"/>
    <xf numFmtId="0" fontId="2" fillId="59" borderId="327" applyNumberFormat="0" applyFont="0" applyBorder="0" applyAlignment="0" applyProtection="0"/>
    <xf numFmtId="0" fontId="216" fillId="60" borderId="315" applyNumberFormat="0" applyFont="0" applyAlignment="0" applyProtection="0"/>
    <xf numFmtId="0" fontId="91" fillId="60" borderId="315" applyNumberFormat="0" applyFont="0" applyAlignment="0" applyProtection="0"/>
    <xf numFmtId="0" fontId="132" fillId="50" borderId="328" applyNumberFormat="0" applyAlignment="0" applyProtection="0"/>
    <xf numFmtId="320" fontId="2" fillId="0" borderId="221" applyFont="0" applyFill="0" applyBorder="0" applyAlignment="0" applyProtection="0"/>
    <xf numFmtId="0" fontId="216" fillId="60" borderId="315" applyNumberFormat="0" applyFont="0" applyAlignment="0" applyProtection="0"/>
    <xf numFmtId="0" fontId="91" fillId="60" borderId="315" applyNumberFormat="0" applyFont="0" applyAlignment="0" applyProtection="0"/>
    <xf numFmtId="320" fontId="2" fillId="0" borderId="327" applyFont="0" applyFill="0" applyBorder="0" applyAlignment="0" applyProtection="0"/>
    <xf numFmtId="320" fontId="2" fillId="0" borderId="221" applyFont="0" applyFill="0" applyBorder="0" applyAlignment="0" applyProtection="0"/>
    <xf numFmtId="3" fontId="60" fillId="54" borderId="333" applyNumberFormat="0" applyFill="0" applyBorder="0" applyProtection="0">
      <alignment horizontal="left"/>
    </xf>
    <xf numFmtId="320" fontId="2" fillId="0" borderId="221" applyFont="0" applyFill="0" applyBorder="0" applyAlignment="0" applyProtection="0"/>
    <xf numFmtId="0" fontId="175" fillId="27" borderId="329" applyNumberFormat="0" applyAlignment="0" applyProtection="0"/>
    <xf numFmtId="320" fontId="2" fillId="0" borderId="327" applyFont="0" applyFill="0" applyBorder="0" applyAlignment="0" applyProtection="0"/>
    <xf numFmtId="0" fontId="132" fillId="50" borderId="328" applyNumberFormat="0" applyAlignment="0" applyProtection="0"/>
    <xf numFmtId="0" fontId="2" fillId="59" borderId="221" applyNumberFormat="0" applyFont="0" applyBorder="0" applyAlignment="0" applyProtection="0"/>
    <xf numFmtId="0" fontId="132" fillId="50" borderId="328" applyNumberFormat="0" applyAlignment="0" applyProtection="0"/>
    <xf numFmtId="0" fontId="91" fillId="60" borderId="315" applyNumberFormat="0" applyFont="0" applyAlignment="0" applyProtection="0"/>
    <xf numFmtId="0" fontId="216" fillId="60" borderId="315" applyNumberFormat="0" applyFont="0" applyAlignment="0" applyProtection="0"/>
    <xf numFmtId="0" fontId="2" fillId="59" borderId="327" applyNumberFormat="0" applyFont="0" applyBorder="0" applyAlignment="0" applyProtection="0"/>
    <xf numFmtId="0" fontId="175" fillId="27" borderId="329" applyNumberFormat="0" applyAlignment="0" applyProtection="0"/>
    <xf numFmtId="0" fontId="2" fillId="14" borderId="221" applyNumberFormat="0" applyAlignment="0"/>
    <xf numFmtId="0" fontId="2" fillId="56" borderId="221" applyNumberFormat="0" applyProtection="0">
      <alignment vertical="center" wrapText="1"/>
    </xf>
    <xf numFmtId="0" fontId="2" fillId="0" borderId="221" applyNumberFormat="0">
      <alignment horizontal="left" wrapText="1"/>
      <protection locked="0"/>
    </xf>
    <xf numFmtId="10" fontId="57" fillId="2" borderId="221" applyNumberFormat="0" applyBorder="0" applyAlignment="0" applyProtection="0"/>
    <xf numFmtId="0" fontId="2" fillId="14" borderId="327" applyNumberFormat="0" applyAlignment="0"/>
    <xf numFmtId="0" fontId="139" fillId="50" borderId="329" applyNumberFormat="0" applyAlignment="0" applyProtection="0"/>
    <xf numFmtId="0" fontId="106" fillId="0" borderId="308" applyNumberFormat="0" applyFill="0" applyAlignment="0" applyProtection="0"/>
    <xf numFmtId="0" fontId="156" fillId="0" borderId="335" applyNumberFormat="0" applyAlignment="0" applyProtection="0">
      <alignment horizontal="left" vertical="center"/>
    </xf>
    <xf numFmtId="0" fontId="2" fillId="56" borderId="327" applyNumberFormat="0" applyProtection="0">
      <alignment vertical="center" wrapText="1"/>
    </xf>
    <xf numFmtId="0" fontId="197" fillId="0" borderId="314" applyNumberFormat="0" applyFill="0" applyAlignment="0" applyProtection="0"/>
    <xf numFmtId="0" fontId="2" fillId="0" borderId="327" applyNumberFormat="0">
      <alignment horizontal="left" wrapText="1"/>
      <protection locked="0"/>
    </xf>
    <xf numFmtId="0" fontId="175" fillId="27" borderId="329" applyNumberFormat="0" applyAlignment="0" applyProtection="0"/>
    <xf numFmtId="10" fontId="57" fillId="2" borderId="327" applyNumberFormat="0" applyBorder="0" applyAlignment="0" applyProtection="0"/>
    <xf numFmtId="0" fontId="175" fillId="27" borderId="329" applyNumberFormat="0" applyAlignment="0" applyProtection="0"/>
    <xf numFmtId="0" fontId="156" fillId="0" borderId="313">
      <alignment horizontal="left" vertical="center"/>
    </xf>
    <xf numFmtId="0" fontId="14" fillId="35" borderId="327"/>
    <xf numFmtId="0" fontId="14" fillId="0" borderId="313" applyBorder="0"/>
    <xf numFmtId="0" fontId="178" fillId="0" borderId="312" applyNumberFormat="0" applyFill="0" applyAlignment="0" applyProtection="0"/>
    <xf numFmtId="0" fontId="106" fillId="0" borderId="308" applyNumberFormat="0" applyFill="0" applyAlignment="0" applyProtection="0"/>
    <xf numFmtId="0" fontId="175" fillId="27" borderId="329" applyNumberFormat="0" applyAlignment="0" applyProtection="0"/>
    <xf numFmtId="0" fontId="106" fillId="0" borderId="308" applyNumberFormat="0" applyFill="0" applyAlignment="0" applyProtection="0"/>
    <xf numFmtId="37" fontId="69" fillId="0" borderId="311"/>
    <xf numFmtId="0" fontId="139" fillId="50" borderId="329" applyNumberFormat="0" applyAlignment="0" applyProtection="0"/>
    <xf numFmtId="182" fontId="167" fillId="0" borderId="310">
      <protection locked="0"/>
    </xf>
    <xf numFmtId="0" fontId="54" fillId="0" borderId="221">
      <alignment horizontal="left" wrapText="1"/>
    </xf>
    <xf numFmtId="4" fontId="60" fillId="54" borderId="333" applyNumberFormat="0" applyProtection="0">
      <alignment horizontal="right" wrapText="1"/>
    </xf>
    <xf numFmtId="4" fontId="60" fillId="54" borderId="381" applyNumberFormat="0" applyProtection="0">
      <alignment horizontal="right" wrapText="1"/>
    </xf>
    <xf numFmtId="3" fontId="2" fillId="0" borderId="221"/>
    <xf numFmtId="3" fontId="2" fillId="0" borderId="221"/>
    <xf numFmtId="3" fontId="2" fillId="0" borderId="221"/>
    <xf numFmtId="3" fontId="36" fillId="0" borderId="221"/>
    <xf numFmtId="0" fontId="54" fillId="11" borderId="382">
      <alignment vertical="top" wrapText="1"/>
    </xf>
    <xf numFmtId="0" fontId="156" fillId="0" borderId="383" applyNumberFormat="0" applyAlignment="0" applyProtection="0">
      <alignment horizontal="left" vertical="center"/>
    </xf>
    <xf numFmtId="327" fontId="52" fillId="0" borderId="372" applyFill="0" applyAlignment="0" applyProtection="0"/>
    <xf numFmtId="327" fontId="52" fillId="0" borderId="372" applyFill="0" applyAlignment="0" applyProtection="0"/>
    <xf numFmtId="3" fontId="60" fillId="54" borderId="381" applyNumberFormat="0" applyFill="0" applyBorder="0" applyProtection="0">
      <alignment horizontal="left"/>
    </xf>
    <xf numFmtId="49" fontId="90" fillId="14" borderId="327">
      <alignment horizontal="center" vertical="center" wrapText="1"/>
    </xf>
    <xf numFmtId="0" fontId="54" fillId="0" borderId="327">
      <alignment horizontal="left" wrapText="1"/>
    </xf>
    <xf numFmtId="3" fontId="2" fillId="0" borderId="327"/>
    <xf numFmtId="3" fontId="2" fillId="0" borderId="327"/>
    <xf numFmtId="3" fontId="2" fillId="0" borderId="327"/>
    <xf numFmtId="3" fontId="2" fillId="0" borderId="327"/>
    <xf numFmtId="3" fontId="2" fillId="0" borderId="327"/>
    <xf numFmtId="3" fontId="36" fillId="0" borderId="327"/>
    <xf numFmtId="3" fontId="2" fillId="0" borderId="327"/>
    <xf numFmtId="0" fontId="139" fillId="50" borderId="329" applyNumberFormat="0" applyAlignment="0" applyProtection="0"/>
    <xf numFmtId="327" fontId="52" fillId="0" borderId="380" applyFill="0" applyAlignment="0" applyProtection="0"/>
    <xf numFmtId="0" fontId="130" fillId="0" borderId="309" applyFont="0" applyFill="0" applyBorder="0" applyAlignment="0" applyProtection="0">
      <alignment horizontal="center" vertical="center"/>
    </xf>
    <xf numFmtId="0" fontId="106" fillId="0" borderId="308" applyNumberFormat="0" applyFill="0" applyAlignment="0" applyProtection="0"/>
    <xf numFmtId="0" fontId="106" fillId="0" borderId="308" applyNumberFormat="0" applyFill="0" applyAlignment="0" applyProtection="0"/>
    <xf numFmtId="0" fontId="106" fillId="0" borderId="308" applyNumberFormat="0" applyFill="0" applyAlignment="0" applyProtection="0"/>
    <xf numFmtId="0" fontId="106" fillId="0" borderId="308" applyNumberFormat="0" applyFill="0" applyAlignment="0" applyProtection="0"/>
    <xf numFmtId="0" fontId="106" fillId="0" borderId="308" applyNumberFormat="0" applyFill="0" applyAlignment="0" applyProtection="0"/>
    <xf numFmtId="0" fontId="106" fillId="0" borderId="308" applyNumberFormat="0" applyFill="0" applyAlignment="0" applyProtection="0"/>
    <xf numFmtId="0" fontId="139" fillId="50" borderId="329" applyNumberFormat="0" applyAlignment="0" applyProtection="0"/>
    <xf numFmtId="0" fontId="132" fillId="50" borderId="328" applyNumberFormat="0" applyAlignment="0" applyProtection="0"/>
    <xf numFmtId="0" fontId="175" fillId="27" borderId="329" applyNumberFormat="0" applyAlignment="0" applyProtection="0"/>
    <xf numFmtId="0" fontId="139" fillId="50" borderId="329" applyNumberFormat="0" applyAlignment="0" applyProtection="0"/>
    <xf numFmtId="4" fontId="60" fillId="54" borderId="373" applyNumberFormat="0" applyProtection="0">
      <alignment horizontal="right" wrapText="1"/>
    </xf>
    <xf numFmtId="0" fontId="54" fillId="11" borderId="374">
      <alignment vertical="top" wrapText="1"/>
    </xf>
    <xf numFmtId="0" fontId="132" fillId="50" borderId="328" applyNumberFormat="0" applyAlignment="0" applyProtection="0"/>
    <xf numFmtId="0" fontId="156" fillId="0" borderId="375" applyNumberFormat="0" applyAlignment="0" applyProtection="0">
      <alignment horizontal="left" vertical="center"/>
    </xf>
    <xf numFmtId="265" fontId="2" fillId="48" borderId="221" applyProtection="0">
      <alignment horizontal="right"/>
    </xf>
    <xf numFmtId="264" fontId="2" fillId="48" borderId="221" applyProtection="0">
      <alignment horizontal="right"/>
    </xf>
    <xf numFmtId="214" fontId="2" fillId="48" borderId="221" applyProtection="0">
      <alignment horizontal="right"/>
    </xf>
    <xf numFmtId="263" fontId="2" fillId="48" borderId="221" applyProtection="0">
      <alignment horizontal="right"/>
    </xf>
    <xf numFmtId="262" fontId="2" fillId="48" borderId="221" applyProtection="0">
      <alignment horizontal="right"/>
    </xf>
    <xf numFmtId="261" fontId="2" fillId="48" borderId="221" applyProtection="0">
      <alignment horizontal="right"/>
    </xf>
    <xf numFmtId="214" fontId="2" fillId="48" borderId="221" applyProtection="0">
      <alignment horizontal="right"/>
      <protection locked="0"/>
    </xf>
    <xf numFmtId="260" fontId="2" fillId="48" borderId="221" applyProtection="0">
      <alignment horizontal="right"/>
      <protection locked="0"/>
    </xf>
    <xf numFmtId="259" fontId="2" fillId="48" borderId="221" applyProtection="0">
      <alignment horizontal="right"/>
      <protection locked="0"/>
    </xf>
    <xf numFmtId="258" fontId="2" fillId="48" borderId="221" applyProtection="0">
      <alignment horizontal="right"/>
    </xf>
    <xf numFmtId="0" fontId="57" fillId="0" borderId="326" applyNumberFormat="0" applyFill="0" applyAlignment="0" applyProtection="0"/>
    <xf numFmtId="0" fontId="130" fillId="0" borderId="309" applyFont="0" applyFill="0" applyBorder="0" applyAlignment="0" applyProtection="0">
      <alignment horizontal="center" vertical="center"/>
    </xf>
    <xf numFmtId="0" fontId="139" fillId="50" borderId="329" applyNumberFormat="0" applyAlignment="0" applyProtection="0"/>
    <xf numFmtId="0" fontId="238" fillId="0" borderId="316"/>
    <xf numFmtId="3" fontId="60" fillId="54" borderId="373" applyNumberFormat="0" applyFill="0" applyBorder="0" applyProtection="0">
      <alignment horizontal="left"/>
    </xf>
    <xf numFmtId="0" fontId="113" fillId="0" borderId="311"/>
    <xf numFmtId="0" fontId="132" fillId="50" borderId="328" applyNumberFormat="0" applyAlignment="0" applyProtection="0"/>
    <xf numFmtId="0" fontId="239" fillId="52" borderId="317" applyNumberFormat="0" applyProtection="0">
      <alignment horizontal="right"/>
    </xf>
    <xf numFmtId="0" fontId="239" fillId="52" borderId="318" applyNumberFormat="0" applyProtection="0">
      <alignment horizontal="right"/>
    </xf>
    <xf numFmtId="0" fontId="239" fillId="52" borderId="319" applyNumberFormat="0" applyProtection="0">
      <alignment horizontal="right"/>
    </xf>
    <xf numFmtId="0" fontId="239" fillId="52" borderId="315" applyNumberFormat="0" applyAlignment="0" applyProtection="0"/>
    <xf numFmtId="0" fontId="54" fillId="0" borderId="317" applyNumberFormat="0" applyFill="0" applyProtection="0">
      <alignment horizontal="right"/>
    </xf>
    <xf numFmtId="0" fontId="54" fillId="0" borderId="318" applyNumberFormat="0" applyFill="0" applyProtection="0">
      <alignment horizontal="right"/>
    </xf>
    <xf numFmtId="0" fontId="54" fillId="0" borderId="319" applyNumberFormat="0" applyFill="0" applyProtection="0">
      <alignment horizontal="right"/>
    </xf>
    <xf numFmtId="0" fontId="132" fillId="50" borderId="328" applyNumberFormat="0" applyAlignment="0" applyProtection="0"/>
    <xf numFmtId="265" fontId="2" fillId="48" borderId="327" applyProtection="0">
      <alignment horizontal="right"/>
    </xf>
    <xf numFmtId="264" fontId="2" fillId="48" borderId="327" applyProtection="0">
      <alignment horizontal="right"/>
    </xf>
    <xf numFmtId="214" fontId="2" fillId="48" borderId="327" applyProtection="0">
      <alignment horizontal="right"/>
    </xf>
    <xf numFmtId="263" fontId="2" fillId="48" borderId="327" applyProtection="0">
      <alignment horizontal="right"/>
    </xf>
    <xf numFmtId="262" fontId="2" fillId="48" borderId="327" applyProtection="0">
      <alignment horizontal="right"/>
    </xf>
    <xf numFmtId="261" fontId="2" fillId="48" borderId="327" applyProtection="0">
      <alignment horizontal="right"/>
    </xf>
    <xf numFmtId="214" fontId="2" fillId="48" borderId="327" applyProtection="0">
      <alignment horizontal="right"/>
      <protection locked="0"/>
    </xf>
    <xf numFmtId="260" fontId="2" fillId="48" borderId="327" applyProtection="0">
      <alignment horizontal="right"/>
      <protection locked="0"/>
    </xf>
    <xf numFmtId="259" fontId="2" fillId="48" borderId="327" applyProtection="0">
      <alignment horizontal="right"/>
      <protection locked="0"/>
    </xf>
    <xf numFmtId="258" fontId="2" fillId="48" borderId="327" applyProtection="0">
      <alignment horizontal="right"/>
    </xf>
    <xf numFmtId="0" fontId="57" fillId="0" borderId="326" applyNumberFormat="0" applyFill="0" applyAlignment="0" applyProtection="0"/>
    <xf numFmtId="0" fontId="132" fillId="50" borderId="328" applyNumberFormat="0" applyAlignment="0" applyProtection="0"/>
    <xf numFmtId="0" fontId="14" fillId="35" borderId="221"/>
    <xf numFmtId="0" fontId="2" fillId="0" borderId="320" applyNumberFormat="0" applyFont="0" applyFill="0" applyAlignment="0" applyProtection="0"/>
    <xf numFmtId="327" fontId="52" fillId="0" borderId="364" applyFill="0" applyAlignment="0" applyProtection="0"/>
    <xf numFmtId="327" fontId="52" fillId="0" borderId="364" applyFill="0" applyAlignment="0" applyProtection="0"/>
    <xf numFmtId="0" fontId="2" fillId="0" borderId="320" applyNumberFormat="0" applyFont="0" applyFill="0" applyAlignment="0" applyProtection="0"/>
    <xf numFmtId="326" fontId="2" fillId="0" borderId="317" applyFill="0" applyAlignment="0" applyProtection="0"/>
    <xf numFmtId="326" fontId="2" fillId="0" borderId="318" applyFont="0" applyFill="0" applyAlignment="0" applyProtection="0"/>
    <xf numFmtId="326" fontId="2" fillId="0" borderId="319" applyFont="0" applyFill="0" applyAlignment="0" applyProtection="0"/>
    <xf numFmtId="327" fontId="2" fillId="0" borderId="317" applyFill="0" applyAlignment="0" applyProtection="0"/>
    <xf numFmtId="327" fontId="2" fillId="0" borderId="318" applyFont="0" applyFill="0" applyAlignment="0" applyProtection="0"/>
    <xf numFmtId="327" fontId="2" fillId="0" borderId="319" applyFont="0" applyFill="0" applyAlignment="0" applyProtection="0"/>
    <xf numFmtId="328" fontId="2" fillId="0" borderId="317" applyFill="0" applyAlignment="0" applyProtection="0"/>
    <xf numFmtId="328" fontId="2" fillId="0" borderId="318" applyFont="0" applyFill="0" applyAlignment="0" applyProtection="0"/>
    <xf numFmtId="328" fontId="2" fillId="0" borderId="319" applyFont="0" applyFill="0" applyAlignment="0" applyProtection="0"/>
    <xf numFmtId="327" fontId="52" fillId="0" borderId="376" applyFill="0" applyAlignment="0" applyProtection="0"/>
    <xf numFmtId="327" fontId="52" fillId="0" borderId="376" applyFill="0" applyAlignment="0" applyProtection="0"/>
    <xf numFmtId="3" fontId="72" fillId="0" borderId="221"/>
    <xf numFmtId="0" fontId="2" fillId="0" borderId="320" applyNumberFormat="0"/>
    <xf numFmtId="0" fontId="2" fillId="0" borderId="322" applyNumberFormat="0"/>
    <xf numFmtId="0" fontId="2" fillId="0" borderId="323" applyNumberFormat="0"/>
    <xf numFmtId="3" fontId="2" fillId="0" borderId="221"/>
    <xf numFmtId="0" fontId="2" fillId="0" borderId="320" applyNumberFormat="0" applyFont="0" applyFill="0" applyAlignment="0" applyProtection="0"/>
    <xf numFmtId="0" fontId="132" fillId="50" borderId="328" applyNumberFormat="0" applyAlignment="0" applyProtection="0"/>
    <xf numFmtId="0" fontId="2" fillId="0" borderId="320" applyNumberFormat="0" applyFont="0" applyFill="0" applyAlignment="0" applyProtection="0"/>
    <xf numFmtId="0" fontId="106" fillId="0" borderId="308" applyNumberFormat="0" applyFill="0" applyAlignment="0" applyProtection="0"/>
    <xf numFmtId="0" fontId="106" fillId="0" borderId="308" applyNumberFormat="0" applyFill="0" applyAlignment="0" applyProtection="0"/>
    <xf numFmtId="0" fontId="106" fillId="0" borderId="308" applyNumberFormat="0" applyFill="0" applyAlignment="0" applyProtection="0"/>
    <xf numFmtId="0" fontId="106" fillId="0" borderId="308" applyNumberFormat="0" applyFill="0" applyAlignment="0" applyProtection="0"/>
    <xf numFmtId="0" fontId="106" fillId="0" borderId="308" applyNumberFormat="0" applyFill="0" applyAlignment="0" applyProtection="0"/>
    <xf numFmtId="0" fontId="106" fillId="0" borderId="308" applyNumberFormat="0" applyFill="0" applyAlignment="0" applyProtection="0"/>
    <xf numFmtId="0" fontId="247" fillId="0" borderId="316"/>
    <xf numFmtId="0" fontId="69" fillId="0" borderId="311"/>
    <xf numFmtId="0" fontId="113" fillId="0" borderId="311"/>
    <xf numFmtId="0" fontId="178" fillId="0" borderId="312" applyNumberFormat="0" applyFill="0" applyAlignment="0" applyProtection="0"/>
    <xf numFmtId="0" fontId="2" fillId="60" borderId="315" applyNumberFormat="0" applyFont="0" applyAlignment="0" applyProtection="0"/>
    <xf numFmtId="0" fontId="139" fillId="50" borderId="329" applyNumberFormat="0" applyAlignment="0" applyProtection="0"/>
    <xf numFmtId="0" fontId="132" fillId="50" borderId="328" applyNumberFormat="0" applyAlignment="0" applyProtection="0"/>
    <xf numFmtId="0" fontId="175" fillId="27" borderId="329" applyNumberFormat="0" applyAlignment="0" applyProtection="0"/>
    <xf numFmtId="4" fontId="99" fillId="27" borderId="325" applyBorder="0"/>
    <xf numFmtId="0" fontId="2" fillId="0" borderId="221" applyNumberFormat="0" applyFont="0" applyFill="0" applyProtection="0">
      <alignment horizontal="center"/>
    </xf>
    <xf numFmtId="259" fontId="2" fillId="48" borderId="327" applyProtection="0">
      <alignment horizontal="right"/>
      <protection locked="0"/>
    </xf>
    <xf numFmtId="261" fontId="2" fillId="48" borderId="327" applyProtection="0">
      <alignment horizontal="right"/>
    </xf>
    <xf numFmtId="214" fontId="2" fillId="48" borderId="327" applyProtection="0">
      <alignment horizontal="right"/>
    </xf>
    <xf numFmtId="0" fontId="132" fillId="50" borderId="328" applyNumberFormat="0" applyAlignment="0" applyProtection="0"/>
    <xf numFmtId="3" fontId="2" fillId="0" borderId="327"/>
    <xf numFmtId="3" fontId="36" fillId="0" borderId="327"/>
    <xf numFmtId="3" fontId="2" fillId="0" borderId="327"/>
    <xf numFmtId="3" fontId="2" fillId="0" borderId="327"/>
    <xf numFmtId="3" fontId="2" fillId="0" borderId="327"/>
    <xf numFmtId="3" fontId="2" fillId="0" borderId="327"/>
    <xf numFmtId="3" fontId="2" fillId="0" borderId="327"/>
    <xf numFmtId="4" fontId="60" fillId="54" borderId="365" applyNumberFormat="0" applyProtection="0">
      <alignment horizontal="right" wrapText="1"/>
    </xf>
    <xf numFmtId="0" fontId="54" fillId="0" borderId="327">
      <alignment horizontal="left" wrapText="1"/>
    </xf>
    <xf numFmtId="49" fontId="90" fillId="14" borderId="327">
      <alignment horizontal="center" vertical="center" wrapText="1"/>
    </xf>
    <xf numFmtId="182" fontId="167" fillId="0" borderId="310">
      <protection locked="0"/>
    </xf>
    <xf numFmtId="37" fontId="69" fillId="0" borderId="311"/>
    <xf numFmtId="0" fontId="175" fillId="27" borderId="329" applyNumberFormat="0" applyAlignment="0" applyProtection="0"/>
    <xf numFmtId="0" fontId="178" fillId="0" borderId="312" applyNumberFormat="0" applyFill="0" applyAlignment="0" applyProtection="0"/>
    <xf numFmtId="0" fontId="54" fillId="11" borderId="362">
      <alignment vertical="top" wrapText="1"/>
    </xf>
    <xf numFmtId="10" fontId="57" fillId="2" borderId="327" applyNumberFormat="0" applyBorder="0" applyAlignment="0" applyProtection="0"/>
    <xf numFmtId="0" fontId="175" fillId="27" borderId="329" applyNumberFormat="0" applyAlignment="0" applyProtection="0"/>
    <xf numFmtId="0" fontId="2" fillId="0" borderId="327" applyNumberFormat="0">
      <alignment horizontal="left" wrapText="1"/>
      <protection locked="0"/>
    </xf>
    <xf numFmtId="0" fontId="197" fillId="0" borderId="314" applyNumberFormat="0" applyFill="0" applyAlignment="0" applyProtection="0"/>
    <xf numFmtId="0" fontId="2" fillId="56" borderId="327" applyNumberFormat="0" applyProtection="0">
      <alignment vertical="center" wrapText="1"/>
    </xf>
    <xf numFmtId="0" fontId="2" fillId="14" borderId="327" applyNumberFormat="0" applyAlignment="0"/>
    <xf numFmtId="0" fontId="2" fillId="59" borderId="327" applyNumberFormat="0" applyFont="0" applyBorder="0" applyAlignment="0" applyProtection="0"/>
    <xf numFmtId="0" fontId="216" fillId="60" borderId="315" applyNumberFormat="0" applyFont="0" applyAlignment="0" applyProtection="0"/>
    <xf numFmtId="320" fontId="2" fillId="0" borderId="327" applyFont="0" applyFill="0" applyBorder="0" applyAlignment="0" applyProtection="0"/>
    <xf numFmtId="3" fontId="60" fillId="54" borderId="365" applyNumberFormat="0" applyFill="0" applyBorder="0" applyProtection="0">
      <alignment horizontal="left"/>
    </xf>
    <xf numFmtId="0" fontId="132" fillId="50" borderId="328" applyNumberFormat="0" applyAlignment="0" applyProtection="0"/>
    <xf numFmtId="0" fontId="175" fillId="27" borderId="329" applyNumberFormat="0" applyAlignment="0" applyProtection="0"/>
    <xf numFmtId="0" fontId="175" fillId="27" borderId="329" applyNumberFormat="0" applyAlignment="0" applyProtection="0"/>
    <xf numFmtId="0" fontId="139" fillId="50" borderId="329" applyNumberFormat="0" applyAlignment="0" applyProtection="0"/>
    <xf numFmtId="0" fontId="139" fillId="50" borderId="329" applyNumberFormat="0" applyAlignment="0" applyProtection="0"/>
    <xf numFmtId="0" fontId="57" fillId="0" borderId="326" applyNumberFormat="0" applyFill="0" applyAlignment="0" applyProtection="0"/>
    <xf numFmtId="4" fontId="99" fillId="26" borderId="325" applyBorder="0"/>
    <xf numFmtId="3" fontId="72" fillId="0" borderId="327"/>
    <xf numFmtId="0" fontId="239" fillId="52" borderId="317" applyNumberFormat="0" applyProtection="0">
      <alignment horizontal="right"/>
    </xf>
    <xf numFmtId="0" fontId="2" fillId="0" borderId="327" applyNumberFormat="0" applyFont="0" applyFill="0" applyProtection="0">
      <alignment horizontal="center"/>
    </xf>
    <xf numFmtId="0" fontId="54" fillId="0" borderId="318" applyNumberFormat="0" applyFill="0" applyProtection="0">
      <alignment horizontal="right"/>
    </xf>
    <xf numFmtId="327" fontId="52" fillId="0" borderId="364" applyFill="0" applyAlignment="0" applyProtection="0"/>
    <xf numFmtId="327" fontId="52" fillId="0" borderId="364" applyFill="0" applyAlignment="0" applyProtection="0"/>
    <xf numFmtId="0" fontId="2" fillId="0" borderId="320" applyNumberFormat="0" applyFont="0" applyFill="0" applyAlignment="0" applyProtection="0"/>
    <xf numFmtId="326" fontId="2" fillId="0" borderId="317" applyFill="0" applyAlignment="0" applyProtection="0"/>
    <xf numFmtId="326" fontId="2" fillId="0" borderId="318" applyFont="0" applyFill="0" applyAlignment="0" applyProtection="0"/>
    <xf numFmtId="326" fontId="2" fillId="0" borderId="319" applyFont="0" applyFill="0" applyAlignment="0" applyProtection="0"/>
    <xf numFmtId="327" fontId="2" fillId="0" borderId="317" applyFill="0" applyAlignment="0" applyProtection="0"/>
    <xf numFmtId="327" fontId="2" fillId="0" borderId="318" applyFont="0" applyFill="0" applyAlignment="0" applyProtection="0"/>
    <xf numFmtId="327" fontId="2" fillId="0" borderId="319" applyFont="0" applyFill="0" applyAlignment="0" applyProtection="0"/>
    <xf numFmtId="328" fontId="2" fillId="0" borderId="317" applyFill="0" applyAlignment="0" applyProtection="0"/>
    <xf numFmtId="328" fontId="2" fillId="0" borderId="318" applyFont="0" applyFill="0" applyAlignment="0" applyProtection="0"/>
    <xf numFmtId="328" fontId="2" fillId="0" borderId="319" applyFont="0" applyFill="0" applyAlignment="0" applyProtection="0"/>
    <xf numFmtId="3" fontId="72" fillId="0" borderId="327"/>
    <xf numFmtId="0" fontId="2" fillId="0" borderId="320" applyNumberFormat="0"/>
    <xf numFmtId="0" fontId="2" fillId="0" borderId="322" applyNumberFormat="0"/>
    <xf numFmtId="0" fontId="2" fillId="0" borderId="323" applyNumberFormat="0"/>
    <xf numFmtId="0" fontId="2" fillId="0" borderId="317" applyNumberFormat="0" applyFont="0" applyFill="0" applyAlignment="0" applyProtection="0"/>
    <xf numFmtId="0" fontId="2" fillId="0" borderId="318" applyNumberFormat="0" applyFont="0" applyFill="0" applyAlignment="0" applyProtection="0"/>
    <xf numFmtId="0" fontId="2" fillId="0" borderId="323" applyNumberFormat="0" applyFont="0" applyFill="0" applyAlignment="0" applyProtection="0"/>
    <xf numFmtId="0" fontId="2" fillId="0" borderId="320" applyNumberFormat="0" applyFont="0" applyFill="0" applyAlignment="0" applyProtection="0"/>
    <xf numFmtId="0" fontId="69" fillId="0" borderId="311"/>
    <xf numFmtId="3" fontId="2" fillId="0" borderId="327"/>
    <xf numFmtId="0" fontId="2" fillId="60" borderId="315" applyNumberFormat="0" applyFont="0" applyAlignment="0" applyProtection="0"/>
    <xf numFmtId="0" fontId="139" fillId="50" borderId="329" applyNumberFormat="0" applyAlignment="0" applyProtection="0"/>
    <xf numFmtId="0" fontId="178" fillId="0" borderId="312" applyNumberFormat="0" applyFill="0" applyAlignment="0" applyProtection="0"/>
    <xf numFmtId="0" fontId="132" fillId="50" borderId="328" applyNumberFormat="0" applyAlignment="0" applyProtection="0"/>
    <xf numFmtId="0" fontId="175" fillId="27" borderId="329" applyNumberFormat="0" applyAlignment="0" applyProtection="0"/>
    <xf numFmtId="0" fontId="139" fillId="50" borderId="329" applyNumberFormat="0" applyAlignment="0" applyProtection="0"/>
    <xf numFmtId="0" fontId="132" fillId="50" borderId="328" applyNumberFormat="0" applyAlignment="0" applyProtection="0"/>
    <xf numFmtId="0" fontId="175" fillId="27" borderId="329" applyNumberFormat="0" applyAlignment="0" applyProtection="0"/>
    <xf numFmtId="4" fontId="99" fillId="27" borderId="325" applyBorder="0"/>
    <xf numFmtId="4" fontId="99" fillId="26" borderId="325" applyBorder="0"/>
    <xf numFmtId="4" fontId="99" fillId="27" borderId="325" applyBorder="0"/>
    <xf numFmtId="4" fontId="99" fillId="26" borderId="325" applyBorder="0"/>
    <xf numFmtId="328" fontId="2" fillId="0" borderId="317" applyFill="0" applyAlignment="0" applyProtection="0"/>
    <xf numFmtId="0" fontId="106" fillId="0" borderId="308" applyNumberFormat="0" applyFill="0" applyAlignment="0" applyProtection="0"/>
    <xf numFmtId="0" fontId="106" fillId="0" borderId="308" applyNumberFormat="0" applyFill="0" applyAlignment="0" applyProtection="0"/>
    <xf numFmtId="0" fontId="106" fillId="0" borderId="308" applyNumberFormat="0" applyFill="0" applyAlignment="0" applyProtection="0"/>
    <xf numFmtId="0" fontId="106" fillId="0" borderId="308" applyNumberFormat="0" applyFill="0" applyAlignment="0" applyProtection="0"/>
    <xf numFmtId="0" fontId="106" fillId="0" borderId="308" applyNumberFormat="0" applyFill="0" applyAlignment="0" applyProtection="0"/>
    <xf numFmtId="0" fontId="106" fillId="0" borderId="308" applyNumberFormat="0" applyFill="0" applyAlignment="0" applyProtection="0"/>
    <xf numFmtId="327" fontId="2" fillId="0" borderId="319" applyFont="0" applyFill="0" applyAlignment="0" applyProtection="0"/>
    <xf numFmtId="327" fontId="2" fillId="0" borderId="318" applyFont="0" applyFill="0" applyAlignment="0" applyProtection="0"/>
    <xf numFmtId="327" fontId="2" fillId="0" borderId="317" applyFill="0" applyAlignment="0" applyProtection="0"/>
    <xf numFmtId="326" fontId="2" fillId="0" borderId="319" applyFont="0" applyFill="0" applyAlignment="0" applyProtection="0"/>
    <xf numFmtId="326" fontId="2" fillId="0" borderId="318" applyFont="0" applyFill="0" applyAlignment="0" applyProtection="0"/>
    <xf numFmtId="326" fontId="2" fillId="0" borderId="317" applyFill="0" applyAlignment="0" applyProtection="0"/>
    <xf numFmtId="0" fontId="2" fillId="0" borderId="320" applyNumberFormat="0" applyFont="0" applyFill="0" applyAlignment="0" applyProtection="0"/>
    <xf numFmtId="0" fontId="2" fillId="0" borderId="320" applyNumberFormat="0" applyFont="0" applyFill="0" applyAlignment="0" applyProtection="0"/>
    <xf numFmtId="0" fontId="54" fillId="0" borderId="319" applyNumberFormat="0" applyFill="0" applyProtection="0">
      <alignment horizontal="right"/>
    </xf>
    <xf numFmtId="0" fontId="54" fillId="0" borderId="318" applyNumberFormat="0" applyFill="0" applyProtection="0">
      <alignment horizontal="right"/>
    </xf>
    <xf numFmtId="0" fontId="54" fillId="0" borderId="317" applyNumberFormat="0" applyFill="0" applyProtection="0">
      <alignment horizontal="right"/>
    </xf>
    <xf numFmtId="0" fontId="239" fillId="52" borderId="315" applyNumberFormat="0" applyAlignment="0" applyProtection="0"/>
    <xf numFmtId="0" fontId="2" fillId="0" borderId="327" applyNumberFormat="0" applyFont="0" applyFill="0" applyProtection="0">
      <alignment horizontal="center"/>
    </xf>
    <xf numFmtId="0" fontId="239" fillId="52" borderId="319" applyNumberFormat="0" applyProtection="0">
      <alignment horizontal="right"/>
    </xf>
    <xf numFmtId="0" fontId="239" fillId="52" borderId="318" applyNumberFormat="0" applyProtection="0">
      <alignment horizontal="right"/>
    </xf>
    <xf numFmtId="0" fontId="239" fillId="52" borderId="317" applyNumberFormat="0" applyProtection="0">
      <alignment horizontal="right"/>
    </xf>
    <xf numFmtId="3" fontId="60" fillId="54" borderId="365" applyNumberFormat="0" applyFill="0" applyBorder="0" applyProtection="0">
      <alignment horizontal="left"/>
    </xf>
    <xf numFmtId="320" fontId="2" fillId="0" borderId="327" applyFont="0" applyFill="0" applyBorder="0" applyAlignment="0" applyProtection="0"/>
    <xf numFmtId="0" fontId="132" fillId="50" borderId="328" applyNumberFormat="0" applyAlignment="0" applyProtection="0"/>
    <xf numFmtId="0" fontId="91" fillId="60" borderId="315" applyNumberFormat="0" applyFont="0" applyAlignment="0" applyProtection="0"/>
    <xf numFmtId="0" fontId="216" fillId="60" borderId="315" applyNumberFormat="0" applyFont="0" applyAlignment="0" applyProtection="0"/>
    <xf numFmtId="0" fontId="2" fillId="59" borderId="327" applyNumberFormat="0" applyFont="0" applyBorder="0" applyAlignment="0" applyProtection="0"/>
    <xf numFmtId="0" fontId="2" fillId="14" borderId="327" applyNumberFormat="0" applyAlignment="0"/>
    <xf numFmtId="0" fontId="2" fillId="56" borderId="327" applyNumberFormat="0" applyProtection="0">
      <alignment vertical="center" wrapText="1"/>
    </xf>
    <xf numFmtId="3" fontId="2" fillId="0" borderId="327"/>
    <xf numFmtId="0" fontId="54" fillId="56" borderId="221" applyNumberFormat="0" applyAlignment="0">
      <alignment horizontal="center"/>
    </xf>
    <xf numFmtId="0" fontId="130" fillId="0" borderId="309" applyFont="0" applyFill="0" applyBorder="0" applyAlignment="0" applyProtection="0">
      <alignment horizontal="center" vertical="center"/>
    </xf>
    <xf numFmtId="0" fontId="139" fillId="50" borderId="329" applyNumberFormat="0" applyAlignment="0" applyProtection="0"/>
    <xf numFmtId="0" fontId="106" fillId="0" borderId="308" applyNumberFormat="0" applyFill="0" applyAlignment="0" applyProtection="0"/>
    <xf numFmtId="0" fontId="106" fillId="0" borderId="308" applyNumberFormat="0" applyFill="0" applyAlignment="0" applyProtection="0"/>
    <xf numFmtId="0" fontId="106" fillId="0" borderId="308" applyNumberFormat="0" applyFill="0" applyAlignment="0" applyProtection="0"/>
    <xf numFmtId="0" fontId="106" fillId="0" borderId="308" applyNumberFormat="0" applyFill="0" applyAlignment="0" applyProtection="0"/>
    <xf numFmtId="0" fontId="106" fillId="0" borderId="308" applyNumberFormat="0" applyFill="0" applyAlignment="0" applyProtection="0"/>
    <xf numFmtId="0" fontId="106" fillId="0" borderId="308" applyNumberFormat="0" applyFill="0" applyAlignment="0" applyProtection="0"/>
    <xf numFmtId="4" fontId="60" fillId="54" borderId="357" applyNumberFormat="0" applyProtection="0">
      <alignment horizontal="right" wrapText="1"/>
    </xf>
    <xf numFmtId="0" fontId="156" fillId="0" borderId="359" applyNumberFormat="0" applyAlignment="0" applyProtection="0">
      <alignment horizontal="left" vertical="center"/>
    </xf>
    <xf numFmtId="3" fontId="60" fillId="54" borderId="357" applyNumberFormat="0" applyFill="0" applyBorder="0" applyProtection="0">
      <alignment horizontal="left"/>
    </xf>
    <xf numFmtId="320" fontId="2" fillId="0" borderId="221" applyFont="0" applyFill="0" applyBorder="0" applyAlignment="0" applyProtection="0"/>
    <xf numFmtId="0" fontId="132" fillId="50" borderId="328" applyNumberFormat="0" applyAlignment="0" applyProtection="0"/>
    <xf numFmtId="0" fontId="2" fillId="59" borderId="221" applyNumberFormat="0" applyFont="0" applyBorder="0" applyAlignment="0" applyProtection="0"/>
    <xf numFmtId="0" fontId="2" fillId="14" borderId="221" applyNumberFormat="0" applyAlignment="0"/>
    <xf numFmtId="0" fontId="2" fillId="56" borderId="221" applyNumberFormat="0" applyProtection="0">
      <alignment vertical="center" wrapText="1"/>
    </xf>
    <xf numFmtId="10" fontId="57" fillId="2" borderId="221" applyNumberFormat="0" applyBorder="0" applyAlignment="0" applyProtection="0"/>
    <xf numFmtId="0" fontId="54" fillId="0" borderId="221">
      <alignment horizontal="left" wrapText="1"/>
    </xf>
    <xf numFmtId="3" fontId="2" fillId="0" borderId="221"/>
    <xf numFmtId="264" fontId="2" fillId="48" borderId="221" applyProtection="0">
      <alignment horizontal="right"/>
    </xf>
    <xf numFmtId="262" fontId="2" fillId="48" borderId="221" applyProtection="0">
      <alignment horizontal="right"/>
    </xf>
    <xf numFmtId="260" fontId="2" fillId="48" borderId="221" applyProtection="0">
      <alignment horizontal="right"/>
      <protection locked="0"/>
    </xf>
    <xf numFmtId="4" fontId="99" fillId="26" borderId="325" applyBorder="0"/>
    <xf numFmtId="0" fontId="57" fillId="0" borderId="326" applyNumberFormat="0" applyFill="0" applyAlignment="0" applyProtection="0"/>
    <xf numFmtId="260" fontId="2" fillId="48" borderId="327" applyProtection="0">
      <alignment horizontal="right"/>
      <protection locked="0"/>
    </xf>
    <xf numFmtId="262" fontId="2" fillId="48" borderId="327" applyProtection="0">
      <alignment horizontal="right"/>
    </xf>
    <xf numFmtId="264" fontId="2" fillId="48" borderId="327" applyProtection="0">
      <alignment horizontal="right"/>
    </xf>
    <xf numFmtId="0" fontId="139" fillId="50" borderId="329" applyNumberFormat="0" applyAlignment="0" applyProtection="0"/>
    <xf numFmtId="0" fontId="91" fillId="60" borderId="315" applyNumberFormat="0" applyFont="0" applyAlignment="0" applyProtection="0"/>
    <xf numFmtId="327" fontId="52" fillId="0" borderId="360" applyFill="0" applyAlignment="0" applyProtection="0"/>
    <xf numFmtId="327" fontId="52" fillId="0" borderId="360" applyFill="0" applyAlignment="0" applyProtection="0"/>
    <xf numFmtId="0" fontId="132" fillId="50" borderId="328" applyNumberFormat="0" applyAlignment="0" applyProtection="0"/>
    <xf numFmtId="0" fontId="238" fillId="0" borderId="316"/>
    <xf numFmtId="0" fontId="239" fillId="52" borderId="318" applyNumberFormat="0" applyProtection="0">
      <alignment horizontal="right"/>
    </xf>
    <xf numFmtId="0" fontId="113" fillId="0" borderId="311"/>
    <xf numFmtId="0" fontId="178" fillId="0" borderId="312" applyNumberFormat="0" applyFill="0" applyAlignment="0" applyProtection="0"/>
    <xf numFmtId="0" fontId="178" fillId="0" borderId="312" applyNumberFormat="0" applyFill="0" applyAlignment="0" applyProtection="0"/>
    <xf numFmtId="0" fontId="2" fillId="0" borderId="322" applyNumberFormat="0" applyFont="0" applyFill="0" applyAlignment="0" applyProtection="0"/>
    <xf numFmtId="0" fontId="2" fillId="0" borderId="323" applyNumberFormat="0"/>
    <xf numFmtId="328" fontId="2" fillId="0" borderId="319" applyFont="0" applyFill="0" applyAlignment="0" applyProtection="0"/>
    <xf numFmtId="0" fontId="113" fillId="0" borderId="311"/>
    <xf numFmtId="0" fontId="132" fillId="50" borderId="328" applyNumberFormat="0" applyAlignment="0" applyProtection="0"/>
    <xf numFmtId="328" fontId="2" fillId="0" borderId="318" applyFont="0" applyFill="0" applyAlignment="0" applyProtection="0"/>
    <xf numFmtId="0" fontId="2" fillId="0" borderId="322" applyNumberFormat="0"/>
    <xf numFmtId="0" fontId="2" fillId="0" borderId="320" applyNumberFormat="0" applyFont="0" applyFill="0" applyAlignment="0" applyProtection="0"/>
    <xf numFmtId="0" fontId="113" fillId="0" borderId="311"/>
    <xf numFmtId="0" fontId="139" fillId="50" borderId="329" applyNumberFormat="0" applyAlignment="0" applyProtection="0"/>
    <xf numFmtId="0" fontId="178" fillId="0" borderId="312" applyNumberFormat="0" applyFill="0" applyAlignment="0" applyProtection="0"/>
    <xf numFmtId="0" fontId="54" fillId="56" borderId="327" applyNumberFormat="0" applyAlignment="0">
      <alignment horizontal="center"/>
    </xf>
    <xf numFmtId="0" fontId="2" fillId="0" borderId="322" applyNumberFormat="0" applyFont="0" applyFill="0" applyAlignment="0" applyProtection="0"/>
    <xf numFmtId="0" fontId="2" fillId="0" borderId="320" applyNumberFormat="0" applyFont="0" applyFill="0" applyAlignment="0" applyProtection="0"/>
    <xf numFmtId="0" fontId="54" fillId="0" borderId="317" applyNumberFormat="0" applyFill="0" applyProtection="0">
      <alignment horizontal="right"/>
    </xf>
    <xf numFmtId="0" fontId="239" fillId="52" borderId="319" applyNumberFormat="0" applyProtection="0">
      <alignment horizontal="right"/>
    </xf>
    <xf numFmtId="0" fontId="113" fillId="0" borderId="311"/>
    <xf numFmtId="4" fontId="99" fillId="26" borderId="325" applyBorder="0"/>
    <xf numFmtId="4" fontId="99" fillId="27" borderId="325" applyBorder="0"/>
    <xf numFmtId="0" fontId="132" fillId="50" borderId="328" applyNumberFormat="0" applyAlignment="0" applyProtection="0"/>
    <xf numFmtId="0" fontId="139" fillId="50" borderId="329" applyNumberFormat="0" applyAlignment="0" applyProtection="0"/>
    <xf numFmtId="265" fontId="2" fillId="48" borderId="327" applyProtection="0">
      <alignment horizontal="right"/>
    </xf>
    <xf numFmtId="263" fontId="2" fillId="48" borderId="327" applyProtection="0">
      <alignment horizontal="right"/>
    </xf>
    <xf numFmtId="214" fontId="2" fillId="48" borderId="327" applyProtection="0">
      <alignment horizontal="right"/>
      <protection locked="0"/>
    </xf>
    <xf numFmtId="258" fontId="2" fillId="48" borderId="327" applyProtection="0">
      <alignment horizontal="right"/>
    </xf>
    <xf numFmtId="4" fontId="99" fillId="27" borderId="325" applyBorder="0"/>
    <xf numFmtId="4" fontId="99" fillId="26" borderId="325" applyBorder="0"/>
    <xf numFmtId="0" fontId="178" fillId="0" borderId="312" applyNumberFormat="0" applyFill="0" applyAlignment="0" applyProtection="0"/>
    <xf numFmtId="0" fontId="132" fillId="50" borderId="328" applyNumberFormat="0" applyAlignment="0" applyProtection="0"/>
    <xf numFmtId="4" fontId="99" fillId="27" borderId="325" applyBorder="0"/>
    <xf numFmtId="4" fontId="99" fillId="26" borderId="325" applyBorder="0"/>
    <xf numFmtId="4" fontId="99" fillId="27" borderId="325" applyBorder="0"/>
    <xf numFmtId="4" fontId="99" fillId="26" borderId="325" applyBorder="0"/>
    <xf numFmtId="4" fontId="99" fillId="27" borderId="325" applyBorder="0"/>
    <xf numFmtId="4" fontId="99" fillId="26" borderId="325" applyBorder="0"/>
    <xf numFmtId="4" fontId="99" fillId="27" borderId="325" applyBorder="0"/>
    <xf numFmtId="4" fontId="99" fillId="26" borderId="325" applyBorder="0"/>
    <xf numFmtId="0" fontId="175" fillId="27" borderId="329" applyNumberFormat="0" applyAlignment="0" applyProtection="0"/>
    <xf numFmtId="0" fontId="106" fillId="0" borderId="308" applyNumberFormat="0" applyFill="0" applyAlignment="0" applyProtection="0"/>
    <xf numFmtId="4" fontId="60" fillId="54" borderId="349" applyNumberFormat="0" applyProtection="0">
      <alignment horizontal="right" wrapText="1"/>
    </xf>
    <xf numFmtId="0" fontId="54" fillId="11" borderId="350">
      <alignment vertical="top" wrapText="1"/>
    </xf>
    <xf numFmtId="0" fontId="156" fillId="0" borderId="351" applyNumberFormat="0" applyAlignment="0" applyProtection="0">
      <alignment horizontal="left" vertical="center"/>
    </xf>
    <xf numFmtId="3" fontId="60" fillId="54" borderId="349" applyNumberFormat="0" applyFill="0" applyBorder="0" applyProtection="0">
      <alignment horizontal="left"/>
    </xf>
    <xf numFmtId="0" fontId="106" fillId="0" borderId="308" applyNumberFormat="0" applyFill="0" applyAlignment="0" applyProtection="0"/>
    <xf numFmtId="0" fontId="54" fillId="56" borderId="327" applyNumberFormat="0" applyAlignment="0">
      <alignment horizontal="center"/>
    </xf>
    <xf numFmtId="0" fontId="132" fillId="50" borderId="328" applyNumberFormat="0" applyAlignment="0" applyProtection="0"/>
    <xf numFmtId="0" fontId="238" fillId="0" borderId="316"/>
    <xf numFmtId="0" fontId="2" fillId="0" borderId="221" applyNumberFormat="0" applyFont="0" applyFill="0" applyProtection="0">
      <alignment horizontal="center"/>
    </xf>
    <xf numFmtId="0" fontId="239" fillId="52" borderId="317" applyNumberFormat="0" applyProtection="0">
      <alignment horizontal="right"/>
    </xf>
    <xf numFmtId="0" fontId="239" fillId="52" borderId="318" applyNumberFormat="0" applyProtection="0">
      <alignment horizontal="right"/>
    </xf>
    <xf numFmtId="0" fontId="239" fillId="52" borderId="319" applyNumberFormat="0" applyProtection="0">
      <alignment horizontal="right"/>
    </xf>
    <xf numFmtId="0" fontId="2" fillId="0" borderId="221" applyNumberFormat="0" applyFont="0" applyFill="0" applyProtection="0">
      <alignment horizontal="center"/>
    </xf>
    <xf numFmtId="0" fontId="239" fillId="52" borderId="315" applyNumberFormat="0" applyAlignment="0" applyProtection="0"/>
    <xf numFmtId="0" fontId="54" fillId="0" borderId="317" applyNumberFormat="0" applyFill="0" applyProtection="0">
      <alignment horizontal="right"/>
    </xf>
    <xf numFmtId="0" fontId="54" fillId="0" borderId="318" applyNumberFormat="0" applyFill="0" applyProtection="0">
      <alignment horizontal="right"/>
    </xf>
    <xf numFmtId="0" fontId="54" fillId="0" borderId="319" applyNumberFormat="0" applyFill="0" applyProtection="0">
      <alignment horizontal="right"/>
    </xf>
    <xf numFmtId="0" fontId="54" fillId="11" borderId="358">
      <alignment vertical="top" wrapText="1"/>
    </xf>
    <xf numFmtId="0" fontId="2" fillId="0" borderId="221" applyNumberFormat="0">
      <alignment horizontal="left" wrapText="1"/>
      <protection locked="0"/>
    </xf>
    <xf numFmtId="3" fontId="2" fillId="0" borderId="221"/>
    <xf numFmtId="3" fontId="36" fillId="0" borderId="221"/>
    <xf numFmtId="0" fontId="132" fillId="50" borderId="328" applyNumberFormat="0" applyAlignment="0" applyProtection="0"/>
    <xf numFmtId="214" fontId="2" fillId="48" borderId="221" applyProtection="0">
      <alignment horizontal="right"/>
    </xf>
    <xf numFmtId="261" fontId="2" fillId="48" borderId="221" applyProtection="0">
      <alignment horizontal="right"/>
    </xf>
    <xf numFmtId="259" fontId="2" fillId="48" borderId="221" applyProtection="0">
      <alignment horizontal="right"/>
      <protection locked="0"/>
    </xf>
    <xf numFmtId="259" fontId="2" fillId="48" borderId="327" applyProtection="0">
      <alignment horizontal="right"/>
      <protection locked="0"/>
    </xf>
    <xf numFmtId="0" fontId="14" fillId="35" borderId="327"/>
    <xf numFmtId="0" fontId="239" fillId="52" borderId="315" applyNumberFormat="0" applyAlignment="0" applyProtection="0"/>
    <xf numFmtId="0" fontId="2" fillId="0" borderId="320" applyNumberFormat="0" applyFont="0" applyFill="0" applyAlignment="0" applyProtection="0"/>
    <xf numFmtId="0" fontId="2" fillId="0" borderId="320" applyNumberFormat="0" applyFont="0" applyFill="0" applyAlignment="0" applyProtection="0"/>
    <xf numFmtId="0" fontId="229" fillId="1" borderId="313" applyNumberFormat="0" applyFont="0" applyAlignment="0">
      <alignment horizontal="center"/>
    </xf>
    <xf numFmtId="0" fontId="2" fillId="0" borderId="320" applyNumberFormat="0" applyFont="0" applyFill="0" applyAlignment="0" applyProtection="0"/>
    <xf numFmtId="326" fontId="2" fillId="0" borderId="317" applyFill="0" applyAlignment="0" applyProtection="0"/>
    <xf numFmtId="326" fontId="2" fillId="0" borderId="318" applyFont="0" applyFill="0" applyAlignment="0" applyProtection="0"/>
    <xf numFmtId="0" fontId="238" fillId="0" borderId="316"/>
    <xf numFmtId="326" fontId="2" fillId="0" borderId="319" applyFont="0" applyFill="0" applyAlignment="0" applyProtection="0"/>
    <xf numFmtId="0" fontId="113" fillId="0" borderId="311"/>
    <xf numFmtId="327" fontId="2" fillId="0" borderId="317" applyFill="0" applyAlignment="0" applyProtection="0"/>
    <xf numFmtId="327" fontId="2" fillId="0" borderId="318" applyFont="0" applyFill="0" applyAlignment="0" applyProtection="0"/>
    <xf numFmtId="327" fontId="2" fillId="0" borderId="319" applyFont="0" applyFill="0" applyAlignment="0" applyProtection="0"/>
    <xf numFmtId="0" fontId="239" fillId="52" borderId="317" applyNumberFormat="0" applyProtection="0">
      <alignment horizontal="right"/>
    </xf>
    <xf numFmtId="0" fontId="239" fillId="52" borderId="318" applyNumberFormat="0" applyProtection="0">
      <alignment horizontal="right"/>
    </xf>
    <xf numFmtId="0" fontId="239" fillId="52" borderId="319" applyNumberFormat="0" applyProtection="0">
      <alignment horizontal="right"/>
    </xf>
    <xf numFmtId="0" fontId="2" fillId="0" borderId="327" applyNumberFormat="0" applyFont="0" applyFill="0" applyProtection="0">
      <alignment horizontal="center"/>
    </xf>
    <xf numFmtId="0" fontId="239" fillId="52" borderId="315" applyNumberFormat="0" applyAlignment="0" applyProtection="0"/>
    <xf numFmtId="0" fontId="54" fillId="0" borderId="317" applyNumberFormat="0" applyFill="0" applyProtection="0">
      <alignment horizontal="right"/>
    </xf>
    <xf numFmtId="0" fontId="54" fillId="0" borderId="318" applyNumberFormat="0" applyFill="0" applyProtection="0">
      <alignment horizontal="right"/>
    </xf>
    <xf numFmtId="0" fontId="54" fillId="0" borderId="319" applyNumberFormat="0" applyFill="0" applyProtection="0">
      <alignment horizontal="right"/>
    </xf>
    <xf numFmtId="328" fontId="2" fillId="0" borderId="317" applyFill="0" applyAlignment="0" applyProtection="0"/>
    <xf numFmtId="328" fontId="2" fillId="0" borderId="318" applyFont="0" applyFill="0" applyAlignment="0" applyProtection="0"/>
    <xf numFmtId="328" fontId="2" fillId="0" borderId="319" applyFont="0" applyFill="0" applyAlignment="0" applyProtection="0"/>
    <xf numFmtId="0" fontId="132" fillId="50" borderId="328" applyNumberFormat="0" applyAlignment="0" applyProtection="0"/>
    <xf numFmtId="0" fontId="247" fillId="0" borderId="316"/>
    <xf numFmtId="0" fontId="54" fillId="0" borderId="319" applyNumberFormat="0" applyFill="0" applyProtection="0">
      <alignment horizontal="right"/>
    </xf>
    <xf numFmtId="4" fontId="99" fillId="27" borderId="325" applyBorder="0"/>
    <xf numFmtId="258" fontId="2" fillId="48" borderId="221" applyProtection="0">
      <alignment horizontal="right"/>
    </xf>
    <xf numFmtId="0" fontId="2" fillId="0" borderId="320" applyNumberFormat="0"/>
    <xf numFmtId="0" fontId="2" fillId="0" borderId="322" applyNumberFormat="0"/>
    <xf numFmtId="0" fontId="2" fillId="0" borderId="323" applyNumberFormat="0"/>
    <xf numFmtId="263" fontId="2" fillId="48" borderId="221" applyProtection="0">
      <alignment horizontal="right"/>
    </xf>
    <xf numFmtId="265" fontId="2" fillId="48" borderId="221" applyProtection="0">
      <alignment horizontal="right"/>
    </xf>
    <xf numFmtId="0" fontId="2" fillId="0" borderId="320" applyNumberFormat="0" applyFont="0" applyFill="0" applyAlignment="0" applyProtection="0"/>
    <xf numFmtId="3" fontId="2" fillId="0" borderId="221"/>
    <xf numFmtId="49" fontId="90" fillId="14" borderId="221">
      <alignment horizontal="center" vertical="center" wrapText="1"/>
    </xf>
    <xf numFmtId="0" fontId="2" fillId="0" borderId="317" applyNumberFormat="0" applyFont="0" applyFill="0" applyAlignment="0" applyProtection="0"/>
    <xf numFmtId="0" fontId="2" fillId="0" borderId="318" applyNumberFormat="0" applyFont="0" applyFill="0" applyAlignment="0" applyProtection="0"/>
    <xf numFmtId="0" fontId="175" fillId="27" borderId="329" applyNumberFormat="0" applyAlignment="0" applyProtection="0"/>
    <xf numFmtId="0" fontId="2" fillId="0" borderId="320" applyNumberFormat="0" applyFont="0" applyFill="0" applyAlignment="0" applyProtection="0"/>
    <xf numFmtId="0" fontId="2" fillId="0" borderId="320" applyNumberFormat="0" applyFont="0" applyFill="0" applyAlignment="0" applyProtection="0"/>
    <xf numFmtId="326" fontId="2" fillId="0" borderId="317" applyFill="0" applyAlignment="0" applyProtection="0"/>
    <xf numFmtId="326" fontId="2" fillId="0" borderId="318" applyFont="0" applyFill="0" applyAlignment="0" applyProtection="0"/>
    <xf numFmtId="326" fontId="2" fillId="0" borderId="319" applyFont="0" applyFill="0" applyAlignment="0" applyProtection="0"/>
    <xf numFmtId="327" fontId="2" fillId="0" borderId="317" applyFill="0" applyAlignment="0" applyProtection="0"/>
    <xf numFmtId="327" fontId="2" fillId="0" borderId="318" applyFont="0" applyFill="0" applyAlignment="0" applyProtection="0"/>
    <xf numFmtId="327" fontId="2" fillId="0" borderId="319" applyFont="0" applyFill="0" applyAlignment="0" applyProtection="0"/>
    <xf numFmtId="328" fontId="2" fillId="0" borderId="317" applyFill="0" applyAlignment="0" applyProtection="0"/>
    <xf numFmtId="328" fontId="2" fillId="0" borderId="318" applyFont="0" applyFill="0" applyAlignment="0" applyProtection="0"/>
    <xf numFmtId="328" fontId="2" fillId="0" borderId="319" applyFont="0" applyFill="0" applyAlignment="0" applyProtection="0"/>
    <xf numFmtId="0" fontId="2" fillId="0" borderId="322" applyNumberFormat="0" applyFont="0" applyFill="0" applyAlignment="0" applyProtection="0"/>
    <xf numFmtId="0" fontId="2" fillId="0" borderId="323" applyNumberFormat="0" applyFont="0" applyFill="0" applyAlignment="0" applyProtection="0"/>
    <xf numFmtId="0" fontId="2" fillId="0" borderId="320" applyNumberFormat="0"/>
    <xf numFmtId="0" fontId="2" fillId="0" borderId="322" applyNumberFormat="0"/>
    <xf numFmtId="0" fontId="2" fillId="0" borderId="323" applyNumberFormat="0"/>
    <xf numFmtId="0" fontId="2" fillId="0" borderId="320" applyNumberFormat="0" applyFont="0" applyFill="0" applyAlignment="0" applyProtection="0"/>
    <xf numFmtId="0" fontId="2" fillId="0" borderId="317" applyNumberFormat="0" applyFont="0" applyFill="0" applyAlignment="0" applyProtection="0"/>
    <xf numFmtId="0" fontId="2" fillId="0" borderId="318" applyNumberFormat="0" applyFont="0" applyFill="0" applyAlignment="0" applyProtection="0"/>
    <xf numFmtId="0" fontId="2" fillId="0" borderId="320" applyNumberFormat="0" applyFont="0" applyFill="0" applyAlignment="0" applyProtection="0"/>
    <xf numFmtId="0" fontId="2" fillId="0" borderId="322" applyNumberFormat="0" applyFont="0" applyFill="0" applyAlignment="0" applyProtection="0"/>
    <xf numFmtId="0" fontId="2" fillId="0" borderId="323" applyNumberFormat="0" applyFont="0" applyFill="0" applyAlignment="0" applyProtection="0"/>
    <xf numFmtId="0" fontId="247" fillId="0" borderId="316"/>
    <xf numFmtId="0" fontId="54" fillId="56" borderId="221" applyNumberFormat="0" applyAlignment="0">
      <alignment horizontal="center"/>
    </xf>
    <xf numFmtId="0" fontId="2" fillId="0" borderId="320" applyNumberFormat="0" applyFont="0" applyFill="0" applyAlignment="0" applyProtection="0"/>
    <xf numFmtId="0" fontId="130" fillId="0" borderId="309" applyFont="0" applyFill="0" applyBorder="0" applyAlignment="0" applyProtection="0">
      <alignment horizontal="center" vertical="center"/>
    </xf>
    <xf numFmtId="0" fontId="247" fillId="0" borderId="316"/>
    <xf numFmtId="0" fontId="54" fillId="56" borderId="327" applyNumberFormat="0" applyAlignment="0">
      <alignment horizontal="center"/>
    </xf>
    <xf numFmtId="0" fontId="69" fillId="0" borderId="311"/>
    <xf numFmtId="0" fontId="113" fillId="0" borderId="311"/>
    <xf numFmtId="0" fontId="178" fillId="0" borderId="312" applyNumberFormat="0" applyFill="0" applyAlignment="0" applyProtection="0"/>
    <xf numFmtId="0" fontId="2" fillId="60" borderId="315" applyNumberFormat="0" applyFont="0" applyAlignment="0" applyProtection="0"/>
    <xf numFmtId="0" fontId="139" fillId="50" borderId="329" applyNumberFormat="0" applyAlignment="0" applyProtection="0"/>
    <xf numFmtId="0" fontId="54" fillId="11" borderId="334">
      <alignment vertical="top" wrapText="1"/>
    </xf>
    <xf numFmtId="0" fontId="178" fillId="0" borderId="312" applyNumberFormat="0" applyFill="0" applyAlignment="0" applyProtection="0"/>
    <xf numFmtId="0" fontId="132" fillId="50" borderId="328" applyNumberFormat="0" applyAlignment="0" applyProtection="0"/>
    <xf numFmtId="0" fontId="175" fillId="27" borderId="329" applyNumberFormat="0" applyAlignment="0" applyProtection="0"/>
    <xf numFmtId="0" fontId="139" fillId="50" borderId="329" applyNumberFormat="0" applyAlignment="0" applyProtection="0"/>
    <xf numFmtId="0" fontId="175" fillId="27" borderId="329" applyNumberFormat="0" applyAlignment="0" applyProtection="0"/>
    <xf numFmtId="49" fontId="90" fillId="14" borderId="221">
      <alignment horizontal="center" vertical="center" wrapText="1"/>
    </xf>
    <xf numFmtId="10" fontId="57" fillId="2" borderId="221" applyNumberFormat="0" applyBorder="0" applyAlignment="0" applyProtection="0"/>
    <xf numFmtId="0" fontId="54" fillId="56" borderId="327" applyNumberFormat="0" applyAlignment="0">
      <alignment horizontal="center"/>
    </xf>
    <xf numFmtId="0" fontId="2" fillId="56" borderId="221" applyNumberFormat="0" applyProtection="0">
      <alignment vertical="center" wrapText="1"/>
    </xf>
    <xf numFmtId="0" fontId="2" fillId="0" borderId="221" applyNumberFormat="0">
      <alignment horizontal="left" wrapText="1"/>
      <protection locked="0"/>
    </xf>
    <xf numFmtId="0" fontId="69" fillId="0" borderId="311"/>
    <xf numFmtId="0" fontId="113" fillId="0" borderId="311"/>
    <xf numFmtId="0" fontId="178" fillId="0" borderId="312" applyNumberFormat="0" applyFill="0" applyAlignment="0" applyProtection="0"/>
    <xf numFmtId="3" fontId="36" fillId="0" borderId="221"/>
    <xf numFmtId="0" fontId="2" fillId="14" borderId="221" applyNumberFormat="0" applyAlignment="0"/>
    <xf numFmtId="214" fontId="2" fillId="48" borderId="221" applyProtection="0">
      <alignment horizontal="right"/>
      <protection locked="0"/>
    </xf>
    <xf numFmtId="10" fontId="57" fillId="2" borderId="221" applyNumberFormat="0" applyBorder="0" applyAlignment="0" applyProtection="0"/>
    <xf numFmtId="0" fontId="2" fillId="60" borderId="315" applyNumberFormat="0" applyFont="0" applyAlignment="0" applyProtection="0"/>
    <xf numFmtId="0" fontId="139" fillId="50" borderId="329" applyNumberFormat="0" applyAlignment="0" applyProtection="0"/>
    <xf numFmtId="3" fontId="2" fillId="0" borderId="221"/>
    <xf numFmtId="0" fontId="178" fillId="0" borderId="312" applyNumberFormat="0" applyFill="0" applyAlignment="0" applyProtection="0"/>
    <xf numFmtId="0" fontId="132" fillId="50" borderId="328" applyNumberFormat="0" applyAlignment="0" applyProtection="0"/>
    <xf numFmtId="0" fontId="175" fillId="27" borderId="329" applyNumberFormat="0" applyAlignment="0" applyProtection="0"/>
    <xf numFmtId="49" fontId="90" fillId="14" borderId="221">
      <alignment horizontal="center" vertical="center" wrapText="1"/>
    </xf>
    <xf numFmtId="0" fontId="132" fillId="50" borderId="328" applyNumberFormat="0" applyAlignment="0" applyProtection="0"/>
    <xf numFmtId="0" fontId="132" fillId="50" borderId="328" applyNumberFormat="0" applyAlignment="0" applyProtection="0"/>
    <xf numFmtId="0" fontId="57" fillId="0" borderId="326" applyNumberFormat="0" applyFill="0" applyAlignment="0" applyProtection="0"/>
    <xf numFmtId="0" fontId="175" fillId="27" borderId="329" applyNumberFormat="0" applyAlignment="0" applyProtection="0"/>
    <xf numFmtId="0" fontId="130" fillId="0" borderId="309" applyFont="0" applyFill="0" applyBorder="0" applyAlignment="0" applyProtection="0">
      <alignment horizontal="center" vertical="center"/>
    </xf>
    <xf numFmtId="0" fontId="2" fillId="14" borderId="221" applyNumberFormat="0" applyAlignment="0"/>
    <xf numFmtId="0" fontId="54" fillId="56" borderId="221" applyNumberFormat="0" applyAlignment="0">
      <alignment horizontal="center"/>
    </xf>
    <xf numFmtId="0" fontId="139" fillId="50" borderId="329" applyNumberFormat="0" applyAlignment="0" applyProtection="0"/>
    <xf numFmtId="0" fontId="132" fillId="50" borderId="328" applyNumberFormat="0" applyAlignment="0" applyProtection="0"/>
    <xf numFmtId="0" fontId="175" fillId="27" borderId="329" applyNumberFormat="0" applyAlignment="0" applyProtection="0"/>
    <xf numFmtId="265" fontId="2" fillId="48" borderId="221" applyProtection="0">
      <alignment horizontal="right"/>
    </xf>
    <xf numFmtId="0" fontId="2" fillId="0" borderId="221" applyNumberFormat="0" applyFont="0" applyFill="0" applyProtection="0">
      <alignment horizontal="center"/>
    </xf>
    <xf numFmtId="4" fontId="99" fillId="26" borderId="325" applyBorder="0"/>
    <xf numFmtId="4" fontId="99" fillId="27" borderId="325" applyBorder="0"/>
    <xf numFmtId="4" fontId="99" fillId="26" borderId="325" applyBorder="0"/>
    <xf numFmtId="4" fontId="99" fillId="27" borderId="325" applyBorder="0"/>
    <xf numFmtId="0" fontId="57" fillId="0" borderId="326" applyNumberFormat="0" applyFill="0" applyAlignment="0" applyProtection="0"/>
    <xf numFmtId="258" fontId="2" fillId="48" borderId="327" applyProtection="0">
      <alignment horizontal="right"/>
    </xf>
    <xf numFmtId="259" fontId="2" fillId="48" borderId="327" applyProtection="0">
      <alignment horizontal="right"/>
      <protection locked="0"/>
    </xf>
    <xf numFmtId="260" fontId="2" fillId="48" borderId="327" applyProtection="0">
      <alignment horizontal="right"/>
      <protection locked="0"/>
    </xf>
    <xf numFmtId="214" fontId="2" fillId="48" borderId="327" applyProtection="0">
      <alignment horizontal="right"/>
      <protection locked="0"/>
    </xf>
    <xf numFmtId="261" fontId="2" fillId="48" borderId="327" applyProtection="0">
      <alignment horizontal="right"/>
    </xf>
    <xf numFmtId="262" fontId="2" fillId="48" borderId="327" applyProtection="0">
      <alignment horizontal="right"/>
    </xf>
    <xf numFmtId="263" fontId="2" fillId="48" borderId="327" applyProtection="0">
      <alignment horizontal="right"/>
    </xf>
    <xf numFmtId="214" fontId="2" fillId="48" borderId="327" applyProtection="0">
      <alignment horizontal="right"/>
    </xf>
    <xf numFmtId="264" fontId="2" fillId="48" borderId="327" applyProtection="0">
      <alignment horizontal="right"/>
    </xf>
    <xf numFmtId="265" fontId="2" fillId="48" borderId="327" applyProtection="0">
      <alignment horizontal="right"/>
    </xf>
    <xf numFmtId="0" fontId="132" fillId="50" borderId="328" applyNumberFormat="0" applyAlignment="0" applyProtection="0"/>
    <xf numFmtId="0" fontId="139" fillId="50" borderId="329" applyNumberFormat="0" applyAlignment="0" applyProtection="0"/>
    <xf numFmtId="0" fontId="139" fillId="50" borderId="329" applyNumberFormat="0" applyAlignment="0" applyProtection="0"/>
    <xf numFmtId="3" fontId="2" fillId="0" borderId="327"/>
    <xf numFmtId="3" fontId="36" fillId="0" borderId="327"/>
    <xf numFmtId="3" fontId="2" fillId="0" borderId="327"/>
    <xf numFmtId="3" fontId="2" fillId="0" borderId="327"/>
    <xf numFmtId="3" fontId="2" fillId="0" borderId="327"/>
    <xf numFmtId="3" fontId="2" fillId="0" borderId="327"/>
    <xf numFmtId="3" fontId="2" fillId="0" borderId="327"/>
    <xf numFmtId="4" fontId="60" fillId="54" borderId="337" applyNumberFormat="0" applyProtection="0">
      <alignment horizontal="right" wrapText="1"/>
    </xf>
    <xf numFmtId="0" fontId="54" fillId="0" borderId="327">
      <alignment horizontal="left" wrapText="1"/>
    </xf>
    <xf numFmtId="49" fontId="90" fillId="14" borderId="327">
      <alignment horizontal="center" vertical="center" wrapText="1"/>
    </xf>
    <xf numFmtId="182" fontId="167" fillId="0" borderId="310">
      <protection locked="0"/>
    </xf>
    <xf numFmtId="37" fontId="69" fillId="0" borderId="311"/>
    <xf numFmtId="0" fontId="175" fillId="27" borderId="329" applyNumberFormat="0" applyAlignment="0" applyProtection="0"/>
    <xf numFmtId="0" fontId="178" fillId="0" borderId="312" applyNumberFormat="0" applyFill="0" applyAlignment="0" applyProtection="0"/>
    <xf numFmtId="0" fontId="14" fillId="0" borderId="313" applyBorder="0"/>
    <xf numFmtId="0" fontId="54" fillId="11" borderId="338">
      <alignment vertical="top" wrapText="1"/>
    </xf>
    <xf numFmtId="0" fontId="156" fillId="0" borderId="339" applyNumberFormat="0" applyAlignment="0" applyProtection="0">
      <alignment horizontal="left" vertical="center"/>
    </xf>
    <xf numFmtId="0" fontId="156" fillId="0" borderId="313">
      <alignment horizontal="left" vertical="center"/>
    </xf>
    <xf numFmtId="10" fontId="57" fillId="2" borderId="327" applyNumberFormat="0" applyBorder="0" applyAlignment="0" applyProtection="0"/>
    <xf numFmtId="0" fontId="175" fillId="27" borderId="329" applyNumberFormat="0" applyAlignment="0" applyProtection="0"/>
    <xf numFmtId="0" fontId="2" fillId="0" borderId="327" applyNumberFormat="0">
      <alignment horizontal="left" wrapText="1"/>
      <protection locked="0"/>
    </xf>
    <xf numFmtId="0" fontId="197" fillId="0" borderId="314" applyNumberFormat="0" applyFill="0" applyAlignment="0" applyProtection="0"/>
    <xf numFmtId="0" fontId="2" fillId="56" borderId="327" applyNumberFormat="0" applyProtection="0">
      <alignment vertical="center" wrapText="1"/>
    </xf>
    <xf numFmtId="0" fontId="2" fillId="14" borderId="327" applyNumberFormat="0" applyAlignment="0"/>
    <xf numFmtId="0" fontId="2" fillId="59" borderId="327" applyNumberFormat="0" applyFont="0" applyBorder="0" applyAlignment="0" applyProtection="0"/>
    <xf numFmtId="0" fontId="216" fillId="60" borderId="315" applyNumberFormat="0" applyFont="0" applyAlignment="0" applyProtection="0"/>
    <xf numFmtId="0" fontId="91" fillId="60" borderId="315" applyNumberFormat="0" applyFont="0" applyAlignment="0" applyProtection="0"/>
    <xf numFmtId="0" fontId="132" fillId="50" borderId="328" applyNumberFormat="0" applyAlignment="0" applyProtection="0"/>
    <xf numFmtId="320" fontId="2" fillId="0" borderId="327" applyFont="0" applyFill="0" applyBorder="0" applyAlignment="0" applyProtection="0"/>
    <xf numFmtId="3" fontId="60" fillId="54" borderId="337" applyNumberFormat="0" applyFill="0" applyBorder="0" applyProtection="0">
      <alignment horizontal="left"/>
    </xf>
    <xf numFmtId="320" fontId="2" fillId="0" borderId="221" applyFont="0" applyFill="0" applyBorder="0" applyAlignment="0" applyProtection="0"/>
    <xf numFmtId="0" fontId="132" fillId="50" borderId="328" applyNumberFormat="0" applyAlignment="0" applyProtection="0"/>
    <xf numFmtId="0" fontId="2" fillId="59" borderId="221" applyNumberFormat="0" applyFont="0" applyBorder="0" applyAlignment="0" applyProtection="0"/>
    <xf numFmtId="0" fontId="2" fillId="14" borderId="221" applyNumberFormat="0" applyAlignment="0"/>
    <xf numFmtId="0" fontId="2" fillId="56" borderId="221" applyNumberFormat="0" applyProtection="0">
      <alignment vertical="center" wrapText="1"/>
    </xf>
    <xf numFmtId="0" fontId="2" fillId="0" borderId="221" applyNumberFormat="0">
      <alignment horizontal="left" wrapText="1"/>
      <protection locked="0"/>
    </xf>
    <xf numFmtId="0" fontId="175" fillId="27" borderId="329" applyNumberFormat="0" applyAlignment="0" applyProtection="0"/>
    <xf numFmtId="10" fontId="57" fillId="2" borderId="221" applyNumberFormat="0" applyBorder="0" applyAlignment="0" applyProtection="0"/>
    <xf numFmtId="0" fontId="175" fillId="27" borderId="329" applyNumberFormat="0" applyAlignment="0" applyProtection="0"/>
    <xf numFmtId="49" fontId="90" fillId="14" borderId="221">
      <alignment horizontal="center" vertical="center" wrapText="1"/>
    </xf>
    <xf numFmtId="0" fontId="54" fillId="0" borderId="221">
      <alignment horizontal="left" wrapText="1"/>
    </xf>
    <xf numFmtId="3" fontId="2" fillId="0" borderId="221"/>
    <xf numFmtId="3" fontId="2" fillId="0" borderId="221"/>
    <xf numFmtId="3" fontId="2" fillId="0" borderId="221"/>
    <xf numFmtId="3" fontId="36" fillId="0" borderId="221"/>
    <xf numFmtId="0" fontId="139" fillId="50" borderId="329" applyNumberFormat="0" applyAlignment="0" applyProtection="0"/>
    <xf numFmtId="0" fontId="139" fillId="50" borderId="329" applyNumberFormat="0" applyAlignment="0" applyProtection="0"/>
    <xf numFmtId="0" fontId="132" fillId="50" borderId="328" applyNumberFormat="0" applyAlignment="0" applyProtection="0"/>
    <xf numFmtId="265" fontId="2" fillId="48" borderId="221" applyProtection="0">
      <alignment horizontal="right"/>
    </xf>
    <xf numFmtId="264" fontId="2" fillId="48" borderId="221" applyProtection="0">
      <alignment horizontal="right"/>
    </xf>
    <xf numFmtId="214" fontId="2" fillId="48" borderId="221" applyProtection="0">
      <alignment horizontal="right"/>
    </xf>
    <xf numFmtId="263" fontId="2" fillId="48" borderId="221" applyProtection="0">
      <alignment horizontal="right"/>
    </xf>
    <xf numFmtId="262" fontId="2" fillId="48" borderId="221" applyProtection="0">
      <alignment horizontal="right"/>
    </xf>
    <xf numFmtId="261" fontId="2" fillId="48" borderId="221" applyProtection="0">
      <alignment horizontal="right"/>
    </xf>
    <xf numFmtId="214" fontId="2" fillId="48" borderId="221" applyProtection="0">
      <alignment horizontal="right"/>
      <protection locked="0"/>
    </xf>
    <xf numFmtId="260" fontId="2" fillId="48" borderId="221" applyProtection="0">
      <alignment horizontal="right"/>
      <protection locked="0"/>
    </xf>
    <xf numFmtId="259" fontId="2" fillId="48" borderId="221" applyProtection="0">
      <alignment horizontal="right"/>
      <protection locked="0"/>
    </xf>
    <xf numFmtId="258" fontId="2" fillId="48" borderId="221" applyProtection="0">
      <alignment horizontal="right"/>
    </xf>
    <xf numFmtId="0" fontId="57" fillId="0" borderId="326" applyNumberFormat="0" applyFill="0" applyAlignment="0" applyProtection="0"/>
    <xf numFmtId="0" fontId="14" fillId="35" borderId="221"/>
    <xf numFmtId="4" fontId="99" fillId="27" borderId="325" applyBorder="0"/>
    <xf numFmtId="4" fontId="99" fillId="26" borderId="325" applyBorder="0"/>
    <xf numFmtId="4" fontId="99" fillId="27" borderId="325" applyBorder="0"/>
    <xf numFmtId="4" fontId="99" fillId="26" borderId="325" applyBorder="0"/>
    <xf numFmtId="0" fontId="229" fillId="1" borderId="313" applyNumberFormat="0" applyFont="0" applyAlignment="0">
      <alignment horizontal="center"/>
    </xf>
    <xf numFmtId="0" fontId="238" fillId="0" borderId="316"/>
    <xf numFmtId="0" fontId="113" fillId="0" borderId="311"/>
    <xf numFmtId="0" fontId="239" fillId="52" borderId="317" applyNumberFormat="0" applyProtection="0">
      <alignment horizontal="right"/>
    </xf>
    <xf numFmtId="0" fontId="239" fillId="52" borderId="318" applyNumberFormat="0" applyProtection="0">
      <alignment horizontal="right"/>
    </xf>
    <xf numFmtId="0" fontId="239" fillId="52" borderId="319" applyNumberFormat="0" applyProtection="0">
      <alignment horizontal="right"/>
    </xf>
    <xf numFmtId="0" fontId="2" fillId="0" borderId="327" applyNumberFormat="0" applyFont="0" applyFill="0" applyProtection="0">
      <alignment horizontal="center"/>
    </xf>
    <xf numFmtId="0" fontId="239" fillId="52" borderId="315" applyNumberFormat="0" applyAlignment="0" applyProtection="0"/>
    <xf numFmtId="0" fontId="54" fillId="0" borderId="317" applyNumberFormat="0" applyFill="0" applyProtection="0">
      <alignment horizontal="right"/>
    </xf>
    <xf numFmtId="0" fontId="54" fillId="0" borderId="318" applyNumberFormat="0" applyFill="0" applyProtection="0">
      <alignment horizontal="right"/>
    </xf>
    <xf numFmtId="0" fontId="54" fillId="0" borderId="319" applyNumberFormat="0" applyFill="0" applyProtection="0">
      <alignment horizontal="right"/>
    </xf>
    <xf numFmtId="0" fontId="2" fillId="0" borderId="320" applyNumberFormat="0" applyFont="0" applyFill="0" applyAlignment="0" applyProtection="0"/>
    <xf numFmtId="327" fontId="52" fillId="0" borderId="340" applyFill="0" applyAlignment="0" applyProtection="0"/>
    <xf numFmtId="327" fontId="52" fillId="0" borderId="340" applyFill="0" applyAlignment="0" applyProtection="0"/>
    <xf numFmtId="0" fontId="2" fillId="0" borderId="320" applyNumberFormat="0" applyFont="0" applyFill="0" applyAlignment="0" applyProtection="0"/>
    <xf numFmtId="326" fontId="2" fillId="0" borderId="317" applyFill="0" applyAlignment="0" applyProtection="0"/>
    <xf numFmtId="326" fontId="2" fillId="0" borderId="318" applyFont="0" applyFill="0" applyAlignment="0" applyProtection="0"/>
    <xf numFmtId="326" fontId="2" fillId="0" borderId="319" applyFont="0" applyFill="0" applyAlignment="0" applyProtection="0"/>
    <xf numFmtId="327" fontId="2" fillId="0" borderId="317" applyFill="0" applyAlignment="0" applyProtection="0"/>
    <xf numFmtId="327" fontId="2" fillId="0" borderId="318" applyFont="0" applyFill="0" applyAlignment="0" applyProtection="0"/>
    <xf numFmtId="327" fontId="2" fillId="0" borderId="319" applyFont="0" applyFill="0" applyAlignment="0" applyProtection="0"/>
    <xf numFmtId="328" fontId="2" fillId="0" borderId="317" applyFill="0" applyAlignment="0" applyProtection="0"/>
    <xf numFmtId="328" fontId="2" fillId="0" borderId="318" applyFont="0" applyFill="0" applyAlignment="0" applyProtection="0"/>
    <xf numFmtId="328" fontId="2" fillId="0" borderId="319" applyFont="0" applyFill="0" applyAlignment="0" applyProtection="0"/>
    <xf numFmtId="3" fontId="72" fillId="0" borderId="221"/>
    <xf numFmtId="0" fontId="2" fillId="0" borderId="320" applyNumberFormat="0"/>
    <xf numFmtId="0" fontId="2" fillId="0" borderId="322" applyNumberFormat="0"/>
    <xf numFmtId="0" fontId="2" fillId="0" borderId="323" applyNumberFormat="0"/>
    <xf numFmtId="0" fontId="2" fillId="0" borderId="317" applyNumberFormat="0" applyFont="0" applyFill="0" applyAlignment="0" applyProtection="0"/>
    <xf numFmtId="0" fontId="2" fillId="0" borderId="318" applyNumberFormat="0" applyFont="0" applyFill="0" applyAlignment="0" applyProtection="0"/>
    <xf numFmtId="0" fontId="2" fillId="0" borderId="320" applyNumberFormat="0" applyFont="0" applyFill="0" applyAlignment="0" applyProtection="0"/>
    <xf numFmtId="0" fontId="2" fillId="0" borderId="322" applyNumberFormat="0" applyFont="0" applyFill="0" applyAlignment="0" applyProtection="0"/>
    <xf numFmtId="0" fontId="2" fillId="0" borderId="323" applyNumberFormat="0" applyFont="0" applyFill="0" applyAlignment="0" applyProtection="0"/>
    <xf numFmtId="0" fontId="2" fillId="0" borderId="320" applyNumberFormat="0" applyFont="0" applyFill="0" applyAlignment="0" applyProtection="0"/>
    <xf numFmtId="0" fontId="247" fillId="0" borderId="316"/>
    <xf numFmtId="0" fontId="54" fillId="56" borderId="327" applyNumberFormat="0" applyAlignment="0">
      <alignment horizontal="center"/>
    </xf>
    <xf numFmtId="0" fontId="69" fillId="0" borderId="311"/>
    <xf numFmtId="0" fontId="113" fillId="0" borderId="311"/>
    <xf numFmtId="0" fontId="178" fillId="0" borderId="312" applyNumberFormat="0" applyFill="0" applyAlignment="0" applyProtection="0"/>
    <xf numFmtId="3" fontId="2" fillId="0" borderId="221"/>
    <xf numFmtId="0" fontId="2" fillId="60" borderId="315" applyNumberFormat="0" applyFont="0" applyAlignment="0" applyProtection="0"/>
    <xf numFmtId="0" fontId="139" fillId="50" borderId="329" applyNumberFormat="0" applyAlignment="0" applyProtection="0"/>
    <xf numFmtId="0" fontId="178" fillId="0" borderId="312" applyNumberFormat="0" applyFill="0" applyAlignment="0" applyProtection="0"/>
    <xf numFmtId="0" fontId="132" fillId="50" borderId="328" applyNumberFormat="0" applyAlignment="0" applyProtection="0"/>
    <xf numFmtId="0" fontId="175" fillId="27" borderId="329" applyNumberFormat="0" applyAlignment="0" applyProtection="0"/>
    <xf numFmtId="0" fontId="54" fillId="56" borderId="221" applyNumberFormat="0" applyAlignment="0">
      <alignment horizontal="center"/>
    </xf>
    <xf numFmtId="0" fontId="139" fillId="50" borderId="329" applyNumberFormat="0" applyAlignment="0" applyProtection="0"/>
    <xf numFmtId="0" fontId="132" fillId="50" borderId="328" applyNumberFormat="0" applyAlignment="0" applyProtection="0"/>
    <xf numFmtId="0" fontId="175" fillId="27" borderId="329" applyNumberFormat="0" applyAlignment="0" applyProtection="0"/>
    <xf numFmtId="0" fontId="175" fillId="27" borderId="329" applyNumberFormat="0" applyAlignment="0" applyProtection="0"/>
    <xf numFmtId="0" fontId="132" fillId="50" borderId="328" applyNumberFormat="0" applyAlignment="0" applyProtection="0"/>
    <xf numFmtId="0" fontId="178" fillId="0" borderId="312" applyNumberFormat="0" applyFill="0" applyAlignment="0" applyProtection="0"/>
    <xf numFmtId="0" fontId="139" fillId="50" borderId="329" applyNumberFormat="0" applyAlignment="0" applyProtection="0"/>
    <xf numFmtId="0" fontId="2" fillId="60" borderId="315" applyNumberFormat="0" applyFont="0" applyAlignment="0" applyProtection="0"/>
    <xf numFmtId="0" fontId="178" fillId="0" borderId="312" applyNumberFormat="0" applyFill="0" applyAlignment="0" applyProtection="0"/>
    <xf numFmtId="0" fontId="113" fillId="0" borderId="311"/>
    <xf numFmtId="0" fontId="69" fillId="0" borderId="311"/>
    <xf numFmtId="0" fontId="54" fillId="56" borderId="327" applyNumberFormat="0" applyAlignment="0">
      <alignment horizontal="center"/>
    </xf>
    <xf numFmtId="0" fontId="247" fillId="0" borderId="316"/>
    <xf numFmtId="0" fontId="2" fillId="0" borderId="320" applyNumberFormat="0" applyFont="0" applyFill="0" applyAlignment="0" applyProtection="0"/>
    <xf numFmtId="0" fontId="2" fillId="0" borderId="323" applyNumberFormat="0" applyFont="0" applyFill="0" applyAlignment="0" applyProtection="0"/>
    <xf numFmtId="0" fontId="2" fillId="0" borderId="322" applyNumberFormat="0" applyFont="0" applyFill="0" applyAlignment="0" applyProtection="0"/>
    <xf numFmtId="0" fontId="2" fillId="0" borderId="320" applyNumberFormat="0" applyFont="0" applyFill="0" applyAlignment="0" applyProtection="0"/>
    <xf numFmtId="0" fontId="2" fillId="0" borderId="318" applyNumberFormat="0" applyFont="0" applyFill="0" applyAlignment="0" applyProtection="0"/>
    <xf numFmtId="0" fontId="2" fillId="0" borderId="317" applyNumberFormat="0" applyFont="0" applyFill="0" applyAlignment="0" applyProtection="0"/>
    <xf numFmtId="0" fontId="2" fillId="0" borderId="323" applyNumberFormat="0"/>
    <xf numFmtId="0" fontId="2" fillId="0" borderId="322" applyNumberFormat="0"/>
    <xf numFmtId="0" fontId="2" fillId="0" borderId="320" applyNumberFormat="0"/>
    <xf numFmtId="328" fontId="2" fillId="0" borderId="319" applyFont="0" applyFill="0" applyAlignment="0" applyProtection="0"/>
    <xf numFmtId="328" fontId="2" fillId="0" borderId="318" applyFont="0" applyFill="0" applyAlignment="0" applyProtection="0"/>
    <xf numFmtId="328" fontId="2" fillId="0" borderId="317" applyFill="0" applyAlignment="0" applyProtection="0"/>
    <xf numFmtId="327" fontId="2" fillId="0" borderId="319" applyFont="0" applyFill="0" applyAlignment="0" applyProtection="0"/>
    <xf numFmtId="327" fontId="2" fillId="0" borderId="318" applyFont="0" applyFill="0" applyAlignment="0" applyProtection="0"/>
    <xf numFmtId="327" fontId="2" fillId="0" borderId="317" applyFill="0" applyAlignment="0" applyProtection="0"/>
    <xf numFmtId="326" fontId="2" fillId="0" borderId="319" applyFont="0" applyFill="0" applyAlignment="0" applyProtection="0"/>
    <xf numFmtId="326" fontId="2" fillId="0" borderId="318" applyFont="0" applyFill="0" applyAlignment="0" applyProtection="0"/>
    <xf numFmtId="326" fontId="2" fillId="0" borderId="317" applyFill="0" applyAlignment="0" applyProtection="0"/>
    <xf numFmtId="0" fontId="2" fillId="0" borderId="320" applyNumberFormat="0" applyFont="0" applyFill="0" applyAlignment="0" applyProtection="0"/>
    <xf numFmtId="0" fontId="2" fillId="0" borderId="320" applyNumberFormat="0" applyFont="0" applyFill="0" applyAlignment="0" applyProtection="0"/>
    <xf numFmtId="0" fontId="54" fillId="0" borderId="319" applyNumberFormat="0" applyFill="0" applyProtection="0">
      <alignment horizontal="right"/>
    </xf>
    <xf numFmtId="0" fontId="54" fillId="0" borderId="318" applyNumberFormat="0" applyFill="0" applyProtection="0">
      <alignment horizontal="right"/>
    </xf>
    <xf numFmtId="0" fontId="54" fillId="0" borderId="317" applyNumberFormat="0" applyFill="0" applyProtection="0">
      <alignment horizontal="right"/>
    </xf>
    <xf numFmtId="0" fontId="239" fillId="52" borderId="315" applyNumberFormat="0" applyAlignment="0" applyProtection="0"/>
    <xf numFmtId="0" fontId="2" fillId="0" borderId="327" applyNumberFormat="0" applyFont="0" applyFill="0" applyProtection="0">
      <alignment horizontal="center"/>
    </xf>
    <xf numFmtId="0" fontId="239" fillId="52" borderId="319" applyNumberFormat="0" applyProtection="0">
      <alignment horizontal="right"/>
    </xf>
    <xf numFmtId="0" fontId="239" fillId="52" borderId="318" applyNumberFormat="0" applyProtection="0">
      <alignment horizontal="right"/>
    </xf>
    <xf numFmtId="0" fontId="239" fillId="52" borderId="317" applyNumberFormat="0" applyProtection="0">
      <alignment horizontal="right"/>
    </xf>
    <xf numFmtId="0" fontId="113" fillId="0" borderId="311"/>
    <xf numFmtId="0" fontId="238" fillId="0" borderId="316"/>
    <xf numFmtId="0" fontId="229" fillId="1" borderId="313" applyNumberFormat="0" applyFont="0" applyAlignment="0">
      <alignment horizontal="center"/>
    </xf>
    <xf numFmtId="3" fontId="60" fillId="54" borderId="337" applyNumberFormat="0" applyFill="0" applyBorder="0" applyProtection="0">
      <alignment horizontal="left"/>
    </xf>
    <xf numFmtId="320" fontId="2" fillId="0" borderId="327" applyFont="0" applyFill="0" applyBorder="0" applyAlignment="0" applyProtection="0"/>
    <xf numFmtId="0" fontId="132" fillId="50" borderId="328" applyNumberFormat="0" applyAlignment="0" applyProtection="0"/>
    <xf numFmtId="0" fontId="91" fillId="60" borderId="315" applyNumberFormat="0" applyFont="0" applyAlignment="0" applyProtection="0"/>
    <xf numFmtId="0" fontId="216" fillId="60" borderId="315" applyNumberFormat="0" applyFont="0" applyAlignment="0" applyProtection="0"/>
    <xf numFmtId="0" fontId="2" fillId="59" borderId="327" applyNumberFormat="0" applyFont="0" applyBorder="0" applyAlignment="0" applyProtection="0"/>
    <xf numFmtId="0" fontId="2" fillId="14" borderId="327" applyNumberFormat="0" applyAlignment="0"/>
    <xf numFmtId="0" fontId="2" fillId="56" borderId="327" applyNumberFormat="0" applyProtection="0">
      <alignment vertical="center" wrapText="1"/>
    </xf>
    <xf numFmtId="0" fontId="197" fillId="0" borderId="314" applyNumberFormat="0" applyFill="0" applyAlignment="0" applyProtection="0"/>
    <xf numFmtId="0" fontId="2" fillId="0" borderId="327" applyNumberFormat="0">
      <alignment horizontal="left" wrapText="1"/>
      <protection locked="0"/>
    </xf>
    <xf numFmtId="0" fontId="175" fillId="27" borderId="329" applyNumberFormat="0" applyAlignment="0" applyProtection="0"/>
    <xf numFmtId="10" fontId="57" fillId="2" borderId="327" applyNumberFormat="0" applyBorder="0" applyAlignment="0" applyProtection="0"/>
    <xf numFmtId="0" fontId="156" fillId="0" borderId="313">
      <alignment horizontal="left" vertical="center"/>
    </xf>
    <xf numFmtId="0" fontId="156" fillId="0" borderId="339" applyNumberFormat="0" applyAlignment="0" applyProtection="0">
      <alignment horizontal="left" vertical="center"/>
    </xf>
    <xf numFmtId="0" fontId="54" fillId="11" borderId="338">
      <alignment vertical="top" wrapText="1"/>
    </xf>
    <xf numFmtId="0" fontId="14" fillId="0" borderId="313" applyBorder="0"/>
    <xf numFmtId="0" fontId="178" fillId="0" borderId="312" applyNumberFormat="0" applyFill="0" applyAlignment="0" applyProtection="0"/>
    <xf numFmtId="0" fontId="175" fillId="27" borderId="329" applyNumberFormat="0" applyAlignment="0" applyProtection="0"/>
    <xf numFmtId="37" fontId="69" fillId="0" borderId="311"/>
    <xf numFmtId="182" fontId="167" fillId="0" borderId="310">
      <protection locked="0"/>
    </xf>
    <xf numFmtId="49" fontId="90" fillId="14" borderId="327">
      <alignment horizontal="center" vertical="center" wrapText="1"/>
    </xf>
    <xf numFmtId="0" fontId="54" fillId="0" borderId="327">
      <alignment horizontal="left" wrapText="1"/>
    </xf>
    <xf numFmtId="4" fontId="60" fillId="54" borderId="337" applyNumberFormat="0" applyProtection="0">
      <alignment horizontal="right" wrapText="1"/>
    </xf>
    <xf numFmtId="3" fontId="2" fillId="0" borderId="327"/>
    <xf numFmtId="3" fontId="2" fillId="0" borderId="327"/>
    <xf numFmtId="3" fontId="2" fillId="0" borderId="327"/>
    <xf numFmtId="3" fontId="2" fillId="0" borderId="327"/>
    <xf numFmtId="3" fontId="2" fillId="0" borderId="327"/>
    <xf numFmtId="3" fontId="36" fillId="0" borderId="327"/>
    <xf numFmtId="3" fontId="2" fillId="0" borderId="327"/>
    <xf numFmtId="0" fontId="139" fillId="50" borderId="329" applyNumberFormat="0" applyAlignment="0" applyProtection="0"/>
    <xf numFmtId="0" fontId="139" fillId="50" borderId="329" applyNumberFormat="0" applyAlignment="0" applyProtection="0"/>
    <xf numFmtId="0" fontId="132" fillId="50" borderId="328" applyNumberFormat="0" applyAlignment="0" applyProtection="0"/>
    <xf numFmtId="265" fontId="2" fillId="48" borderId="327" applyProtection="0">
      <alignment horizontal="right"/>
    </xf>
    <xf numFmtId="264" fontId="2" fillId="48" borderId="327" applyProtection="0">
      <alignment horizontal="right"/>
    </xf>
    <xf numFmtId="214" fontId="2" fillId="48" borderId="327" applyProtection="0">
      <alignment horizontal="right"/>
    </xf>
    <xf numFmtId="263" fontId="2" fillId="48" borderId="327" applyProtection="0">
      <alignment horizontal="right"/>
    </xf>
    <xf numFmtId="262" fontId="2" fillId="48" borderId="327" applyProtection="0">
      <alignment horizontal="right"/>
    </xf>
    <xf numFmtId="261" fontId="2" fillId="48" borderId="327" applyProtection="0">
      <alignment horizontal="right"/>
    </xf>
    <xf numFmtId="214" fontId="2" fillId="48" borderId="327" applyProtection="0">
      <alignment horizontal="right"/>
      <protection locked="0"/>
    </xf>
    <xf numFmtId="260" fontId="2" fillId="48" borderId="327" applyProtection="0">
      <alignment horizontal="right"/>
      <protection locked="0"/>
    </xf>
    <xf numFmtId="259" fontId="2" fillId="48" borderId="327" applyProtection="0">
      <alignment horizontal="right"/>
      <protection locked="0"/>
    </xf>
    <xf numFmtId="258" fontId="2" fillId="48" borderId="327" applyProtection="0">
      <alignment horizontal="right"/>
    </xf>
    <xf numFmtId="0" fontId="57" fillId="0" borderId="326" applyNumberFormat="0" applyFill="0" applyAlignment="0" applyProtection="0"/>
    <xf numFmtId="4" fontId="99" fillId="27" borderId="325" applyBorder="0"/>
    <xf numFmtId="4" fontId="99" fillId="26" borderId="325" applyBorder="0"/>
    <xf numFmtId="4" fontId="99" fillId="27" borderId="325" applyBorder="0"/>
    <xf numFmtId="4" fontId="99" fillId="26" borderId="325" applyBorder="0"/>
    <xf numFmtId="0" fontId="2" fillId="60" borderId="315" applyNumberFormat="0" applyFont="0" applyAlignment="0" applyProtection="0"/>
    <xf numFmtId="0" fontId="175" fillId="27" borderId="329" applyNumberFormat="0" applyAlignment="0" applyProtection="0"/>
    <xf numFmtId="0" fontId="2" fillId="0" borderId="221" applyNumberFormat="0" applyFont="0" applyFill="0" applyProtection="0">
      <alignment horizontal="center"/>
    </xf>
    <xf numFmtId="4" fontId="99" fillId="26" borderId="325" applyBorder="0"/>
    <xf numFmtId="4" fontId="99" fillId="27" borderId="325" applyBorder="0"/>
    <xf numFmtId="4" fontId="99" fillId="26" borderId="325" applyBorder="0"/>
    <xf numFmtId="4" fontId="99" fillId="27" borderId="325" applyBorder="0"/>
    <xf numFmtId="0" fontId="57" fillId="0" borderId="326" applyNumberFormat="0" applyFill="0" applyAlignment="0" applyProtection="0"/>
    <xf numFmtId="0" fontId="132" fillId="50" borderId="328" applyNumberFormat="0" applyAlignment="0" applyProtection="0"/>
    <xf numFmtId="0" fontId="139" fillId="50" borderId="329" applyNumberFormat="0" applyAlignment="0" applyProtection="0"/>
    <xf numFmtId="0" fontId="139" fillId="50" borderId="329" applyNumberFormat="0" applyAlignment="0" applyProtection="0"/>
    <xf numFmtId="0" fontId="106" fillId="0" borderId="308" applyNumberFormat="0" applyFill="0" applyAlignment="0" applyProtection="0"/>
    <xf numFmtId="4" fontId="60" fillId="54" borderId="341" applyNumberFormat="0" applyProtection="0">
      <alignment horizontal="right" wrapText="1"/>
    </xf>
    <xf numFmtId="262" fontId="2" fillId="48" borderId="221" applyProtection="0">
      <alignment horizontal="right"/>
    </xf>
    <xf numFmtId="214" fontId="2" fillId="48" borderId="221" applyProtection="0">
      <alignment horizontal="right"/>
    </xf>
    <xf numFmtId="182" fontId="167" fillId="0" borderId="310">
      <protection locked="0"/>
    </xf>
    <xf numFmtId="37" fontId="69" fillId="0" borderId="311"/>
    <xf numFmtId="0" fontId="175" fillId="27" borderId="329" applyNumberFormat="0" applyAlignment="0" applyProtection="0"/>
    <xf numFmtId="0" fontId="178" fillId="0" borderId="312" applyNumberFormat="0" applyFill="0" applyAlignment="0" applyProtection="0"/>
    <xf numFmtId="0" fontId="54" fillId="11" borderId="342">
      <alignment vertical="top" wrapText="1"/>
    </xf>
    <xf numFmtId="0" fontId="156" fillId="0" borderId="343" applyNumberFormat="0" applyAlignment="0" applyProtection="0">
      <alignment horizontal="left" vertical="center"/>
    </xf>
    <xf numFmtId="0" fontId="175" fillId="27" borderId="329" applyNumberFormat="0" applyAlignment="0" applyProtection="0"/>
    <xf numFmtId="0" fontId="197" fillId="0" borderId="314" applyNumberFormat="0" applyFill="0" applyAlignment="0" applyProtection="0"/>
    <xf numFmtId="0" fontId="216" fillId="60" borderId="315" applyNumberFormat="0" applyFont="0" applyAlignment="0" applyProtection="0"/>
    <xf numFmtId="0" fontId="91" fillId="60" borderId="315" applyNumberFormat="0" applyFont="0" applyAlignment="0" applyProtection="0"/>
    <xf numFmtId="0" fontId="132" fillId="50" borderId="328" applyNumberFormat="0" applyAlignment="0" applyProtection="0"/>
    <xf numFmtId="3" fontId="60" fillId="54" borderId="341" applyNumberFormat="0" applyFill="0" applyBorder="0" applyProtection="0">
      <alignment horizontal="left"/>
    </xf>
    <xf numFmtId="320" fontId="2" fillId="0" borderId="221" applyFont="0" applyFill="0" applyBorder="0" applyAlignment="0" applyProtection="0"/>
    <xf numFmtId="0" fontId="132" fillId="50" borderId="328" applyNumberFormat="0" applyAlignment="0" applyProtection="0"/>
    <xf numFmtId="0" fontId="2" fillId="59" borderId="221" applyNumberFormat="0" applyFont="0" applyBorder="0" applyAlignment="0" applyProtection="0"/>
    <xf numFmtId="0" fontId="2" fillId="14" borderId="221" applyNumberFormat="0" applyAlignment="0"/>
    <xf numFmtId="0" fontId="2" fillId="56" borderId="221" applyNumberFormat="0" applyProtection="0">
      <alignment vertical="center" wrapText="1"/>
    </xf>
    <xf numFmtId="0" fontId="2" fillId="0" borderId="221" applyNumberFormat="0">
      <alignment horizontal="left" wrapText="1"/>
      <protection locked="0"/>
    </xf>
    <xf numFmtId="0" fontId="175" fillId="27" borderId="329" applyNumberFormat="0" applyAlignment="0" applyProtection="0"/>
    <xf numFmtId="10" fontId="57" fillId="2" borderId="221" applyNumberFormat="0" applyBorder="0" applyAlignment="0" applyProtection="0"/>
    <xf numFmtId="0" fontId="175" fillId="27" borderId="329" applyNumberFormat="0" applyAlignment="0" applyProtection="0"/>
    <xf numFmtId="49" fontId="90" fillId="14" borderId="221">
      <alignment horizontal="center" vertical="center" wrapText="1"/>
    </xf>
    <xf numFmtId="0" fontId="54" fillId="0" borderId="221">
      <alignment horizontal="left" wrapText="1"/>
    </xf>
    <xf numFmtId="3" fontId="2" fillId="0" borderId="221"/>
    <xf numFmtId="3" fontId="2" fillId="0" borderId="221"/>
    <xf numFmtId="3" fontId="2" fillId="0" borderId="221"/>
    <xf numFmtId="3" fontId="36" fillId="0" borderId="221"/>
    <xf numFmtId="0" fontId="139" fillId="50" borderId="329" applyNumberFormat="0" applyAlignment="0" applyProtection="0"/>
    <xf numFmtId="0" fontId="139" fillId="50" borderId="329" applyNumberFormat="0" applyAlignment="0" applyProtection="0"/>
    <xf numFmtId="0" fontId="132" fillId="50" borderId="328" applyNumberFormat="0" applyAlignment="0" applyProtection="0"/>
    <xf numFmtId="265" fontId="2" fillId="48" borderId="221" applyProtection="0">
      <alignment horizontal="right"/>
    </xf>
    <xf numFmtId="264" fontId="2" fillId="48" borderId="221" applyProtection="0">
      <alignment horizontal="right"/>
    </xf>
    <xf numFmtId="214" fontId="2" fillId="48" borderId="221" applyProtection="0">
      <alignment horizontal="right"/>
    </xf>
    <xf numFmtId="263" fontId="2" fillId="48" borderId="221" applyProtection="0">
      <alignment horizontal="right"/>
    </xf>
    <xf numFmtId="262" fontId="2" fillId="48" borderId="221" applyProtection="0">
      <alignment horizontal="right"/>
    </xf>
    <xf numFmtId="261" fontId="2" fillId="48" borderId="221" applyProtection="0">
      <alignment horizontal="right"/>
    </xf>
    <xf numFmtId="214" fontId="2" fillId="48" borderId="221" applyProtection="0">
      <alignment horizontal="right"/>
      <protection locked="0"/>
    </xf>
    <xf numFmtId="260" fontId="2" fillId="48" borderId="221" applyProtection="0">
      <alignment horizontal="right"/>
      <protection locked="0"/>
    </xf>
    <xf numFmtId="259" fontId="2" fillId="48" borderId="221" applyProtection="0">
      <alignment horizontal="right"/>
      <protection locked="0"/>
    </xf>
    <xf numFmtId="258" fontId="2" fillId="48" borderId="221" applyProtection="0">
      <alignment horizontal="right"/>
    </xf>
    <xf numFmtId="0" fontId="57" fillId="0" borderId="326" applyNumberFormat="0" applyFill="0" applyAlignment="0" applyProtection="0"/>
    <xf numFmtId="0" fontId="14" fillId="35" borderId="221"/>
    <xf numFmtId="4" fontId="99" fillId="27" borderId="325" applyBorder="0"/>
    <xf numFmtId="4" fontId="99" fillId="26" borderId="325" applyBorder="0"/>
    <xf numFmtId="4" fontId="99" fillId="27" borderId="325" applyBorder="0"/>
    <xf numFmtId="4" fontId="99" fillId="26" borderId="325" applyBorder="0"/>
    <xf numFmtId="0" fontId="238" fillId="0" borderId="316"/>
    <xf numFmtId="0" fontId="113" fillId="0" borderId="311"/>
    <xf numFmtId="0" fontId="239" fillId="52" borderId="317" applyNumberFormat="0" applyProtection="0">
      <alignment horizontal="right"/>
    </xf>
    <xf numFmtId="0" fontId="239" fillId="52" borderId="318" applyNumberFormat="0" applyProtection="0">
      <alignment horizontal="right"/>
    </xf>
    <xf numFmtId="0" fontId="239" fillId="52" borderId="319" applyNumberFormat="0" applyProtection="0">
      <alignment horizontal="right"/>
    </xf>
    <xf numFmtId="0" fontId="239" fillId="52" borderId="315" applyNumberFormat="0" applyAlignment="0" applyProtection="0"/>
    <xf numFmtId="0" fontId="54" fillId="0" borderId="317" applyNumberFormat="0" applyFill="0" applyProtection="0">
      <alignment horizontal="right"/>
    </xf>
    <xf numFmtId="0" fontId="54" fillId="0" borderId="318" applyNumberFormat="0" applyFill="0" applyProtection="0">
      <alignment horizontal="right"/>
    </xf>
    <xf numFmtId="0" fontId="54" fillId="0" borderId="319" applyNumberFormat="0" applyFill="0" applyProtection="0">
      <alignment horizontal="right"/>
    </xf>
    <xf numFmtId="0" fontId="2" fillId="0" borderId="320" applyNumberFormat="0" applyFont="0" applyFill="0" applyAlignment="0" applyProtection="0"/>
    <xf numFmtId="327" fontId="52" fillId="0" borderId="344" applyFill="0" applyAlignment="0" applyProtection="0"/>
    <xf numFmtId="327" fontId="52" fillId="0" borderId="344" applyFill="0" applyAlignment="0" applyProtection="0"/>
    <xf numFmtId="0" fontId="2" fillId="0" borderId="320" applyNumberFormat="0" applyFont="0" applyFill="0" applyAlignment="0" applyProtection="0"/>
    <xf numFmtId="326" fontId="2" fillId="0" borderId="317" applyFill="0" applyAlignment="0" applyProtection="0"/>
    <xf numFmtId="326" fontId="2" fillId="0" borderId="318" applyFont="0" applyFill="0" applyAlignment="0" applyProtection="0"/>
    <xf numFmtId="326" fontId="2" fillId="0" borderId="319" applyFont="0" applyFill="0" applyAlignment="0" applyProtection="0"/>
    <xf numFmtId="327" fontId="2" fillId="0" borderId="317" applyFill="0" applyAlignment="0" applyProtection="0"/>
    <xf numFmtId="327" fontId="2" fillId="0" borderId="318" applyFont="0" applyFill="0" applyAlignment="0" applyProtection="0"/>
    <xf numFmtId="327" fontId="2" fillId="0" borderId="319" applyFont="0" applyFill="0" applyAlignment="0" applyProtection="0"/>
    <xf numFmtId="328" fontId="2" fillId="0" borderId="317" applyFill="0" applyAlignment="0" applyProtection="0"/>
    <xf numFmtId="328" fontId="2" fillId="0" borderId="318" applyFont="0" applyFill="0" applyAlignment="0" applyProtection="0"/>
    <xf numFmtId="328" fontId="2" fillId="0" borderId="319" applyFont="0" applyFill="0" applyAlignment="0" applyProtection="0"/>
    <xf numFmtId="3" fontId="72" fillId="0" borderId="221"/>
    <xf numFmtId="0" fontId="2" fillId="0" borderId="320" applyNumberFormat="0"/>
    <xf numFmtId="0" fontId="2" fillId="0" borderId="322" applyNumberFormat="0"/>
    <xf numFmtId="0" fontId="2" fillId="0" borderId="323" applyNumberFormat="0"/>
    <xf numFmtId="0" fontId="2" fillId="0" borderId="317" applyNumberFormat="0" applyFont="0" applyFill="0" applyAlignment="0" applyProtection="0"/>
    <xf numFmtId="0" fontId="2" fillId="0" borderId="318" applyNumberFormat="0" applyFont="0" applyFill="0" applyAlignment="0" applyProtection="0"/>
    <xf numFmtId="0" fontId="2" fillId="0" borderId="320" applyNumberFormat="0" applyFont="0" applyFill="0" applyAlignment="0" applyProtection="0"/>
    <xf numFmtId="0" fontId="2" fillId="0" borderId="322" applyNumberFormat="0" applyFont="0" applyFill="0" applyAlignment="0" applyProtection="0"/>
    <xf numFmtId="0" fontId="2" fillId="0" borderId="323" applyNumberFormat="0" applyFont="0" applyFill="0" applyAlignment="0" applyProtection="0"/>
    <xf numFmtId="0" fontId="2" fillId="0" borderId="320" applyNumberFormat="0" applyFont="0" applyFill="0" applyAlignment="0" applyProtection="0"/>
    <xf numFmtId="0" fontId="247" fillId="0" borderId="316"/>
    <xf numFmtId="0" fontId="69" fillId="0" borderId="311"/>
    <xf numFmtId="0" fontId="113" fillId="0" borderId="311"/>
    <xf numFmtId="0" fontId="178" fillId="0" borderId="312" applyNumberFormat="0" applyFill="0" applyAlignment="0" applyProtection="0"/>
    <xf numFmtId="3" fontId="2" fillId="0" borderId="221"/>
    <xf numFmtId="0" fontId="2" fillId="60" borderId="315" applyNumberFormat="0" applyFont="0" applyAlignment="0" applyProtection="0"/>
    <xf numFmtId="0" fontId="139" fillId="50" borderId="329" applyNumberFormat="0" applyAlignment="0" applyProtection="0"/>
    <xf numFmtId="0" fontId="178" fillId="0" borderId="312" applyNumberFormat="0" applyFill="0" applyAlignment="0" applyProtection="0"/>
    <xf numFmtId="0" fontId="132" fillId="50" borderId="328" applyNumberFormat="0" applyAlignment="0" applyProtection="0"/>
    <xf numFmtId="0" fontId="175" fillId="27" borderId="329" applyNumberFormat="0" applyAlignment="0" applyProtection="0"/>
    <xf numFmtId="0" fontId="54" fillId="56" borderId="221" applyNumberFormat="0" applyAlignment="0">
      <alignment horizontal="center"/>
    </xf>
    <xf numFmtId="0" fontId="139" fillId="50" borderId="329" applyNumberFormat="0" applyAlignment="0" applyProtection="0"/>
    <xf numFmtId="0" fontId="132" fillId="50" borderId="328" applyNumberFormat="0" applyAlignment="0" applyProtection="0"/>
    <xf numFmtId="0" fontId="175" fillId="27" borderId="329" applyNumberFormat="0" applyAlignment="0" applyProtection="0"/>
    <xf numFmtId="0" fontId="175" fillId="27" borderId="329" applyNumberFormat="0" applyAlignment="0" applyProtection="0"/>
    <xf numFmtId="0" fontId="132" fillId="50" borderId="328" applyNumberFormat="0" applyAlignment="0" applyProtection="0"/>
    <xf numFmtId="0" fontId="178" fillId="0" borderId="312" applyNumberFormat="0" applyFill="0" applyAlignment="0" applyProtection="0"/>
    <xf numFmtId="0" fontId="139" fillId="50" borderId="329" applyNumberFormat="0" applyAlignment="0" applyProtection="0"/>
    <xf numFmtId="0" fontId="2" fillId="60" borderId="315" applyNumberFormat="0" applyFont="0" applyAlignment="0" applyProtection="0"/>
    <xf numFmtId="0" fontId="178" fillId="0" borderId="312" applyNumberFormat="0" applyFill="0" applyAlignment="0" applyProtection="0"/>
    <xf numFmtId="0" fontId="113" fillId="0" borderId="311"/>
    <xf numFmtId="0" fontId="69" fillId="0" borderId="311"/>
    <xf numFmtId="0" fontId="247" fillId="0" borderId="316"/>
    <xf numFmtId="0" fontId="2" fillId="0" borderId="320" applyNumberFormat="0" applyFont="0" applyFill="0" applyAlignment="0" applyProtection="0"/>
    <xf numFmtId="0" fontId="2" fillId="0" borderId="323" applyNumberFormat="0" applyFont="0" applyFill="0" applyAlignment="0" applyProtection="0"/>
    <xf numFmtId="0" fontId="2" fillId="0" borderId="322" applyNumberFormat="0" applyFont="0" applyFill="0" applyAlignment="0" applyProtection="0"/>
    <xf numFmtId="0" fontId="2" fillId="0" borderId="320" applyNumberFormat="0" applyFont="0" applyFill="0" applyAlignment="0" applyProtection="0"/>
    <xf numFmtId="0" fontId="2" fillId="0" borderId="318" applyNumberFormat="0" applyFont="0" applyFill="0" applyAlignment="0" applyProtection="0"/>
    <xf numFmtId="0" fontId="2" fillId="0" borderId="317" applyNumberFormat="0" applyFont="0" applyFill="0" applyAlignment="0" applyProtection="0"/>
    <xf numFmtId="0" fontId="2" fillId="0" borderId="323" applyNumberFormat="0"/>
    <xf numFmtId="0" fontId="2" fillId="0" borderId="322" applyNumberFormat="0"/>
    <xf numFmtId="0" fontId="2" fillId="0" borderId="320" applyNumberFormat="0"/>
    <xf numFmtId="328" fontId="2" fillId="0" borderId="319" applyFont="0" applyFill="0" applyAlignment="0" applyProtection="0"/>
    <xf numFmtId="328" fontId="2" fillId="0" borderId="318" applyFont="0" applyFill="0" applyAlignment="0" applyProtection="0"/>
    <xf numFmtId="328" fontId="2" fillId="0" borderId="317" applyFill="0" applyAlignment="0" applyProtection="0"/>
    <xf numFmtId="327" fontId="2" fillId="0" borderId="319" applyFont="0" applyFill="0" applyAlignment="0" applyProtection="0"/>
    <xf numFmtId="327" fontId="2" fillId="0" borderId="318" applyFont="0" applyFill="0" applyAlignment="0" applyProtection="0"/>
    <xf numFmtId="327" fontId="2" fillId="0" borderId="317" applyFill="0" applyAlignment="0" applyProtection="0"/>
    <xf numFmtId="326" fontId="2" fillId="0" borderId="319" applyFont="0" applyFill="0" applyAlignment="0" applyProtection="0"/>
    <xf numFmtId="326" fontId="2" fillId="0" borderId="318" applyFont="0" applyFill="0" applyAlignment="0" applyProtection="0"/>
    <xf numFmtId="326" fontId="2" fillId="0" borderId="317" applyFill="0" applyAlignment="0" applyProtection="0"/>
    <xf numFmtId="0" fontId="2" fillId="0" borderId="320" applyNumberFormat="0" applyFont="0" applyFill="0" applyAlignment="0" applyProtection="0"/>
    <xf numFmtId="0" fontId="2" fillId="0" borderId="320" applyNumberFormat="0" applyFont="0" applyFill="0" applyAlignment="0" applyProtection="0"/>
    <xf numFmtId="0" fontId="54" fillId="0" borderId="319" applyNumberFormat="0" applyFill="0" applyProtection="0">
      <alignment horizontal="right"/>
    </xf>
    <xf numFmtId="0" fontId="54" fillId="0" borderId="318" applyNumberFormat="0" applyFill="0" applyProtection="0">
      <alignment horizontal="right"/>
    </xf>
    <xf numFmtId="0" fontId="54" fillId="0" borderId="317" applyNumberFormat="0" applyFill="0" applyProtection="0">
      <alignment horizontal="right"/>
    </xf>
    <xf numFmtId="0" fontId="239" fillId="52" borderId="315" applyNumberFormat="0" applyAlignment="0" applyProtection="0"/>
    <xf numFmtId="0" fontId="239" fillId="52" borderId="319" applyNumberFormat="0" applyProtection="0">
      <alignment horizontal="right"/>
    </xf>
    <xf numFmtId="0" fontId="239" fillId="52" borderId="318" applyNumberFormat="0" applyProtection="0">
      <alignment horizontal="right"/>
    </xf>
    <xf numFmtId="0" fontId="239" fillId="52" borderId="317" applyNumberFormat="0" applyProtection="0">
      <alignment horizontal="right"/>
    </xf>
    <xf numFmtId="0" fontId="113" fillId="0" borderId="311"/>
    <xf numFmtId="0" fontId="238" fillId="0" borderId="316"/>
    <xf numFmtId="0" fontId="106" fillId="0" borderId="308" applyNumberFormat="0" applyFill="0" applyAlignment="0" applyProtection="0"/>
    <xf numFmtId="3" fontId="60" fillId="54" borderId="341" applyNumberFormat="0" applyFill="0" applyBorder="0" applyProtection="0">
      <alignment horizontal="left"/>
    </xf>
    <xf numFmtId="0" fontId="132" fillId="50" borderId="328" applyNumberFormat="0" applyAlignment="0" applyProtection="0"/>
    <xf numFmtId="0" fontId="91" fillId="60" borderId="315" applyNumberFormat="0" applyFont="0" applyAlignment="0" applyProtection="0"/>
    <xf numFmtId="0" fontId="216" fillId="60" borderId="315" applyNumberFormat="0" applyFont="0" applyAlignment="0" applyProtection="0"/>
    <xf numFmtId="0" fontId="197" fillId="0" borderId="314" applyNumberFormat="0" applyFill="0" applyAlignment="0" applyProtection="0"/>
    <xf numFmtId="0" fontId="175" fillId="27" borderId="329" applyNumberFormat="0" applyAlignment="0" applyProtection="0"/>
    <xf numFmtId="0" fontId="156" fillId="0" borderId="343" applyNumberFormat="0" applyAlignment="0" applyProtection="0">
      <alignment horizontal="left" vertical="center"/>
    </xf>
    <xf numFmtId="0" fontId="54" fillId="11" borderId="342">
      <alignment vertical="top" wrapText="1"/>
    </xf>
    <xf numFmtId="0" fontId="178" fillId="0" borderId="312" applyNumberFormat="0" applyFill="0" applyAlignment="0" applyProtection="0"/>
    <xf numFmtId="0" fontId="175" fillId="27" borderId="329" applyNumberFormat="0" applyAlignment="0" applyProtection="0"/>
    <xf numFmtId="37" fontId="69" fillId="0" borderId="311"/>
    <xf numFmtId="182" fontId="167" fillId="0" borderId="310">
      <protection locked="0"/>
    </xf>
    <xf numFmtId="264" fontId="2" fillId="48" borderId="221" applyProtection="0">
      <alignment horizontal="right"/>
    </xf>
    <xf numFmtId="263" fontId="2" fillId="48" borderId="221" applyProtection="0">
      <alignment horizontal="right"/>
    </xf>
    <xf numFmtId="4" fontId="60" fillId="54" borderId="341" applyNumberFormat="0" applyProtection="0">
      <alignment horizontal="right" wrapText="1"/>
    </xf>
    <xf numFmtId="0" fontId="106" fillId="0" borderId="308" applyNumberFormat="0" applyFill="0" applyAlignment="0" applyProtection="0"/>
    <xf numFmtId="0" fontId="106" fillId="0" borderId="308" applyNumberFormat="0" applyFill="0" applyAlignment="0" applyProtection="0"/>
    <xf numFmtId="0" fontId="139" fillId="50" borderId="329" applyNumberFormat="0" applyAlignment="0" applyProtection="0"/>
    <xf numFmtId="0" fontId="139" fillId="50" borderId="329" applyNumberFormat="0" applyAlignment="0" applyProtection="0"/>
    <xf numFmtId="0" fontId="132" fillId="50" borderId="328" applyNumberFormat="0" applyAlignment="0" applyProtection="0"/>
    <xf numFmtId="0" fontId="57" fillId="0" borderId="326" applyNumberFormat="0" applyFill="0" applyAlignment="0" applyProtection="0"/>
    <xf numFmtId="4" fontId="99" fillId="27" borderId="325" applyBorder="0"/>
    <xf numFmtId="4" fontId="99" fillId="26" borderId="325" applyBorder="0"/>
    <xf numFmtId="4" fontId="99" fillId="27" borderId="325" applyBorder="0"/>
    <xf numFmtId="4" fontId="99" fillId="26" borderId="325" applyBorder="0"/>
    <xf numFmtId="0" fontId="2" fillId="0" borderId="221" applyNumberFormat="0" applyFont="0" applyFill="0" applyProtection="0">
      <alignment horizontal="center"/>
    </xf>
    <xf numFmtId="0" fontId="238" fillId="0" borderId="316"/>
    <xf numFmtId="327" fontId="52" fillId="0" borderId="380" applyFill="0" applyAlignment="0" applyProtection="0"/>
    <xf numFmtId="0" fontId="106" fillId="0" borderId="308" applyNumberFormat="0" applyFill="0" applyAlignment="0" applyProtection="0"/>
    <xf numFmtId="0" fontId="106" fillId="0" borderId="308" applyNumberFormat="0" applyFill="0" applyAlignment="0" applyProtection="0"/>
    <xf numFmtId="4" fontId="60" fillId="54" borderId="345" applyNumberFormat="0" applyProtection="0">
      <alignment horizontal="right" wrapText="1"/>
    </xf>
    <xf numFmtId="0" fontId="106" fillId="0" borderId="308" applyNumberFormat="0" applyFill="0" applyAlignment="0" applyProtection="0"/>
    <xf numFmtId="0" fontId="54" fillId="11" borderId="346">
      <alignment vertical="top" wrapText="1"/>
    </xf>
    <xf numFmtId="0" fontId="156" fillId="0" borderId="347" applyNumberFormat="0" applyAlignment="0" applyProtection="0">
      <alignment horizontal="left" vertical="center"/>
    </xf>
    <xf numFmtId="3" fontId="60" fillId="54" borderId="345" applyNumberFormat="0" applyFill="0" applyBorder="0" applyProtection="0">
      <alignment horizontal="left"/>
    </xf>
    <xf numFmtId="320" fontId="2" fillId="0" borderId="221" applyFont="0" applyFill="0" applyBorder="0" applyAlignment="0" applyProtection="0"/>
    <xf numFmtId="0" fontId="2" fillId="59" borderId="221" applyNumberFormat="0" applyFont="0" applyBorder="0" applyAlignment="0" applyProtection="0"/>
    <xf numFmtId="0" fontId="2" fillId="14" borderId="221" applyNumberFormat="0" applyAlignment="0"/>
    <xf numFmtId="0" fontId="2" fillId="56" borderId="221" applyNumberFormat="0" applyProtection="0">
      <alignment vertical="center" wrapText="1"/>
    </xf>
    <xf numFmtId="0" fontId="2" fillId="0" borderId="221" applyNumberFormat="0">
      <alignment horizontal="left" wrapText="1"/>
      <protection locked="0"/>
    </xf>
    <xf numFmtId="10" fontId="57" fillId="2" borderId="221" applyNumberFormat="0" applyBorder="0" applyAlignment="0" applyProtection="0"/>
    <xf numFmtId="49" fontId="90" fillId="14" borderId="221">
      <alignment horizontal="center" vertical="center" wrapText="1"/>
    </xf>
    <xf numFmtId="0" fontId="54" fillId="0" borderId="221">
      <alignment horizontal="left" wrapText="1"/>
    </xf>
    <xf numFmtId="3" fontId="2" fillId="0" borderId="221"/>
    <xf numFmtId="3" fontId="2" fillId="0" borderId="221"/>
    <xf numFmtId="3" fontId="2" fillId="0" borderId="221"/>
    <xf numFmtId="3" fontId="36" fillId="0" borderId="221"/>
    <xf numFmtId="265" fontId="2" fillId="48" borderId="221" applyProtection="0">
      <alignment horizontal="right"/>
    </xf>
    <xf numFmtId="264" fontId="2" fillId="48" borderId="221" applyProtection="0">
      <alignment horizontal="right"/>
    </xf>
    <xf numFmtId="214" fontId="2" fillId="48" borderId="221" applyProtection="0">
      <alignment horizontal="right"/>
    </xf>
    <xf numFmtId="263" fontId="2" fillId="48" borderId="221" applyProtection="0">
      <alignment horizontal="right"/>
    </xf>
    <xf numFmtId="262" fontId="2" fillId="48" borderId="221" applyProtection="0">
      <alignment horizontal="right"/>
    </xf>
    <xf numFmtId="261" fontId="2" fillId="48" borderId="221" applyProtection="0">
      <alignment horizontal="right"/>
    </xf>
    <xf numFmtId="214" fontId="2" fillId="48" borderId="221" applyProtection="0">
      <alignment horizontal="right"/>
      <protection locked="0"/>
    </xf>
    <xf numFmtId="260" fontId="2" fillId="48" borderId="221" applyProtection="0">
      <alignment horizontal="right"/>
      <protection locked="0"/>
    </xf>
    <xf numFmtId="259" fontId="2" fillId="48" borderId="221" applyProtection="0">
      <alignment horizontal="right"/>
      <protection locked="0"/>
    </xf>
    <xf numFmtId="258" fontId="2" fillId="48" borderId="221" applyProtection="0">
      <alignment horizontal="right"/>
    </xf>
    <xf numFmtId="0" fontId="54" fillId="56" borderId="221" applyNumberFormat="0" applyAlignment="0">
      <alignment horizontal="center"/>
    </xf>
    <xf numFmtId="4" fontId="60" fillId="54" borderId="353" applyNumberFormat="0" applyProtection="0">
      <alignment horizontal="right" wrapText="1"/>
    </xf>
    <xf numFmtId="0" fontId="54" fillId="11" borderId="354">
      <alignment vertical="top" wrapText="1"/>
    </xf>
    <xf numFmtId="0" fontId="132" fillId="50" borderId="328" applyNumberFormat="0" applyAlignment="0" applyProtection="0"/>
    <xf numFmtId="327" fontId="52" fillId="0" borderId="348" applyFill="0" applyAlignment="0" applyProtection="0"/>
    <xf numFmtId="327" fontId="52" fillId="0" borderId="348" applyFill="0" applyAlignment="0" applyProtection="0"/>
    <xf numFmtId="327" fontId="52" fillId="0" borderId="356" applyFill="0" applyAlignment="0" applyProtection="0"/>
    <xf numFmtId="264" fontId="2" fillId="48" borderId="327" applyProtection="0">
      <alignment horizontal="right"/>
    </xf>
    <xf numFmtId="0" fontId="132" fillId="50" borderId="328" applyNumberFormat="0" applyAlignment="0" applyProtection="0"/>
    <xf numFmtId="0" fontId="2" fillId="59" borderId="221" applyNumberFormat="0" applyFont="0" applyBorder="0" applyAlignment="0" applyProtection="0"/>
    <xf numFmtId="37" fontId="69" fillId="0" borderId="311"/>
    <xf numFmtId="0" fontId="54" fillId="56" borderId="221" applyNumberFormat="0" applyAlignment="0">
      <alignment horizontal="center"/>
    </xf>
    <xf numFmtId="0" fontId="57" fillId="0" borderId="326" applyNumberFormat="0" applyFill="0" applyAlignment="0" applyProtection="0"/>
    <xf numFmtId="0" fontId="132" fillId="50" borderId="328" applyNumberFormat="0" applyAlignment="0" applyProtection="0"/>
    <xf numFmtId="261" fontId="2" fillId="48" borderId="327" applyProtection="0">
      <alignment horizontal="right"/>
    </xf>
    <xf numFmtId="0" fontId="130" fillId="0" borderId="309" applyFont="0" applyFill="0" applyBorder="0" applyAlignment="0" applyProtection="0">
      <alignment horizontal="center" vertical="center"/>
    </xf>
    <xf numFmtId="0" fontId="156" fillId="0" borderId="355" applyNumberFormat="0" applyAlignment="0" applyProtection="0">
      <alignment horizontal="left" vertical="center"/>
    </xf>
    <xf numFmtId="3" fontId="60" fillId="54" borderId="349" applyNumberFormat="0" applyFill="0" applyBorder="0" applyProtection="0">
      <alignment horizontal="left"/>
    </xf>
    <xf numFmtId="0" fontId="156" fillId="0" borderId="347" applyNumberFormat="0" applyAlignment="0" applyProtection="0">
      <alignment horizontal="left" vertical="center"/>
    </xf>
    <xf numFmtId="0" fontId="54" fillId="11" borderId="346">
      <alignment vertical="top" wrapText="1"/>
    </xf>
    <xf numFmtId="0" fontId="106" fillId="0" borderId="308" applyNumberFormat="0" applyFill="0" applyAlignment="0" applyProtection="0"/>
    <xf numFmtId="4" fontId="60" fillId="54" borderId="349" applyNumberFormat="0" applyProtection="0">
      <alignment horizontal="right" wrapText="1"/>
    </xf>
    <xf numFmtId="0" fontId="106" fillId="0" borderId="308" applyNumberFormat="0" applyFill="0" applyAlignment="0" applyProtection="0"/>
    <xf numFmtId="0" fontId="106" fillId="0" borderId="308" applyNumberFormat="0" applyFill="0" applyAlignment="0" applyProtection="0"/>
    <xf numFmtId="0" fontId="156" fillId="0" borderId="351" applyNumberFormat="0" applyAlignment="0" applyProtection="0">
      <alignment horizontal="left" vertical="center"/>
    </xf>
    <xf numFmtId="0" fontId="54" fillId="11" borderId="350">
      <alignment vertical="top" wrapText="1"/>
    </xf>
    <xf numFmtId="0" fontId="54" fillId="0" borderId="221">
      <alignment horizontal="left" wrapText="1"/>
    </xf>
    <xf numFmtId="3" fontId="2" fillId="0" borderId="221"/>
    <xf numFmtId="0" fontId="139" fillId="50" borderId="329" applyNumberFormat="0" applyAlignment="0" applyProtection="0"/>
    <xf numFmtId="0" fontId="106" fillId="0" borderId="308" applyNumberFormat="0" applyFill="0" applyAlignment="0" applyProtection="0"/>
    <xf numFmtId="0" fontId="106" fillId="0" borderId="308" applyNumberFormat="0" applyFill="0" applyAlignment="0" applyProtection="0"/>
    <xf numFmtId="0" fontId="2" fillId="60" borderId="315" applyNumberFormat="0" applyFont="0" applyAlignment="0" applyProtection="0"/>
    <xf numFmtId="0" fontId="247" fillId="0" borderId="316"/>
    <xf numFmtId="0" fontId="2" fillId="0" borderId="318" applyNumberFormat="0" applyFont="0" applyFill="0" applyAlignment="0" applyProtection="0"/>
    <xf numFmtId="0" fontId="139" fillId="50" borderId="329" applyNumberFormat="0" applyAlignment="0" applyProtection="0"/>
    <xf numFmtId="0" fontId="132" fillId="50" borderId="328" applyNumberFormat="0" applyAlignment="0" applyProtection="0"/>
    <xf numFmtId="0" fontId="54" fillId="56" borderId="221" applyNumberFormat="0" applyAlignment="0">
      <alignment horizontal="center"/>
    </xf>
    <xf numFmtId="327" fontId="52" fillId="0" borderId="368" applyFill="0" applyAlignment="0" applyProtection="0"/>
    <xf numFmtId="3" fontId="2" fillId="0" borderId="221"/>
    <xf numFmtId="0" fontId="54" fillId="0" borderId="221">
      <alignment horizontal="left" wrapText="1"/>
    </xf>
    <xf numFmtId="10" fontId="57" fillId="2" borderId="221" applyNumberFormat="0" applyBorder="0" applyAlignment="0" applyProtection="0"/>
    <xf numFmtId="0" fontId="2" fillId="56" borderId="221" applyNumberFormat="0" applyProtection="0">
      <alignment vertical="center" wrapText="1"/>
    </xf>
    <xf numFmtId="3" fontId="60" fillId="54" borderId="361" applyNumberFormat="0" applyFill="0" applyBorder="0" applyProtection="0">
      <alignment horizontal="left"/>
    </xf>
    <xf numFmtId="0" fontId="156" fillId="0" borderId="363" applyNumberFormat="0" applyAlignment="0" applyProtection="0">
      <alignment horizontal="left" vertical="center"/>
    </xf>
    <xf numFmtId="0" fontId="54" fillId="11" borderId="362">
      <alignment vertical="top" wrapText="1"/>
    </xf>
    <xf numFmtId="4" fontId="60" fillId="54" borderId="361" applyNumberFormat="0" applyProtection="0">
      <alignment horizontal="right" wrapText="1"/>
    </xf>
    <xf numFmtId="0" fontId="106" fillId="0" borderId="308" applyNumberFormat="0" applyFill="0" applyAlignment="0" applyProtection="0"/>
    <xf numFmtId="0" fontId="197" fillId="0" borderId="314" applyNumberFormat="0" applyFill="0" applyAlignment="0" applyProtection="0"/>
    <xf numFmtId="0" fontId="2" fillId="0" borderId="327" applyNumberFormat="0">
      <alignment horizontal="left" wrapText="1"/>
      <protection locked="0"/>
    </xf>
    <xf numFmtId="0" fontId="175" fillId="27" borderId="329" applyNumberFormat="0" applyAlignment="0" applyProtection="0"/>
    <xf numFmtId="10" fontId="57" fillId="2" borderId="327" applyNumberFormat="0" applyBorder="0" applyAlignment="0" applyProtection="0"/>
    <xf numFmtId="0" fontId="156" fillId="0" borderId="367" applyNumberFormat="0" applyAlignment="0" applyProtection="0">
      <alignment horizontal="left" vertical="center"/>
    </xf>
    <xf numFmtId="0" fontId="54" fillId="11" borderId="366">
      <alignment vertical="top" wrapText="1"/>
    </xf>
    <xf numFmtId="0" fontId="178" fillId="0" borderId="312" applyNumberFormat="0" applyFill="0" applyAlignment="0" applyProtection="0"/>
    <xf numFmtId="0" fontId="175" fillId="27" borderId="329" applyNumberFormat="0" applyAlignment="0" applyProtection="0"/>
    <xf numFmtId="37" fontId="69" fillId="0" borderId="311"/>
    <xf numFmtId="182" fontId="167" fillId="0" borderId="310">
      <protection locked="0"/>
    </xf>
    <xf numFmtId="49" fontId="90" fillId="14" borderId="327">
      <alignment horizontal="center" vertical="center" wrapText="1"/>
    </xf>
    <xf numFmtId="0" fontId="54" fillId="0" borderId="327">
      <alignment horizontal="left" wrapText="1"/>
    </xf>
    <xf numFmtId="4" fontId="60" fillId="54" borderId="365" applyNumberFormat="0" applyProtection="0">
      <alignment horizontal="right" wrapText="1"/>
    </xf>
    <xf numFmtId="3" fontId="2" fillId="0" borderId="327"/>
    <xf numFmtId="3" fontId="2" fillId="0" borderId="327"/>
    <xf numFmtId="3" fontId="2" fillId="0" borderId="327"/>
    <xf numFmtId="3" fontId="2" fillId="0" borderId="327"/>
    <xf numFmtId="3" fontId="2" fillId="0" borderId="327"/>
    <xf numFmtId="3" fontId="36" fillId="0" borderId="327"/>
    <xf numFmtId="3" fontId="2" fillId="0" borderId="327"/>
    <xf numFmtId="0" fontId="139" fillId="50" borderId="329" applyNumberFormat="0" applyAlignment="0" applyProtection="0"/>
    <xf numFmtId="0" fontId="139" fillId="50" borderId="329" applyNumberFormat="0" applyAlignment="0" applyProtection="0"/>
    <xf numFmtId="0" fontId="132" fillId="50" borderId="328" applyNumberFormat="0" applyAlignment="0" applyProtection="0"/>
    <xf numFmtId="265" fontId="2" fillId="48" borderId="327" applyProtection="0">
      <alignment horizontal="right"/>
    </xf>
    <xf numFmtId="264" fontId="2" fillId="48" borderId="327" applyProtection="0">
      <alignment horizontal="right"/>
    </xf>
    <xf numFmtId="214" fontId="2" fillId="48" borderId="327" applyProtection="0">
      <alignment horizontal="right"/>
    </xf>
    <xf numFmtId="263" fontId="2" fillId="48" borderId="327" applyProtection="0">
      <alignment horizontal="right"/>
    </xf>
    <xf numFmtId="262" fontId="2" fillId="48" borderId="327" applyProtection="0">
      <alignment horizontal="right"/>
    </xf>
    <xf numFmtId="261" fontId="2" fillId="48" borderId="327" applyProtection="0">
      <alignment horizontal="right"/>
    </xf>
    <xf numFmtId="214" fontId="2" fillId="48" borderId="327" applyProtection="0">
      <alignment horizontal="right"/>
      <protection locked="0"/>
    </xf>
    <xf numFmtId="260" fontId="2" fillId="48" borderId="327" applyProtection="0">
      <alignment horizontal="right"/>
      <protection locked="0"/>
    </xf>
    <xf numFmtId="259" fontId="2" fillId="48" borderId="327" applyProtection="0">
      <alignment horizontal="right"/>
      <protection locked="0"/>
    </xf>
    <xf numFmtId="258" fontId="2" fillId="48" borderId="327" applyProtection="0">
      <alignment horizontal="right"/>
    </xf>
    <xf numFmtId="0" fontId="57" fillId="0" borderId="326" applyNumberFormat="0" applyFill="0" applyAlignment="0" applyProtection="0"/>
    <xf numFmtId="4" fontId="99" fillId="27" borderId="325" applyBorder="0"/>
    <xf numFmtId="4" fontId="99" fillId="26" borderId="325" applyBorder="0"/>
    <xf numFmtId="4" fontId="99" fillId="27" borderId="325" applyBorder="0"/>
    <xf numFmtId="4" fontId="99" fillId="26" borderId="325" applyBorder="0"/>
    <xf numFmtId="0" fontId="2" fillId="0" borderId="327" applyNumberFormat="0" applyFont="0" applyFill="0" applyProtection="0">
      <alignment horizontal="center"/>
    </xf>
    <xf numFmtId="4" fontId="99" fillId="26" borderId="325" applyBorder="0"/>
    <xf numFmtId="4" fontId="99" fillId="27" borderId="325" applyBorder="0"/>
    <xf numFmtId="4" fontId="99" fillId="26" borderId="325" applyBorder="0"/>
    <xf numFmtId="4" fontId="99" fillId="27" borderId="325" applyBorder="0"/>
    <xf numFmtId="0" fontId="132" fillId="50" borderId="328" applyNumberFormat="0" applyAlignment="0" applyProtection="0"/>
    <xf numFmtId="0" fontId="139" fillId="50" borderId="329" applyNumberFormat="0" applyAlignment="0" applyProtection="0"/>
    <xf numFmtId="0" fontId="139" fillId="50" borderId="329" applyNumberFormat="0" applyAlignment="0" applyProtection="0"/>
    <xf numFmtId="4" fontId="60" fillId="54" borderId="369" applyNumberFormat="0" applyProtection="0">
      <alignment horizontal="right" wrapText="1"/>
    </xf>
    <xf numFmtId="0" fontId="175" fillId="27" borderId="329" applyNumberFormat="0" applyAlignment="0" applyProtection="0"/>
    <xf numFmtId="0" fontId="178" fillId="0" borderId="312" applyNumberFormat="0" applyFill="0" applyAlignment="0" applyProtection="0"/>
    <xf numFmtId="0" fontId="54" fillId="11" borderId="366">
      <alignment vertical="top" wrapText="1"/>
    </xf>
    <xf numFmtId="0" fontId="156" fillId="0" borderId="367" applyNumberFormat="0" applyAlignment="0" applyProtection="0">
      <alignment horizontal="left" vertical="center"/>
    </xf>
    <xf numFmtId="0" fontId="175" fillId="27" borderId="329" applyNumberFormat="0" applyAlignment="0" applyProtection="0"/>
    <xf numFmtId="0" fontId="216" fillId="60" borderId="315" applyNumberFormat="0" applyFont="0" applyAlignment="0" applyProtection="0"/>
    <xf numFmtId="0" fontId="91" fillId="60" borderId="315" applyNumberFormat="0" applyFont="0" applyAlignment="0" applyProtection="0"/>
    <xf numFmtId="0" fontId="132" fillId="50" borderId="328" applyNumberFormat="0" applyAlignment="0" applyProtection="0"/>
    <xf numFmtId="3" fontId="60" fillId="54" borderId="369" applyNumberFormat="0" applyFill="0" applyBorder="0" applyProtection="0">
      <alignment horizontal="left"/>
    </xf>
    <xf numFmtId="320" fontId="2" fillId="0" borderId="327" applyFont="0" applyFill="0" applyBorder="0" applyAlignment="0" applyProtection="0"/>
    <xf numFmtId="0" fontId="2" fillId="59" borderId="327" applyNumberFormat="0" applyFont="0" applyBorder="0" applyAlignment="0" applyProtection="0"/>
    <xf numFmtId="0" fontId="2" fillId="14" borderId="327" applyNumberFormat="0" applyAlignment="0"/>
    <xf numFmtId="0" fontId="2" fillId="56" borderId="327" applyNumberFormat="0" applyProtection="0">
      <alignment vertical="center" wrapText="1"/>
    </xf>
    <xf numFmtId="0" fontId="2" fillId="0" borderId="327" applyNumberFormat="0">
      <alignment horizontal="left" wrapText="1"/>
      <protection locked="0"/>
    </xf>
    <xf numFmtId="10" fontId="57" fillId="2" borderId="327" applyNumberFormat="0" applyBorder="0" applyAlignment="0" applyProtection="0"/>
    <xf numFmtId="49" fontId="90" fillId="14" borderId="327">
      <alignment horizontal="center" vertical="center" wrapText="1"/>
    </xf>
    <xf numFmtId="0" fontId="54" fillId="0" borderId="327">
      <alignment horizontal="left" wrapText="1"/>
    </xf>
    <xf numFmtId="3" fontId="2" fillId="0" borderId="327"/>
    <xf numFmtId="3" fontId="2" fillId="0" borderId="327"/>
    <xf numFmtId="3" fontId="2" fillId="0" borderId="327"/>
    <xf numFmtId="3" fontId="36" fillId="0" borderId="327"/>
    <xf numFmtId="265" fontId="2" fillId="48" borderId="327" applyProtection="0">
      <alignment horizontal="right"/>
    </xf>
    <xf numFmtId="264" fontId="2" fillId="48" borderId="327" applyProtection="0">
      <alignment horizontal="right"/>
    </xf>
    <xf numFmtId="214" fontId="2" fillId="48" borderId="327" applyProtection="0">
      <alignment horizontal="right"/>
    </xf>
    <xf numFmtId="263" fontId="2" fillId="48" borderId="327" applyProtection="0">
      <alignment horizontal="right"/>
    </xf>
    <xf numFmtId="262" fontId="2" fillId="48" borderId="327" applyProtection="0">
      <alignment horizontal="right"/>
    </xf>
    <xf numFmtId="261" fontId="2" fillId="48" borderId="327" applyProtection="0">
      <alignment horizontal="right"/>
    </xf>
    <xf numFmtId="214" fontId="2" fillId="48" borderId="327" applyProtection="0">
      <alignment horizontal="right"/>
      <protection locked="0"/>
    </xf>
    <xf numFmtId="260" fontId="2" fillId="48" borderId="327" applyProtection="0">
      <alignment horizontal="right"/>
      <protection locked="0"/>
    </xf>
    <xf numFmtId="259" fontId="2" fillId="48" borderId="327" applyProtection="0">
      <alignment horizontal="right"/>
      <protection locked="0"/>
    </xf>
    <xf numFmtId="258" fontId="2" fillId="48" borderId="327" applyProtection="0">
      <alignment horizontal="right"/>
    </xf>
    <xf numFmtId="4" fontId="99" fillId="27" borderId="325" applyBorder="0"/>
    <xf numFmtId="4" fontId="99" fillId="26" borderId="325" applyBorder="0"/>
    <xf numFmtId="4" fontId="99" fillId="27" borderId="325" applyBorder="0"/>
    <xf numFmtId="4" fontId="99" fillId="26" borderId="325" applyBorder="0"/>
    <xf numFmtId="0" fontId="239" fillId="52" borderId="317" applyNumberFormat="0" applyProtection="0">
      <alignment horizontal="right"/>
    </xf>
    <xf numFmtId="0" fontId="239" fillId="52" borderId="318" applyNumberFormat="0" applyProtection="0">
      <alignment horizontal="right"/>
    </xf>
    <xf numFmtId="0" fontId="239" fillId="52" borderId="319" applyNumberFormat="0" applyProtection="0">
      <alignment horizontal="right"/>
    </xf>
    <xf numFmtId="0" fontId="239" fillId="52" borderId="315" applyNumberFormat="0" applyAlignment="0" applyProtection="0"/>
    <xf numFmtId="0" fontId="54" fillId="0" borderId="317" applyNumberFormat="0" applyFill="0" applyProtection="0">
      <alignment horizontal="right"/>
    </xf>
    <xf numFmtId="0" fontId="54" fillId="0" borderId="318" applyNumberFormat="0" applyFill="0" applyProtection="0">
      <alignment horizontal="right"/>
    </xf>
    <xf numFmtId="0" fontId="54" fillId="0" borderId="319" applyNumberFormat="0" applyFill="0" applyProtection="0">
      <alignment horizontal="right"/>
    </xf>
    <xf numFmtId="0" fontId="2" fillId="0" borderId="320" applyNumberFormat="0" applyFont="0" applyFill="0" applyAlignment="0" applyProtection="0"/>
    <xf numFmtId="327" fontId="52" fillId="0" borderId="368" applyFill="0" applyAlignment="0" applyProtection="0"/>
    <xf numFmtId="327" fontId="52" fillId="0" borderId="368" applyFill="0" applyAlignment="0" applyProtection="0"/>
    <xf numFmtId="0" fontId="2" fillId="0" borderId="320" applyNumberFormat="0" applyFont="0" applyFill="0" applyAlignment="0" applyProtection="0"/>
    <xf numFmtId="326" fontId="2" fillId="0" borderId="317" applyFill="0" applyAlignment="0" applyProtection="0"/>
    <xf numFmtId="326" fontId="2" fillId="0" borderId="318" applyFont="0" applyFill="0" applyAlignment="0" applyProtection="0"/>
    <xf numFmtId="326" fontId="2" fillId="0" borderId="319" applyFont="0" applyFill="0" applyAlignment="0" applyProtection="0"/>
    <xf numFmtId="327" fontId="2" fillId="0" borderId="317" applyFill="0" applyAlignment="0" applyProtection="0"/>
    <xf numFmtId="327" fontId="2" fillId="0" borderId="318" applyFont="0" applyFill="0" applyAlignment="0" applyProtection="0"/>
    <xf numFmtId="327" fontId="2" fillId="0" borderId="319" applyFont="0" applyFill="0" applyAlignment="0" applyProtection="0"/>
    <xf numFmtId="328" fontId="2" fillId="0" borderId="317" applyFill="0" applyAlignment="0" applyProtection="0"/>
    <xf numFmtId="328" fontId="2" fillId="0" borderId="318" applyFont="0" applyFill="0" applyAlignment="0" applyProtection="0"/>
    <xf numFmtId="328" fontId="2" fillId="0" borderId="319" applyFont="0" applyFill="0" applyAlignment="0" applyProtection="0"/>
    <xf numFmtId="0" fontId="2" fillId="0" borderId="320" applyNumberFormat="0"/>
    <xf numFmtId="0" fontId="2" fillId="0" borderId="322" applyNumberFormat="0"/>
    <xf numFmtId="0" fontId="2" fillId="0" borderId="323" applyNumberFormat="0"/>
    <xf numFmtId="0" fontId="2" fillId="0" borderId="317" applyNumberFormat="0" applyFont="0" applyFill="0" applyAlignment="0" applyProtection="0"/>
    <xf numFmtId="0" fontId="2" fillId="0" borderId="318" applyNumberFormat="0" applyFont="0" applyFill="0" applyAlignment="0" applyProtection="0"/>
    <xf numFmtId="0" fontId="2" fillId="0" borderId="320" applyNumberFormat="0" applyFont="0" applyFill="0" applyAlignment="0" applyProtection="0"/>
    <xf numFmtId="0" fontId="2" fillId="0" borderId="322" applyNumberFormat="0" applyFont="0" applyFill="0" applyAlignment="0" applyProtection="0"/>
    <xf numFmtId="0" fontId="2" fillId="0" borderId="323" applyNumberFormat="0" applyFont="0" applyFill="0" applyAlignment="0" applyProtection="0"/>
    <xf numFmtId="0" fontId="2" fillId="0" borderId="320" applyNumberFormat="0" applyFont="0" applyFill="0" applyAlignment="0" applyProtection="0"/>
    <xf numFmtId="0" fontId="178" fillId="0" borderId="312" applyNumberFormat="0" applyFill="0" applyAlignment="0" applyProtection="0"/>
    <xf numFmtId="0" fontId="2" fillId="60" borderId="315" applyNumberFormat="0" applyFont="0" applyAlignment="0" applyProtection="0"/>
    <xf numFmtId="0" fontId="139" fillId="50" borderId="329" applyNumberFormat="0" applyAlignment="0" applyProtection="0"/>
    <xf numFmtId="0" fontId="178" fillId="0" borderId="312" applyNumberFormat="0" applyFill="0" applyAlignment="0" applyProtection="0"/>
    <xf numFmtId="0" fontId="132" fillId="50" borderId="328" applyNumberFormat="0" applyAlignment="0" applyProtection="0"/>
    <xf numFmtId="0" fontId="175" fillId="27" borderId="329" applyNumberFormat="0" applyAlignment="0" applyProtection="0"/>
    <xf numFmtId="0" fontId="54" fillId="56" borderId="327" applyNumberFormat="0" applyAlignment="0">
      <alignment horizontal="center"/>
    </xf>
    <xf numFmtId="327" fontId="52" fillId="0" borderId="380" applyFill="0" applyAlignment="0" applyProtection="0"/>
    <xf numFmtId="0" fontId="156" fillId="0" borderId="379" applyNumberFormat="0" applyAlignment="0" applyProtection="0">
      <alignment horizontal="left" vertical="center"/>
    </xf>
    <xf numFmtId="3" fontId="60" fillId="54" borderId="369" applyNumberFormat="0" applyFill="0" applyBorder="0" applyProtection="0">
      <alignment horizontal="left"/>
    </xf>
    <xf numFmtId="0" fontId="156" fillId="0" borderId="371" applyNumberFormat="0" applyAlignment="0" applyProtection="0">
      <alignment horizontal="left" vertical="center"/>
    </xf>
    <xf numFmtId="0" fontId="54" fillId="11" borderId="370">
      <alignment vertical="top" wrapText="1"/>
    </xf>
    <xf numFmtId="4" fontId="60" fillId="54" borderId="369" applyNumberFormat="0" applyProtection="0">
      <alignment horizontal="right" wrapText="1"/>
    </xf>
    <xf numFmtId="0" fontId="132" fillId="50" borderId="328" applyNumberFormat="0" applyAlignment="0" applyProtection="0"/>
    <xf numFmtId="3" fontId="60" fillId="54" borderId="373" applyNumberFormat="0" applyFill="0" applyBorder="0" applyProtection="0">
      <alignment horizontal="left"/>
    </xf>
    <xf numFmtId="0" fontId="132" fillId="50" borderId="328" applyNumberFormat="0" applyAlignment="0" applyProtection="0"/>
    <xf numFmtId="0" fontId="156" fillId="0" borderId="375" applyNumberFormat="0" applyAlignment="0" applyProtection="0">
      <alignment horizontal="left" vertical="center"/>
    </xf>
    <xf numFmtId="0" fontId="54" fillId="11" borderId="374">
      <alignment vertical="top" wrapText="1"/>
    </xf>
    <xf numFmtId="4" fontId="60" fillId="54" borderId="373" applyNumberFormat="0" applyProtection="0">
      <alignment horizontal="right" wrapText="1"/>
    </xf>
    <xf numFmtId="0" fontId="132" fillId="50" borderId="328" applyNumberFormat="0" applyAlignment="0" applyProtection="0"/>
    <xf numFmtId="0" fontId="156" fillId="0" borderId="379" applyNumberFormat="0" applyAlignment="0" applyProtection="0">
      <alignment horizontal="left" vertical="center"/>
    </xf>
    <xf numFmtId="0" fontId="54" fillId="11" borderId="378">
      <alignment vertical="top" wrapText="1"/>
    </xf>
    <xf numFmtId="4" fontId="60" fillId="54" borderId="381" applyNumberFormat="0" applyProtection="0">
      <alignment horizontal="right" wrapText="1"/>
    </xf>
    <xf numFmtId="0" fontId="156" fillId="0" borderId="383" applyNumberFormat="0" applyAlignment="0" applyProtection="0">
      <alignment horizontal="left" vertical="center"/>
    </xf>
    <xf numFmtId="0" fontId="54" fillId="11" borderId="382">
      <alignment vertical="top" wrapText="1"/>
    </xf>
    <xf numFmtId="0" fontId="55" fillId="0" borderId="0"/>
  </cellStyleXfs>
  <cellXfs count="649">
    <xf numFmtId="0" fontId="0" fillId="0" borderId="0" xfId="0"/>
    <xf numFmtId="0" fontId="4" fillId="0" borderId="0" xfId="3" applyFont="1"/>
    <xf numFmtId="0" fontId="13" fillId="2" borderId="0" xfId="11" applyFill="1" applyAlignment="1">
      <alignment vertical="top"/>
    </xf>
    <xf numFmtId="0" fontId="13" fillId="0" borderId="0" xfId="11" applyAlignment="1">
      <alignment vertical="top"/>
    </xf>
    <xf numFmtId="164" fontId="17" fillId="0" borderId="0" xfId="11" applyNumberFormat="1" applyFont="1" applyAlignment="1">
      <alignment vertical="top"/>
    </xf>
    <xf numFmtId="0" fontId="4" fillId="2" borderId="0" xfId="11" applyFont="1" applyFill="1" applyAlignment="1">
      <alignment vertical="center"/>
    </xf>
    <xf numFmtId="0" fontId="17" fillId="0" borderId="0" xfId="15" applyFont="1" applyAlignment="1">
      <alignment vertical="top" wrapText="1"/>
    </xf>
    <xf numFmtId="0" fontId="17" fillId="0" borderId="0" xfId="15" applyFont="1" applyAlignment="1">
      <alignment horizontal="right" vertical="top" wrapText="1"/>
    </xf>
    <xf numFmtId="0" fontId="11" fillId="0" borderId="0" xfId="3" applyFont="1"/>
    <xf numFmtId="0" fontId="14" fillId="0" borderId="5" xfId="15" applyFont="1" applyBorder="1" applyAlignment="1">
      <alignment horizontal="center" vertical="center"/>
    </xf>
    <xf numFmtId="0" fontId="14" fillId="0" borderId="5" xfId="15" applyFont="1" applyBorder="1" applyAlignment="1">
      <alignment horizontal="justify" vertical="center"/>
    </xf>
    <xf numFmtId="0" fontId="14" fillId="0" borderId="5" xfId="15" applyFont="1" applyBorder="1" applyAlignment="1">
      <alignment horizontal="center" vertical="center" wrapText="1"/>
    </xf>
    <xf numFmtId="0" fontId="7" fillId="2" borderId="0" xfId="11" applyFont="1" applyFill="1" applyAlignment="1">
      <alignment vertical="center"/>
    </xf>
    <xf numFmtId="0" fontId="10" fillId="2" borderId="0" xfId="11" applyFont="1" applyFill="1" applyAlignment="1">
      <alignment vertical="center"/>
    </xf>
    <xf numFmtId="0" fontId="18" fillId="0" borderId="6" xfId="15" applyFont="1" applyBorder="1" applyAlignment="1">
      <alignment horizontal="center" vertical="center"/>
    </xf>
    <xf numFmtId="0" fontId="18" fillId="0" borderId="6" xfId="15" applyFont="1" applyBorder="1" applyAlignment="1">
      <alignment vertical="center"/>
    </xf>
    <xf numFmtId="0" fontId="18" fillId="0" borderId="6" xfId="15" applyFont="1" applyBorder="1" applyAlignment="1">
      <alignment horizontal="center" vertical="center" wrapText="1"/>
    </xf>
    <xf numFmtId="0" fontId="10" fillId="0" borderId="0" xfId="11" applyFont="1" applyAlignment="1">
      <alignment horizontal="right" vertical="center"/>
    </xf>
    <xf numFmtId="0" fontId="13" fillId="2" borderId="0" xfId="11" applyFill="1" applyAlignment="1">
      <alignment vertical="top" wrapText="1"/>
    </xf>
    <xf numFmtId="164" fontId="8" fillId="0" borderId="0" xfId="5" applyNumberFormat="1" applyAlignment="1">
      <alignment vertical="top"/>
    </xf>
    <xf numFmtId="0" fontId="8" fillId="0" borderId="0" xfId="5" applyAlignment="1">
      <alignment vertical="top"/>
    </xf>
    <xf numFmtId="0" fontId="1" fillId="0" borderId="0" xfId="5" applyFont="1" applyAlignment="1">
      <alignment vertical="top"/>
    </xf>
    <xf numFmtId="164" fontId="8" fillId="0" borderId="0" xfId="6" applyNumberFormat="1" applyAlignment="1">
      <alignment vertical="top"/>
    </xf>
    <xf numFmtId="164" fontId="13" fillId="2" borderId="0" xfId="6" applyNumberFormat="1" applyFont="1" applyFill="1" applyBorder="1" applyAlignment="1">
      <alignment vertical="top" wrapText="1"/>
    </xf>
    <xf numFmtId="165" fontId="8" fillId="0" borderId="0" xfId="6" applyNumberFormat="1" applyAlignment="1">
      <alignment vertical="top"/>
    </xf>
    <xf numFmtId="165" fontId="13" fillId="2" borderId="0" xfId="6" applyNumberFormat="1" applyFont="1" applyFill="1" applyBorder="1" applyAlignment="1">
      <alignment vertical="top" wrapText="1"/>
    </xf>
    <xf numFmtId="164" fontId="13" fillId="2" borderId="0" xfId="11" applyNumberFormat="1" applyFill="1" applyAlignment="1">
      <alignment vertical="top" wrapText="1"/>
    </xf>
    <xf numFmtId="169" fontId="13" fillId="2" borderId="0" xfId="6" applyNumberFormat="1" applyFont="1" applyFill="1" applyBorder="1" applyAlignment="1">
      <alignment vertical="top" wrapText="1"/>
    </xf>
    <xf numFmtId="1" fontId="13" fillId="2" borderId="0" xfId="11" applyNumberFormat="1" applyFill="1" applyAlignment="1">
      <alignment vertical="top" wrapText="1"/>
    </xf>
    <xf numFmtId="168" fontId="8" fillId="0" borderId="0" xfId="5" applyNumberFormat="1" applyAlignment="1">
      <alignment vertical="top"/>
    </xf>
    <xf numFmtId="167" fontId="13" fillId="2" borderId="0" xfId="11" applyNumberFormat="1" applyFill="1" applyAlignment="1">
      <alignment vertical="top"/>
    </xf>
    <xf numFmtId="0" fontId="11" fillId="0" borderId="0" xfId="15" applyFont="1" applyAlignment="1">
      <alignment vertical="center" wrapText="1"/>
    </xf>
    <xf numFmtId="164" fontId="13" fillId="0" borderId="0" xfId="1" applyNumberFormat="1" applyFont="1" applyAlignment="1">
      <alignment vertical="top"/>
    </xf>
    <xf numFmtId="164" fontId="14" fillId="0" borderId="5" xfId="1" applyNumberFormat="1" applyFont="1" applyBorder="1" applyAlignment="1">
      <alignment horizontal="center" vertical="center" wrapText="1"/>
    </xf>
    <xf numFmtId="164" fontId="13" fillId="2" borderId="0" xfId="1" applyNumberFormat="1" applyFont="1" applyFill="1" applyAlignment="1">
      <alignment vertical="top"/>
    </xf>
    <xf numFmtId="43" fontId="26" fillId="0" borderId="0" xfId="23" applyFont="1" applyAlignment="1">
      <alignment vertical="center"/>
    </xf>
    <xf numFmtId="43" fontId="26" fillId="0" borderId="0" xfId="23" applyFont="1" applyFill="1" applyAlignment="1">
      <alignment vertical="center"/>
    </xf>
    <xf numFmtId="43" fontId="12" fillId="0" borderId="0" xfId="23" applyFont="1"/>
    <xf numFmtId="0" fontId="2" fillId="0" borderId="0" xfId="8"/>
    <xf numFmtId="164" fontId="11" fillId="0" borderId="0" xfId="3" applyNumberFormat="1" applyFont="1"/>
    <xf numFmtId="164" fontId="26" fillId="0" borderId="0" xfId="23" applyNumberFormat="1" applyFont="1" applyFill="1" applyAlignment="1">
      <alignment vertical="center"/>
    </xf>
    <xf numFmtId="164" fontId="2" fillId="0" borderId="0" xfId="8" applyNumberFormat="1"/>
    <xf numFmtId="0" fontId="3" fillId="0" borderId="0" xfId="3" applyFont="1" applyAlignment="1">
      <alignment horizontal="center" vertical="center" wrapText="1"/>
    </xf>
    <xf numFmtId="3" fontId="28" fillId="0" borderId="0" xfId="30" applyNumberFormat="1" applyFont="1"/>
    <xf numFmtId="3" fontId="28" fillId="0" borderId="0" xfId="30" applyNumberFormat="1" applyFont="1" applyAlignment="1">
      <alignment horizontal="right"/>
    </xf>
    <xf numFmtId="3" fontId="13" fillId="0" borderId="0" xfId="30" applyNumberFormat="1" applyFont="1"/>
    <xf numFmtId="3" fontId="34" fillId="0" borderId="0" xfId="30" applyNumberFormat="1" applyFont="1"/>
    <xf numFmtId="3" fontId="12" fillId="0" borderId="0" xfId="30" applyNumberFormat="1" applyFont="1"/>
    <xf numFmtId="0" fontId="12" fillId="0" borderId="0" xfId="30" applyFont="1"/>
    <xf numFmtId="0" fontId="13" fillId="0" borderId="0" xfId="30" applyFont="1"/>
    <xf numFmtId="0" fontId="17" fillId="0" borderId="0" xfId="30" applyFont="1"/>
    <xf numFmtId="164" fontId="2" fillId="0" borderId="0" xfId="1" applyNumberFormat="1" applyFont="1"/>
    <xf numFmtId="3" fontId="12" fillId="0" borderId="2" xfId="22" applyNumberFormat="1" applyFont="1" applyBorder="1" applyAlignment="1">
      <alignment horizontal="center"/>
    </xf>
    <xf numFmtId="3" fontId="12" fillId="0" borderId="2" xfId="22" applyNumberFormat="1" applyFont="1" applyBorder="1"/>
    <xf numFmtId="164" fontId="12" fillId="0" borderId="2" xfId="32" applyNumberFormat="1" applyFont="1" applyFill="1" applyBorder="1" applyAlignment="1">
      <alignment horizontal="right"/>
    </xf>
    <xf numFmtId="164" fontId="12" fillId="0" borderId="2" xfId="32" applyNumberFormat="1" applyFont="1" applyFill="1" applyBorder="1"/>
    <xf numFmtId="3" fontId="12" fillId="0" borderId="5" xfId="22" applyNumberFormat="1" applyFont="1" applyBorder="1" applyAlignment="1">
      <alignment horizontal="center"/>
    </xf>
    <xf numFmtId="3" fontId="12" fillId="0" borderId="5" xfId="22" applyNumberFormat="1" applyFont="1" applyBorder="1"/>
    <xf numFmtId="164" fontId="12" fillId="0" borderId="5" xfId="32" applyNumberFormat="1" applyFont="1" applyFill="1" applyBorder="1"/>
    <xf numFmtId="43" fontId="2" fillId="0" borderId="0" xfId="8" applyNumberFormat="1"/>
    <xf numFmtId="43" fontId="2" fillId="0" borderId="0" xfId="1" applyFont="1"/>
    <xf numFmtId="164" fontId="11" fillId="0" borderId="0" xfId="1" applyNumberFormat="1" applyFont="1"/>
    <xf numFmtId="0" fontId="13" fillId="0" borderId="0" xfId="30" applyFont="1" applyAlignment="1">
      <alignment horizontal="center" vertical="center"/>
    </xf>
    <xf numFmtId="43" fontId="11" fillId="0" borderId="0" xfId="3" applyNumberFormat="1" applyFont="1"/>
    <xf numFmtId="3" fontId="13" fillId="0" borderId="10" xfId="59" applyNumberFormat="1" applyFont="1" applyBorder="1" applyAlignment="1">
      <alignment horizontal="center" vertical="center"/>
    </xf>
    <xf numFmtId="4" fontId="13" fillId="0" borderId="10" xfId="59" applyNumberFormat="1" applyFont="1" applyBorder="1" applyAlignment="1">
      <alignment horizontal="center" vertical="center"/>
    </xf>
    <xf numFmtId="43" fontId="26" fillId="0" borderId="0" xfId="23" applyFont="1" applyFill="1" applyAlignment="1">
      <alignment horizontal="center" vertical="center"/>
    </xf>
    <xf numFmtId="164" fontId="26" fillId="0" borderId="0" xfId="1" applyNumberFormat="1" applyFont="1" applyFill="1" applyAlignment="1">
      <alignment vertical="center"/>
    </xf>
    <xf numFmtId="164" fontId="18" fillId="0" borderId="6" xfId="16" applyNumberFormat="1" applyFont="1" applyFill="1" applyBorder="1" applyAlignment="1">
      <alignment vertical="center"/>
    </xf>
    <xf numFmtId="164" fontId="14" fillId="0" borderId="5" xfId="16" applyNumberFormat="1" applyFont="1" applyFill="1" applyBorder="1" applyAlignment="1">
      <alignment vertical="center"/>
    </xf>
    <xf numFmtId="43" fontId="27" fillId="5" borderId="2" xfId="23" applyFont="1" applyFill="1" applyBorder="1" applyAlignment="1">
      <alignment horizontal="center" vertical="center" wrapText="1"/>
    </xf>
    <xf numFmtId="0" fontId="4" fillId="0" borderId="6" xfId="30" applyFont="1" applyBorder="1"/>
    <xf numFmtId="3" fontId="4" fillId="0" borderId="6" xfId="30" applyNumberFormat="1" applyFont="1" applyBorder="1"/>
    <xf numFmtId="164" fontId="4" fillId="0" borderId="6" xfId="31" applyNumberFormat="1" applyFont="1" applyBorder="1"/>
    <xf numFmtId="0" fontId="23" fillId="0" borderId="0" xfId="15" applyFont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10" fontId="11" fillId="0" borderId="0" xfId="0" applyNumberFormat="1" applyFont="1" applyAlignment="1">
      <alignment horizontal="center" vertical="center"/>
    </xf>
    <xf numFmtId="43" fontId="3" fillId="0" borderId="0" xfId="15" applyNumberFormat="1" applyFont="1" applyAlignment="1">
      <alignment horizontal="left" vertical="center" wrapText="1"/>
    </xf>
    <xf numFmtId="43" fontId="11" fillId="0" borderId="0" xfId="15" applyNumberFormat="1" applyFont="1" applyAlignment="1">
      <alignment horizontal="left" vertical="center" wrapText="1"/>
    </xf>
    <xf numFmtId="0" fontId="11" fillId="0" borderId="0" xfId="11" applyFont="1" applyAlignment="1">
      <alignment horizontal="left" vertical="center" wrapText="1"/>
    </xf>
    <xf numFmtId="0" fontId="21" fillId="0" borderId="0" xfId="15" applyFont="1" applyAlignment="1">
      <alignment horizontal="left" vertical="center" wrapText="1"/>
    </xf>
    <xf numFmtId="0" fontId="22" fillId="0" borderId="0" xfId="15" applyFont="1" applyAlignment="1">
      <alignment horizontal="left" vertical="center" wrapText="1"/>
    </xf>
    <xf numFmtId="0" fontId="14" fillId="0" borderId="0" xfId="15" applyFont="1" applyAlignment="1">
      <alignment horizontal="left" vertical="center" wrapText="1"/>
    </xf>
    <xf numFmtId="165" fontId="23" fillId="0" borderId="0" xfId="12" applyNumberFormat="1" applyFont="1" applyFill="1" applyBorder="1" applyAlignment="1">
      <alignment horizontal="left" vertical="center" wrapText="1"/>
    </xf>
    <xf numFmtId="164" fontId="23" fillId="0" borderId="0" xfId="11" applyNumberFormat="1" applyFont="1" applyAlignment="1">
      <alignment horizontal="left" vertical="center" wrapText="1"/>
    </xf>
    <xf numFmtId="169" fontId="23" fillId="0" borderId="0" xfId="12" applyNumberFormat="1" applyFont="1" applyFill="1" applyBorder="1" applyAlignment="1">
      <alignment horizontal="left" vertical="center" wrapText="1"/>
    </xf>
    <xf numFmtId="1" fontId="23" fillId="0" borderId="0" xfId="11" applyNumberFormat="1" applyFont="1" applyAlignment="1">
      <alignment horizontal="left" vertical="center" wrapText="1"/>
    </xf>
    <xf numFmtId="0" fontId="23" fillId="0" borderId="0" xfId="11" applyFont="1" applyAlignment="1">
      <alignment horizontal="left" vertical="center" wrapText="1"/>
    </xf>
    <xf numFmtId="0" fontId="23" fillId="2" borderId="0" xfId="11" applyFont="1" applyFill="1" applyAlignment="1">
      <alignment horizontal="left" vertical="center" wrapText="1"/>
    </xf>
    <xf numFmtId="0" fontId="11" fillId="0" borderId="0" xfId="3" applyFont="1" applyAlignment="1">
      <alignment horizontal="left" vertical="center" wrapText="1"/>
    </xf>
    <xf numFmtId="164" fontId="11" fillId="0" borderId="0" xfId="1" applyNumberFormat="1" applyFont="1" applyAlignment="1">
      <alignment horizontal="left" vertical="center" wrapText="1"/>
    </xf>
    <xf numFmtId="43" fontId="11" fillId="0" borderId="0" xfId="3" applyNumberFormat="1" applyFont="1" applyAlignment="1">
      <alignment horizontal="left" vertical="center" wrapText="1"/>
    </xf>
    <xf numFmtId="43" fontId="24" fillId="2" borderId="0" xfId="11" applyNumberFormat="1" applyFont="1" applyFill="1" applyAlignment="1">
      <alignment horizontal="left" vertical="center" wrapText="1"/>
    </xf>
    <xf numFmtId="0" fontId="24" fillId="2" borderId="0" xfId="11" applyFont="1" applyFill="1" applyAlignment="1">
      <alignment horizontal="left" vertical="center" wrapText="1"/>
    </xf>
    <xf numFmtId="164" fontId="24" fillId="2" borderId="0" xfId="1" applyNumberFormat="1" applyFont="1" applyFill="1" applyAlignment="1">
      <alignment horizontal="left" vertical="center" wrapText="1"/>
    </xf>
    <xf numFmtId="171" fontId="23" fillId="0" borderId="0" xfId="2" applyNumberFormat="1" applyFont="1" applyFill="1" applyBorder="1" applyAlignment="1">
      <alignment horizontal="left" vertical="center" wrapText="1"/>
    </xf>
    <xf numFmtId="164" fontId="23" fillId="0" borderId="0" xfId="18" applyNumberFormat="1" applyFont="1" applyFill="1" applyBorder="1" applyAlignment="1">
      <alignment horizontal="left" vertical="center" wrapText="1"/>
    </xf>
    <xf numFmtId="164" fontId="23" fillId="0" borderId="0" xfId="16" applyNumberFormat="1" applyFont="1" applyFill="1" applyBorder="1" applyAlignment="1">
      <alignment horizontal="left" vertical="center" wrapText="1"/>
    </xf>
    <xf numFmtId="164" fontId="22" fillId="0" borderId="0" xfId="16" applyNumberFormat="1" applyFont="1" applyFill="1" applyBorder="1" applyAlignment="1">
      <alignment horizontal="left" vertical="center" wrapText="1"/>
    </xf>
    <xf numFmtId="164" fontId="11" fillId="0" borderId="0" xfId="1" applyNumberFormat="1" applyFont="1" applyFill="1" applyBorder="1" applyAlignment="1">
      <alignment horizontal="left" vertical="center" wrapText="1"/>
    </xf>
    <xf numFmtId="164" fontId="21" fillId="0" borderId="0" xfId="16" applyNumberFormat="1" applyFont="1" applyFill="1" applyBorder="1" applyAlignment="1">
      <alignment horizontal="left" vertical="center" wrapText="1"/>
    </xf>
    <xf numFmtId="164" fontId="21" fillId="0" borderId="0" xfId="18" applyNumberFormat="1" applyFont="1" applyFill="1" applyBorder="1" applyAlignment="1">
      <alignment horizontal="left" vertical="center" wrapText="1"/>
    </xf>
    <xf numFmtId="3" fontId="21" fillId="0" borderId="0" xfId="0" applyNumberFormat="1" applyFont="1" applyAlignment="1">
      <alignment horizontal="left" vertical="center" wrapText="1"/>
    </xf>
    <xf numFmtId="164" fontId="23" fillId="0" borderId="0" xfId="1" applyNumberFormat="1" applyFont="1" applyFill="1" applyBorder="1" applyAlignment="1">
      <alignment horizontal="left" vertical="center" wrapText="1"/>
    </xf>
    <xf numFmtId="0" fontId="15" fillId="0" borderId="0" xfId="5" applyFont="1" applyAlignment="1">
      <alignment horizontal="left" vertical="center" wrapText="1"/>
    </xf>
    <xf numFmtId="165" fontId="25" fillId="0" borderId="0" xfId="12" applyNumberFormat="1" applyFont="1" applyFill="1" applyAlignment="1">
      <alignment horizontal="left" vertical="center" wrapText="1"/>
    </xf>
    <xf numFmtId="0" fontId="12" fillId="0" borderId="0" xfId="11" applyFont="1" applyAlignment="1">
      <alignment horizontal="left" vertical="center" wrapText="1"/>
    </xf>
    <xf numFmtId="164" fontId="12" fillId="0" borderId="0" xfId="1" applyNumberFormat="1" applyFont="1" applyFill="1" applyAlignment="1">
      <alignment horizontal="left" vertical="center" wrapText="1"/>
    </xf>
    <xf numFmtId="0" fontId="12" fillId="2" borderId="0" xfId="11" applyFont="1" applyFill="1" applyAlignment="1">
      <alignment horizontal="left" vertical="center" wrapText="1"/>
    </xf>
    <xf numFmtId="0" fontId="16" fillId="0" borderId="0" xfId="5" applyFont="1" applyAlignment="1">
      <alignment horizontal="left" vertical="center" wrapText="1"/>
    </xf>
    <xf numFmtId="168" fontId="15" fillId="0" borderId="0" xfId="5" applyNumberFormat="1" applyFont="1" applyAlignment="1">
      <alignment horizontal="left" vertical="center" wrapText="1"/>
    </xf>
    <xf numFmtId="164" fontId="12" fillId="2" borderId="0" xfId="1" applyNumberFormat="1" applyFont="1" applyFill="1" applyAlignment="1">
      <alignment horizontal="left" vertical="center" wrapText="1"/>
    </xf>
    <xf numFmtId="167" fontId="23" fillId="2" borderId="0" xfId="11" applyNumberFormat="1" applyFont="1" applyFill="1" applyAlignment="1">
      <alignment horizontal="left" vertical="center" wrapText="1"/>
    </xf>
    <xf numFmtId="164" fontId="17" fillId="9" borderId="2" xfId="15" applyNumberFormat="1" applyFont="1" applyFill="1" applyBorder="1" applyAlignment="1">
      <alignment horizontal="left" vertical="center" wrapText="1"/>
    </xf>
    <xf numFmtId="43" fontId="17" fillId="9" borderId="2" xfId="15" applyNumberFormat="1" applyFont="1" applyFill="1" applyBorder="1" applyAlignment="1">
      <alignment horizontal="left" vertical="center" wrapText="1"/>
    </xf>
    <xf numFmtId="43" fontId="34" fillId="9" borderId="2" xfId="16" applyNumberFormat="1" applyFont="1" applyFill="1" applyBorder="1" applyAlignment="1">
      <alignment horizontal="left" vertical="center" wrapText="1"/>
    </xf>
    <xf numFmtId="164" fontId="17" fillId="9" borderId="2" xfId="16" applyNumberFormat="1" applyFont="1" applyFill="1" applyBorder="1" applyAlignment="1">
      <alignment horizontal="left" vertical="center" wrapText="1"/>
    </xf>
    <xf numFmtId="0" fontId="271" fillId="0" borderId="0" xfId="11" applyFont="1" applyAlignment="1">
      <alignment horizontal="left" vertical="center" wrapText="1"/>
    </xf>
    <xf numFmtId="0" fontId="35" fillId="0" borderId="0" xfId="11" applyFont="1" applyAlignment="1">
      <alignment horizontal="left" vertical="center" wrapText="1"/>
    </xf>
    <xf numFmtId="0" fontId="11" fillId="0" borderId="0" xfId="11" applyFont="1" applyAlignment="1">
      <alignment vertical="top" wrapText="1"/>
    </xf>
    <xf numFmtId="0" fontId="11" fillId="2" borderId="0" xfId="11" applyFont="1" applyFill="1" applyAlignment="1">
      <alignment vertical="top" wrapText="1"/>
    </xf>
    <xf numFmtId="0" fontId="18" fillId="9" borderId="5" xfId="15" applyFont="1" applyFill="1" applyBorder="1" applyAlignment="1">
      <alignment horizontal="center" vertical="center"/>
    </xf>
    <xf numFmtId="0" fontId="18" fillId="9" borderId="5" xfId="15" applyFont="1" applyFill="1" applyBorder="1" applyAlignment="1">
      <alignment horizontal="justify" vertical="center"/>
    </xf>
    <xf numFmtId="0" fontId="18" fillId="9" borderId="5" xfId="15" applyFont="1" applyFill="1" applyBorder="1" applyAlignment="1">
      <alignment horizontal="center" vertical="center" wrapText="1"/>
    </xf>
    <xf numFmtId="164" fontId="18" fillId="9" borderId="5" xfId="16" applyNumberFormat="1" applyFont="1" applyFill="1" applyBorder="1" applyAlignment="1">
      <alignment vertical="center"/>
    </xf>
    <xf numFmtId="164" fontId="18" fillId="9" borderId="5" xfId="1" applyNumberFormat="1" applyFont="1" applyFill="1" applyBorder="1" applyAlignment="1">
      <alignment horizontal="center" vertical="center" wrapText="1"/>
    </xf>
    <xf numFmtId="0" fontId="18" fillId="9" borderId="6" xfId="15" applyFont="1" applyFill="1" applyBorder="1" applyAlignment="1">
      <alignment horizontal="center" vertical="center"/>
    </xf>
    <xf numFmtId="0" fontId="18" fillId="9" borderId="6" xfId="15" applyFont="1" applyFill="1" applyBorder="1" applyAlignment="1">
      <alignment vertical="center"/>
    </xf>
    <xf numFmtId="0" fontId="18" fillId="9" borderId="6" xfId="15" applyFont="1" applyFill="1" applyBorder="1" applyAlignment="1">
      <alignment horizontal="center" vertical="center" wrapText="1"/>
    </xf>
    <xf numFmtId="164" fontId="18" fillId="9" borderId="6" xfId="16" applyNumberFormat="1" applyFont="1" applyFill="1" applyBorder="1" applyAlignment="1">
      <alignment vertical="center"/>
    </xf>
    <xf numFmtId="164" fontId="14" fillId="9" borderId="5" xfId="1" applyNumberFormat="1" applyFont="1" applyFill="1" applyBorder="1" applyAlignment="1">
      <alignment horizontal="center" vertical="center" wrapText="1"/>
    </xf>
    <xf numFmtId="164" fontId="14" fillId="9" borderId="6" xfId="1" applyNumberFormat="1" applyFont="1" applyFill="1" applyBorder="1" applyAlignment="1">
      <alignment horizontal="center" vertical="center" wrapText="1"/>
    </xf>
    <xf numFmtId="0" fontId="17" fillId="9" borderId="10" xfId="59" applyFont="1" applyFill="1" applyBorder="1" applyAlignment="1">
      <alignment horizontal="center" vertical="center" wrapText="1"/>
    </xf>
    <xf numFmtId="43" fontId="27" fillId="9" borderId="5" xfId="23" applyFont="1" applyFill="1" applyBorder="1" applyAlignment="1">
      <alignment horizontal="left" vertical="center"/>
    </xf>
    <xf numFmtId="43" fontId="27" fillId="9" borderId="5" xfId="23" applyFont="1" applyFill="1" applyBorder="1" applyAlignment="1">
      <alignment horizontal="center" vertical="center"/>
    </xf>
    <xf numFmtId="43" fontId="27" fillId="9" borderId="5" xfId="23" applyFont="1" applyFill="1" applyBorder="1" applyAlignment="1">
      <alignment horizontal="right" vertical="center" wrapText="1"/>
    </xf>
    <xf numFmtId="43" fontId="27" fillId="9" borderId="5" xfId="23" applyFont="1" applyFill="1" applyBorder="1" applyAlignment="1">
      <alignment horizontal="center" vertical="center" wrapText="1"/>
    </xf>
    <xf numFmtId="164" fontId="27" fillId="9" borderId="5" xfId="23" applyNumberFormat="1" applyFont="1" applyFill="1" applyBorder="1" applyAlignment="1">
      <alignment horizontal="center" vertical="center" wrapText="1"/>
    </xf>
    <xf numFmtId="9" fontId="27" fillId="9" borderId="5" xfId="23" applyNumberFormat="1" applyFont="1" applyFill="1" applyBorder="1" applyAlignment="1">
      <alignment horizontal="center" vertical="center" wrapText="1"/>
    </xf>
    <xf numFmtId="164" fontId="27" fillId="9" borderId="2" xfId="1" applyNumberFormat="1" applyFont="1" applyFill="1" applyBorder="1" applyAlignment="1">
      <alignment horizontal="center" vertical="center" wrapText="1"/>
    </xf>
    <xf numFmtId="164" fontId="27" fillId="9" borderId="2" xfId="23" applyNumberFormat="1" applyFont="1" applyFill="1" applyBorder="1" applyAlignment="1">
      <alignment horizontal="center" vertical="center" wrapText="1"/>
    </xf>
    <xf numFmtId="43" fontId="27" fillId="9" borderId="2" xfId="23" applyFont="1" applyFill="1" applyBorder="1" applyAlignment="1">
      <alignment horizontal="center" vertical="center" wrapText="1"/>
    </xf>
    <xf numFmtId="41" fontId="27" fillId="9" borderId="2" xfId="23" applyNumberFormat="1" applyFont="1" applyFill="1" applyBorder="1" applyAlignment="1">
      <alignment horizontal="center" vertical="center" wrapText="1"/>
    </xf>
    <xf numFmtId="3" fontId="269" fillId="8" borderId="2" xfId="30" applyNumberFormat="1" applyFont="1" applyFill="1" applyBorder="1" applyAlignment="1">
      <alignment horizontal="center" vertical="center" wrapText="1"/>
    </xf>
    <xf numFmtId="0" fontId="3" fillId="9" borderId="5" xfId="30" applyFont="1" applyFill="1" applyBorder="1"/>
    <xf numFmtId="0" fontId="11" fillId="9" borderId="5" xfId="30" applyFont="1" applyFill="1" applyBorder="1"/>
    <xf numFmtId="164" fontId="35" fillId="9" borderId="5" xfId="31" applyNumberFormat="1" applyFont="1" applyFill="1" applyBorder="1"/>
    <xf numFmtId="164" fontId="35" fillId="9" borderId="5" xfId="22" applyNumberFormat="1" applyFont="1" applyFill="1" applyBorder="1"/>
    <xf numFmtId="3" fontId="35" fillId="9" borderId="2" xfId="22" applyNumberFormat="1" applyFont="1" applyFill="1" applyBorder="1" applyAlignment="1">
      <alignment horizontal="center"/>
    </xf>
    <xf numFmtId="3" fontId="35" fillId="9" borderId="2" xfId="22" applyNumberFormat="1" applyFont="1" applyFill="1" applyBorder="1"/>
    <xf numFmtId="164" fontId="35" fillId="9" borderId="2" xfId="32" applyNumberFormat="1" applyFont="1" applyFill="1" applyBorder="1" applyAlignment="1">
      <alignment horizontal="right"/>
    </xf>
    <xf numFmtId="164" fontId="35" fillId="9" borderId="2" xfId="32" applyNumberFormat="1" applyFont="1" applyFill="1" applyBorder="1"/>
    <xf numFmtId="164" fontId="35" fillId="9" borderId="2" xfId="1" applyNumberFormat="1" applyFont="1" applyFill="1" applyBorder="1" applyAlignment="1">
      <alignment horizontal="right"/>
    </xf>
    <xf numFmtId="0" fontId="4" fillId="0" borderId="0" xfId="27" applyFont="1"/>
    <xf numFmtId="164" fontId="4" fillId="0" borderId="0" xfId="26" applyNumberFormat="1" applyFont="1"/>
    <xf numFmtId="0" fontId="7" fillId="0" borderId="0" xfId="27" applyFont="1" applyAlignment="1">
      <alignment horizontal="center"/>
    </xf>
    <xf numFmtId="166" fontId="7" fillId="9" borderId="63" xfId="28" applyNumberFormat="1" applyFont="1" applyFill="1" applyBorder="1" applyAlignment="1">
      <alignment horizontal="center" vertical="center" wrapText="1"/>
    </xf>
    <xf numFmtId="0" fontId="4" fillId="0" borderId="6" xfId="27" applyFont="1" applyBorder="1" applyAlignment="1">
      <alignment horizontal="center"/>
    </xf>
    <xf numFmtId="0" fontId="4" fillId="0" borderId="6" xfId="27" applyFont="1" applyBorder="1"/>
    <xf numFmtId="164" fontId="7" fillId="0" borderId="6" xfId="27" applyNumberFormat="1" applyFont="1" applyBorder="1" applyAlignment="1">
      <alignment horizontal="center"/>
    </xf>
    <xf numFmtId="164" fontId="4" fillId="0" borderId="0" xfId="27" applyNumberFormat="1" applyFont="1"/>
    <xf numFmtId="0" fontId="11" fillId="0" borderId="0" xfId="0" applyFont="1" applyAlignment="1">
      <alignment horizontal="left" vertical="center" wrapText="1"/>
    </xf>
    <xf numFmtId="9" fontId="11" fillId="0" borderId="0" xfId="0" applyNumberFormat="1" applyFont="1" applyAlignment="1">
      <alignment horizontal="left" vertical="center" wrapText="1"/>
    </xf>
    <xf numFmtId="164" fontId="4" fillId="0" borderId="0" xfId="1" applyNumberFormat="1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164" fontId="11" fillId="0" borderId="0" xfId="1" applyNumberFormat="1" applyFont="1" applyBorder="1" applyAlignment="1">
      <alignment horizontal="left" vertical="center" wrapText="1"/>
    </xf>
    <xf numFmtId="164" fontId="3" fillId="0" borderId="0" xfId="1" applyNumberFormat="1" applyFont="1" applyAlignment="1">
      <alignment horizontal="left" vertical="center" wrapText="1"/>
    </xf>
    <xf numFmtId="0" fontId="11" fillId="5" borderId="0" xfId="0" applyFont="1" applyFill="1" applyAlignment="1">
      <alignment horizontal="left" vertical="center" wrapText="1"/>
    </xf>
    <xf numFmtId="9" fontId="11" fillId="5" borderId="0" xfId="0" applyNumberFormat="1" applyFont="1" applyFill="1" applyAlignment="1">
      <alignment horizontal="left" vertical="center" wrapText="1"/>
    </xf>
    <xf numFmtId="9" fontId="11" fillId="5" borderId="0" xfId="2" applyFont="1" applyFill="1" applyAlignment="1">
      <alignment horizontal="left" vertical="center" wrapText="1"/>
    </xf>
    <xf numFmtId="1" fontId="11" fillId="0" borderId="0" xfId="0" applyNumberFormat="1" applyFont="1" applyAlignment="1">
      <alignment horizontal="center" vertical="center" wrapText="1"/>
    </xf>
    <xf numFmtId="173" fontId="26" fillId="0" borderId="0" xfId="23" applyNumberFormat="1" applyFont="1" applyFill="1" applyBorder="1" applyAlignment="1">
      <alignment horizontal="right" vertical="center"/>
    </xf>
    <xf numFmtId="43" fontId="27" fillId="0" borderId="0" xfId="23" applyFont="1" applyFill="1" applyAlignment="1">
      <alignment horizontal="center" vertical="center"/>
    </xf>
    <xf numFmtId="0" fontId="17" fillId="9" borderId="63" xfId="59" applyFont="1" applyFill="1" applyBorder="1" applyAlignment="1">
      <alignment horizontal="center" vertical="center" wrapText="1"/>
    </xf>
    <xf numFmtId="0" fontId="7" fillId="9" borderId="63" xfId="27" applyFont="1" applyFill="1" applyBorder="1" applyAlignment="1">
      <alignment horizontal="center" vertical="center"/>
    </xf>
    <xf numFmtId="0" fontId="4" fillId="9" borderId="63" xfId="27" applyFont="1" applyFill="1" applyBorder="1" applyAlignment="1">
      <alignment horizontal="left" vertical="center"/>
    </xf>
    <xf numFmtId="0" fontId="4" fillId="9" borderId="63" xfId="27" applyFont="1" applyFill="1" applyBorder="1" applyAlignment="1">
      <alignment horizontal="center" vertical="center"/>
    </xf>
    <xf numFmtId="43" fontId="27" fillId="0" borderId="63" xfId="23" applyFont="1" applyFill="1" applyBorder="1" applyAlignment="1">
      <alignment horizontal="center" vertical="center" wrapText="1"/>
    </xf>
    <xf numFmtId="164" fontId="12" fillId="0" borderId="0" xfId="30" applyNumberFormat="1" applyFont="1"/>
    <xf numFmtId="164" fontId="13" fillId="0" borderId="0" xfId="30" applyNumberFormat="1" applyFont="1"/>
    <xf numFmtId="164" fontId="21" fillId="0" borderId="0" xfId="15" applyNumberFormat="1" applyFont="1" applyAlignment="1">
      <alignment horizontal="left" vertical="center" wrapText="1"/>
    </xf>
    <xf numFmtId="43" fontId="11" fillId="0" borderId="0" xfId="11" applyNumberFormat="1" applyFont="1" applyAlignment="1">
      <alignment horizontal="left" vertical="center" wrapText="1"/>
    </xf>
    <xf numFmtId="14" fontId="26" fillId="0" borderId="0" xfId="23" applyNumberFormat="1" applyFont="1" applyFill="1" applyAlignment="1">
      <alignment vertical="center"/>
    </xf>
    <xf numFmtId="284" fontId="21" fillId="0" borderId="0" xfId="15" applyNumberFormat="1" applyFont="1" applyAlignment="1">
      <alignment horizontal="left" vertical="center" wrapText="1"/>
    </xf>
    <xf numFmtId="43" fontId="8" fillId="0" borderId="0" xfId="5" applyNumberFormat="1" applyAlignment="1">
      <alignment vertical="top"/>
    </xf>
    <xf numFmtId="0" fontId="0" fillId="0" borderId="0" xfId="0" applyAlignment="1">
      <alignment horizontal="center" vertical="center"/>
    </xf>
    <xf numFmtId="0" fontId="276" fillId="0" borderId="0" xfId="0" applyFont="1" applyAlignment="1">
      <alignment horizontal="center" vertical="center"/>
    </xf>
    <xf numFmtId="0" fontId="279" fillId="0" borderId="0" xfId="0" applyFont="1" applyAlignment="1">
      <alignment horizontal="center" vertical="center"/>
    </xf>
    <xf numFmtId="164" fontId="279" fillId="0" borderId="0" xfId="0" applyNumberFormat="1" applyFont="1" applyAlignment="1">
      <alignment horizontal="center" vertical="center"/>
    </xf>
    <xf numFmtId="164" fontId="279" fillId="0" borderId="0" xfId="1" applyNumberFormat="1" applyFont="1" applyAlignment="1">
      <alignment horizontal="center" vertical="center"/>
    </xf>
    <xf numFmtId="164" fontId="279" fillId="72" borderId="0" xfId="1" applyNumberFormat="1" applyFont="1" applyFill="1" applyAlignment="1">
      <alignment horizontal="center" vertical="center"/>
    </xf>
    <xf numFmtId="164" fontId="280" fillId="68" borderId="0" xfId="1" applyNumberFormat="1" applyFont="1" applyFill="1" applyAlignment="1">
      <alignment horizontal="center" vertical="center"/>
    </xf>
    <xf numFmtId="0" fontId="281" fillId="74" borderId="295" xfId="0" applyFont="1" applyFill="1" applyBorder="1" applyAlignment="1">
      <alignment horizontal="center" vertical="center" wrapText="1"/>
    </xf>
    <xf numFmtId="0" fontId="281" fillId="74" borderId="296" xfId="0" applyFont="1" applyFill="1" applyBorder="1" applyAlignment="1">
      <alignment horizontal="center" vertical="center" wrapText="1"/>
    </xf>
    <xf numFmtId="0" fontId="281" fillId="74" borderId="297" xfId="0" applyFont="1" applyFill="1" applyBorder="1" applyAlignment="1">
      <alignment horizontal="center" vertical="center" wrapText="1"/>
    </xf>
    <xf numFmtId="0" fontId="281" fillId="72" borderId="297" xfId="0" applyFont="1" applyFill="1" applyBorder="1" applyAlignment="1">
      <alignment horizontal="center" vertical="center" wrapText="1"/>
    </xf>
    <xf numFmtId="0" fontId="280" fillId="75" borderId="298" xfId="0" applyFont="1" applyFill="1" applyBorder="1" applyAlignment="1">
      <alignment horizontal="center" vertical="center" wrapText="1"/>
    </xf>
    <xf numFmtId="0" fontId="279" fillId="0" borderId="0" xfId="0" applyFont="1" applyAlignment="1">
      <alignment horizontal="center" vertical="center" wrapText="1"/>
    </xf>
    <xf numFmtId="0" fontId="282" fillId="0" borderId="299" xfId="0" applyFont="1" applyBorder="1" applyAlignment="1">
      <alignment horizontal="center" vertical="center"/>
    </xf>
    <xf numFmtId="164" fontId="282" fillId="72" borderId="299" xfId="0" applyNumberFormat="1" applyFont="1" applyFill="1" applyBorder="1" applyAlignment="1">
      <alignment horizontal="center" vertical="center"/>
    </xf>
    <xf numFmtId="164" fontId="282" fillId="0" borderId="299" xfId="0" applyNumberFormat="1" applyFont="1" applyBorder="1" applyAlignment="1">
      <alignment horizontal="center" vertical="center"/>
    </xf>
    <xf numFmtId="164" fontId="282" fillId="0" borderId="300" xfId="1" applyNumberFormat="1" applyFont="1" applyBorder="1" applyAlignment="1">
      <alignment horizontal="center" vertical="center"/>
    </xf>
    <xf numFmtId="164" fontId="282" fillId="0" borderId="0" xfId="0" applyNumberFormat="1" applyFont="1" applyAlignment="1">
      <alignment horizontal="center" vertical="center"/>
    </xf>
    <xf numFmtId="3" fontId="13" fillId="0" borderId="0" xfId="31" applyNumberFormat="1" applyFont="1" applyFill="1" applyBorder="1" applyAlignment="1">
      <alignment horizontal="right"/>
    </xf>
    <xf numFmtId="0" fontId="13" fillId="0" borderId="0" xfId="3" applyFont="1"/>
    <xf numFmtId="0" fontId="35" fillId="0" borderId="0" xfId="3" applyFont="1" applyAlignment="1">
      <alignment vertical="center" wrapText="1"/>
    </xf>
    <xf numFmtId="0" fontId="35" fillId="0" borderId="0" xfId="3" applyFont="1" applyAlignment="1">
      <alignment horizontal="right" vertical="center" wrapText="1"/>
    </xf>
    <xf numFmtId="43" fontId="35" fillId="0" borderId="0" xfId="3" applyNumberFormat="1" applyFont="1" applyAlignment="1">
      <alignment wrapText="1"/>
    </xf>
    <xf numFmtId="0" fontId="13" fillId="0" borderId="0" xfId="22" applyFont="1"/>
    <xf numFmtId="0" fontId="12" fillId="0" borderId="0" xfId="22" applyFont="1"/>
    <xf numFmtId="0" fontId="13" fillId="0" borderId="0" xfId="22" applyFont="1" applyAlignment="1">
      <alignment wrapText="1"/>
    </xf>
    <xf numFmtId="0" fontId="17" fillId="0" borderId="0" xfId="22" applyFont="1" applyAlignment="1">
      <alignment wrapText="1"/>
    </xf>
    <xf numFmtId="164" fontId="49" fillId="0" borderId="2" xfId="32" applyNumberFormat="1" applyFont="1" applyFill="1" applyBorder="1" applyAlignment="1">
      <alignment horizontal="right"/>
    </xf>
    <xf numFmtId="3" fontId="12" fillId="0" borderId="0" xfId="30" applyNumberFormat="1" applyFont="1" applyAlignment="1">
      <alignment horizontal="right"/>
    </xf>
    <xf numFmtId="164" fontId="28" fillId="0" borderId="0" xfId="2" applyNumberFormat="1" applyFont="1" applyFill="1" applyBorder="1" applyAlignment="1">
      <alignment horizontal="right"/>
    </xf>
    <xf numFmtId="10" fontId="17" fillId="0" borderId="0" xfId="30" applyNumberFormat="1" applyFont="1" applyAlignment="1">
      <alignment horizontal="right"/>
    </xf>
    <xf numFmtId="164" fontId="17" fillId="0" borderId="0" xfId="31" applyNumberFormat="1" applyFont="1" applyFill="1" applyBorder="1" applyAlignment="1">
      <alignment horizontal="right"/>
    </xf>
    <xf numFmtId="3" fontId="35" fillId="9" borderId="301" xfId="22" applyNumberFormat="1" applyFont="1" applyFill="1" applyBorder="1" applyAlignment="1">
      <alignment horizontal="center"/>
    </xf>
    <xf numFmtId="3" fontId="17" fillId="0" borderId="14" xfId="22" applyNumberFormat="1" applyFont="1" applyBorder="1"/>
    <xf numFmtId="3" fontId="17" fillId="0" borderId="292" xfId="22" applyNumberFormat="1" applyFont="1" applyBorder="1"/>
    <xf numFmtId="164" fontId="17" fillId="0" borderId="9" xfId="1" applyNumberFormat="1" applyFont="1" applyFill="1" applyBorder="1" applyAlignment="1">
      <alignment horizontal="right"/>
    </xf>
    <xf numFmtId="164" fontId="17" fillId="0" borderId="0" xfId="1" applyNumberFormat="1" applyFont="1" applyFill="1" applyBorder="1" applyAlignment="1">
      <alignment horizontal="right"/>
    </xf>
    <xf numFmtId="3" fontId="17" fillId="0" borderId="302" xfId="22" applyNumberFormat="1" applyFont="1" applyBorder="1"/>
    <xf numFmtId="3" fontId="17" fillId="0" borderId="303" xfId="22" applyNumberFormat="1" applyFont="1" applyBorder="1"/>
    <xf numFmtId="164" fontId="17" fillId="0" borderId="6" xfId="1" applyNumberFormat="1" applyFont="1" applyFill="1" applyBorder="1" applyAlignment="1">
      <alignment horizontal="right"/>
    </xf>
    <xf numFmtId="164" fontId="28" fillId="0" borderId="0" xfId="31" applyNumberFormat="1" applyFont="1" applyFill="1" applyBorder="1" applyAlignment="1">
      <alignment horizontal="right"/>
    </xf>
    <xf numFmtId="10" fontId="28" fillId="0" borderId="0" xfId="30" applyNumberFormat="1" applyFont="1" applyAlignment="1">
      <alignment horizontal="right"/>
    </xf>
    <xf numFmtId="164" fontId="34" fillId="0" borderId="5" xfId="1" applyNumberFormat="1" applyFont="1" applyBorder="1" applyAlignment="1">
      <alignment horizontal="right"/>
    </xf>
    <xf numFmtId="164" fontId="3" fillId="0" borderId="6" xfId="30" applyNumberFormat="1" applyFont="1" applyBorder="1"/>
    <xf numFmtId="0" fontId="3" fillId="0" borderId="63" xfId="30" applyFont="1" applyBorder="1"/>
    <xf numFmtId="0" fontId="3" fillId="0" borderId="63" xfId="30" applyFont="1" applyBorder="1" applyAlignment="1">
      <alignment wrapText="1"/>
    </xf>
    <xf numFmtId="164" fontId="3" fillId="0" borderId="63" xfId="30" applyNumberFormat="1" applyFont="1" applyBorder="1"/>
    <xf numFmtId="0" fontId="279" fillId="0" borderId="0" xfId="0" applyFont="1" applyAlignment="1">
      <alignment horizontal="left" vertical="center"/>
    </xf>
    <xf numFmtId="9" fontId="279" fillId="0" borderId="0" xfId="0" applyNumberFormat="1" applyFont="1" applyAlignment="1">
      <alignment horizontal="center" vertical="center"/>
    </xf>
    <xf numFmtId="10" fontId="279" fillId="0" borderId="0" xfId="0" applyNumberFormat="1" applyFont="1" applyAlignment="1">
      <alignment horizontal="center" vertical="center"/>
    </xf>
    <xf numFmtId="0" fontId="280" fillId="75" borderId="0" xfId="0" applyFont="1" applyFill="1" applyAlignment="1">
      <alignment horizontal="center" vertical="center" wrapText="1"/>
    </xf>
    <xf numFmtId="164" fontId="282" fillId="69" borderId="0" xfId="0" applyNumberFormat="1" applyFont="1" applyFill="1" applyAlignment="1">
      <alignment horizontal="center" vertical="center"/>
    </xf>
    <xf numFmtId="0" fontId="282" fillId="0" borderId="0" xfId="0" applyFont="1" applyAlignment="1">
      <alignment horizontal="center" vertical="center"/>
    </xf>
    <xf numFmtId="164" fontId="282" fillId="0" borderId="0" xfId="1" applyNumberFormat="1" applyFont="1" applyAlignment="1">
      <alignment horizontal="center" vertical="center"/>
    </xf>
    <xf numFmtId="164" fontId="0" fillId="0" borderId="299" xfId="0" applyNumberFormat="1" applyBorder="1" applyAlignment="1">
      <alignment horizontal="center" vertical="center"/>
    </xf>
    <xf numFmtId="9" fontId="0" fillId="77" borderId="0" xfId="0" applyNumberFormat="1" applyFill="1" applyAlignment="1">
      <alignment horizontal="center" vertical="center"/>
    </xf>
    <xf numFmtId="0" fontId="0" fillId="77" borderId="295" xfId="0" applyFill="1" applyBorder="1" applyAlignment="1">
      <alignment horizontal="center" vertical="center"/>
    </xf>
    <xf numFmtId="0" fontId="0" fillId="77" borderId="297" xfId="0" applyFill="1" applyBorder="1" applyAlignment="1">
      <alignment horizontal="center" vertical="center"/>
    </xf>
    <xf numFmtId="0" fontId="0" fillId="77" borderId="298" xfId="0" applyFill="1" applyBorder="1" applyAlignment="1">
      <alignment horizontal="center" vertical="center"/>
    </xf>
    <xf numFmtId="0" fontId="0" fillId="0" borderId="299" xfId="0" applyBorder="1" applyAlignment="1">
      <alignment horizontal="center" vertical="center"/>
    </xf>
    <xf numFmtId="164" fontId="0" fillId="0" borderId="299" xfId="1" applyNumberFormat="1" applyFont="1" applyBorder="1" applyAlignment="1">
      <alignment horizontal="center" vertical="center"/>
    </xf>
    <xf numFmtId="9" fontId="0" fillId="73" borderId="299" xfId="0" applyNumberFormat="1" applyFill="1" applyBorder="1" applyAlignment="1">
      <alignment horizontal="center" vertical="center"/>
    </xf>
    <xf numFmtId="9" fontId="0" fillId="0" borderId="299" xfId="0" applyNumberFormat="1" applyBorder="1" applyAlignment="1">
      <alignment horizontal="center" vertical="center"/>
    </xf>
    <xf numFmtId="164" fontId="0" fillId="0" borderId="300" xfId="1" applyNumberFormat="1" applyFont="1" applyBorder="1" applyAlignment="1">
      <alignment horizontal="center" vertical="center"/>
    </xf>
    <xf numFmtId="9" fontId="0" fillId="69" borderId="299" xfId="0" applyNumberFormat="1" applyFill="1" applyBorder="1" applyAlignment="1">
      <alignment horizontal="center" vertical="center"/>
    </xf>
    <xf numFmtId="0" fontId="0" fillId="77" borderId="297" xfId="0" applyFill="1" applyBorder="1" applyAlignment="1">
      <alignment horizontal="center" vertical="center" wrapText="1"/>
    </xf>
    <xf numFmtId="0" fontId="276" fillId="0" borderId="306" xfId="0" applyFont="1" applyBorder="1" applyAlignment="1">
      <alignment horizontal="center" vertical="center"/>
    </xf>
    <xf numFmtId="164" fontId="276" fillId="0" borderId="0" xfId="1" applyNumberFormat="1" applyFont="1" applyAlignment="1">
      <alignment horizontal="center" vertical="center"/>
    </xf>
    <xf numFmtId="164" fontId="276" fillId="0" borderId="307" xfId="1" applyNumberFormat="1" applyFont="1" applyBorder="1" applyAlignment="1">
      <alignment horizontal="center" vertical="center"/>
    </xf>
    <xf numFmtId="164" fontId="276" fillId="0" borderId="0" xfId="0" applyNumberFormat="1" applyFont="1" applyAlignment="1">
      <alignment horizontal="center" vertical="center"/>
    </xf>
    <xf numFmtId="164" fontId="277" fillId="0" borderId="300" xfId="1" applyNumberFormat="1" applyFont="1" applyBorder="1" applyAlignment="1">
      <alignment horizontal="center" vertical="center"/>
    </xf>
    <xf numFmtId="164" fontId="17" fillId="0" borderId="0" xfId="15" applyNumberFormat="1" applyFont="1" applyAlignment="1">
      <alignment vertical="top" wrapText="1"/>
    </xf>
    <xf numFmtId="43" fontId="12" fillId="0" borderId="0" xfId="22" applyNumberFormat="1" applyFont="1"/>
    <xf numFmtId="164" fontId="3" fillId="0" borderId="0" xfId="3" applyNumberFormat="1" applyFont="1" applyAlignment="1">
      <alignment horizontal="center" vertical="center" wrapText="1"/>
    </xf>
    <xf numFmtId="164" fontId="13" fillId="0" borderId="0" xfId="11" applyNumberFormat="1" applyAlignment="1">
      <alignment vertical="top"/>
    </xf>
    <xf numFmtId="164" fontId="285" fillId="0" borderId="0" xfId="11" applyNumberFormat="1" applyFont="1" applyAlignment="1">
      <alignment horizontal="left" vertical="center" wrapText="1"/>
    </xf>
    <xf numFmtId="4" fontId="28" fillId="0" borderId="0" xfId="30" applyNumberFormat="1" applyFont="1" applyAlignment="1">
      <alignment horizontal="right"/>
    </xf>
    <xf numFmtId="164" fontId="18" fillId="0" borderId="0" xfId="16" applyNumberFormat="1" applyFont="1" applyFill="1" applyBorder="1" applyAlignment="1">
      <alignment vertical="center"/>
    </xf>
    <xf numFmtId="166" fontId="8" fillId="0" borderId="0" xfId="2" applyNumberFormat="1" applyFont="1" applyAlignment="1">
      <alignment vertical="top"/>
    </xf>
    <xf numFmtId="164" fontId="12" fillId="0" borderId="0" xfId="0" applyNumberFormat="1" applyFont="1" applyAlignment="1">
      <alignment vertical="center"/>
    </xf>
    <xf numFmtId="43" fontId="19" fillId="0" borderId="385" xfId="15" applyNumberFormat="1" applyFont="1" applyBorder="1" applyAlignment="1">
      <alignment horizontal="left" vertical="center" wrapText="1"/>
    </xf>
    <xf numFmtId="43" fontId="20" fillId="0" borderId="386" xfId="15" applyNumberFormat="1" applyFont="1" applyBorder="1" applyAlignment="1">
      <alignment horizontal="left" vertical="center" wrapText="1"/>
    </xf>
    <xf numFmtId="43" fontId="20" fillId="0" borderId="387" xfId="15" applyNumberFormat="1" applyFont="1" applyBorder="1" applyAlignment="1">
      <alignment horizontal="left" vertical="center" wrapText="1"/>
    </xf>
    <xf numFmtId="43" fontId="20" fillId="0" borderId="385" xfId="16" applyNumberFormat="1" applyFont="1" applyFill="1" applyBorder="1" applyAlignment="1">
      <alignment horizontal="left" vertical="center" wrapText="1"/>
    </xf>
    <xf numFmtId="43" fontId="20" fillId="0" borderId="385" xfId="19" applyNumberFormat="1" applyFont="1" applyBorder="1" applyAlignment="1">
      <alignment horizontal="left" vertical="center" wrapText="1"/>
    </xf>
    <xf numFmtId="164" fontId="20" fillId="0" borderId="385" xfId="1" applyNumberFormat="1" applyFont="1" applyBorder="1" applyAlignment="1">
      <alignment horizontal="left" vertical="center" wrapText="1"/>
    </xf>
    <xf numFmtId="164" fontId="14" fillId="0" borderId="385" xfId="19" applyNumberFormat="1" applyFont="1" applyBorder="1" applyAlignment="1">
      <alignment horizontal="left" vertical="center" wrapText="1"/>
    </xf>
    <xf numFmtId="43" fontId="18" fillId="0" borderId="385" xfId="15" applyNumberFormat="1" applyFont="1" applyBorder="1" applyAlignment="1">
      <alignment horizontal="left" vertical="center" wrapText="1"/>
    </xf>
    <xf numFmtId="43" fontId="14" fillId="0" borderId="386" xfId="15" applyNumberFormat="1" applyFont="1" applyBorder="1" applyAlignment="1">
      <alignment horizontal="left" vertical="center" wrapText="1"/>
    </xf>
    <xf numFmtId="43" fontId="14" fillId="0" borderId="387" xfId="15" applyNumberFormat="1" applyFont="1" applyBorder="1" applyAlignment="1">
      <alignment horizontal="left" vertical="center" wrapText="1"/>
    </xf>
    <xf numFmtId="43" fontId="14" fillId="0" borderId="385" xfId="16" applyNumberFormat="1" applyFont="1" applyFill="1" applyBorder="1" applyAlignment="1">
      <alignment horizontal="left" vertical="center" wrapText="1"/>
    </xf>
    <xf numFmtId="164" fontId="14" fillId="0" borderId="385" xfId="16" applyNumberFormat="1" applyFont="1" applyFill="1" applyBorder="1" applyAlignment="1">
      <alignment horizontal="left" vertical="center" wrapText="1"/>
    </xf>
    <xf numFmtId="43" fontId="14" fillId="0" borderId="385" xfId="19" applyNumberFormat="1" applyFont="1" applyBorder="1" applyAlignment="1">
      <alignment horizontal="left" vertical="center" wrapText="1"/>
    </xf>
    <xf numFmtId="164" fontId="14" fillId="0" borderId="385" xfId="1" applyNumberFormat="1" applyFont="1" applyBorder="1" applyAlignment="1">
      <alignment horizontal="left" vertical="center" wrapText="1"/>
    </xf>
    <xf numFmtId="164" fontId="18" fillId="9" borderId="385" xfId="15" applyNumberFormat="1" applyFont="1" applyFill="1" applyBorder="1" applyAlignment="1">
      <alignment horizontal="left" vertical="center" wrapText="1"/>
    </xf>
    <xf numFmtId="43" fontId="17" fillId="9" borderId="385" xfId="15" applyNumberFormat="1" applyFont="1" applyFill="1" applyBorder="1" applyAlignment="1">
      <alignment horizontal="left" vertical="center" wrapText="1"/>
    </xf>
    <xf numFmtId="43" fontId="18" fillId="9" borderId="385" xfId="15" applyNumberFormat="1" applyFont="1" applyFill="1" applyBorder="1" applyAlignment="1">
      <alignment horizontal="left" vertical="center" wrapText="1"/>
    </xf>
    <xf numFmtId="43" fontId="14" fillId="9" borderId="386" xfId="2" applyNumberFormat="1" applyFont="1" applyFill="1" applyBorder="1" applyAlignment="1">
      <alignment horizontal="left" vertical="center" wrapText="1"/>
    </xf>
    <xf numFmtId="43" fontId="14" fillId="9" borderId="385" xfId="15" applyNumberFormat="1" applyFont="1" applyFill="1" applyBorder="1" applyAlignment="1">
      <alignment horizontal="left" vertical="center" wrapText="1"/>
    </xf>
    <xf numFmtId="164" fontId="18" fillId="9" borderId="385" xfId="18" applyNumberFormat="1" applyFont="1" applyFill="1" applyBorder="1" applyAlignment="1">
      <alignment horizontal="left" vertical="center" wrapText="1"/>
    </xf>
    <xf numFmtId="164" fontId="18" fillId="9" borderId="385" xfId="1" applyNumberFormat="1" applyFont="1" applyFill="1" applyBorder="1" applyAlignment="1">
      <alignment horizontal="left" vertical="center" wrapText="1"/>
    </xf>
    <xf numFmtId="164" fontId="17" fillId="9" borderId="385" xfId="15" applyNumberFormat="1" applyFont="1" applyFill="1" applyBorder="1" applyAlignment="1">
      <alignment horizontal="left" vertical="center" wrapText="1"/>
    </xf>
    <xf numFmtId="43" fontId="13" fillId="9" borderId="385" xfId="15" applyNumberFormat="1" applyFont="1" applyFill="1" applyBorder="1" applyAlignment="1">
      <alignment horizontal="left" vertical="center" wrapText="1"/>
    </xf>
    <xf numFmtId="43" fontId="17" fillId="9" borderId="386" xfId="2" applyNumberFormat="1" applyFont="1" applyFill="1" applyBorder="1" applyAlignment="1">
      <alignment horizontal="left" vertical="center" wrapText="1"/>
    </xf>
    <xf numFmtId="164" fontId="17" fillId="9" borderId="385" xfId="16" applyNumberFormat="1" applyFont="1" applyFill="1" applyBorder="1" applyAlignment="1">
      <alignment horizontal="left" vertical="center" wrapText="1"/>
    </xf>
    <xf numFmtId="43" fontId="13" fillId="9" borderId="386" xfId="11" applyNumberFormat="1" applyFill="1" applyBorder="1" applyAlignment="1">
      <alignment horizontal="left" vertical="center" wrapText="1"/>
    </xf>
    <xf numFmtId="43" fontId="13" fillId="9" borderId="387" xfId="11" applyNumberFormat="1" applyFill="1" applyBorder="1" applyAlignment="1">
      <alignment horizontal="left" vertical="center" wrapText="1"/>
    </xf>
    <xf numFmtId="43" fontId="13" fillId="9" borderId="385" xfId="11" applyNumberFormat="1" applyFill="1" applyBorder="1" applyAlignment="1">
      <alignment horizontal="left" vertical="center" wrapText="1"/>
    </xf>
    <xf numFmtId="43" fontId="272" fillId="9" borderId="385" xfId="15" applyNumberFormat="1" applyFont="1" applyFill="1" applyBorder="1" applyAlignment="1">
      <alignment horizontal="left" vertical="center" wrapText="1"/>
    </xf>
    <xf numFmtId="164" fontId="13" fillId="9" borderId="385" xfId="1" applyNumberFormat="1" applyFont="1" applyFill="1" applyBorder="1" applyAlignment="1">
      <alignment horizontal="left" vertical="center" wrapText="1"/>
    </xf>
    <xf numFmtId="0" fontId="14" fillId="0" borderId="389" xfId="15" applyFont="1" applyBorder="1" applyAlignment="1">
      <alignment horizontal="left" vertical="center" wrapText="1"/>
    </xf>
    <xf numFmtId="164" fontId="18" fillId="0" borderId="389" xfId="16" applyNumberFormat="1" applyFont="1" applyFill="1" applyBorder="1" applyAlignment="1">
      <alignment horizontal="left" vertical="center" wrapText="1"/>
    </xf>
    <xf numFmtId="164" fontId="14" fillId="2" borderId="389" xfId="11" applyNumberFormat="1" applyFont="1" applyFill="1" applyBorder="1" applyAlignment="1">
      <alignment horizontal="left" vertical="center" wrapText="1"/>
    </xf>
    <xf numFmtId="0" fontId="14" fillId="2" borderId="389" xfId="11" applyFont="1" applyFill="1" applyBorder="1" applyAlignment="1">
      <alignment horizontal="left" vertical="center" wrapText="1"/>
    </xf>
    <xf numFmtId="164" fontId="14" fillId="0" borderId="389" xfId="1" applyNumberFormat="1" applyFont="1" applyBorder="1" applyAlignment="1">
      <alignment horizontal="left" vertical="center" wrapText="1"/>
    </xf>
    <xf numFmtId="0" fontId="14" fillId="0" borderId="385" xfId="15" applyFont="1" applyBorder="1" applyAlignment="1">
      <alignment horizontal="center" vertical="center" wrapText="1"/>
    </xf>
    <xf numFmtId="0" fontId="14" fillId="0" borderId="385" xfId="15" applyFont="1" applyBorder="1" applyAlignment="1">
      <alignment horizontal="center" vertical="center"/>
    </xf>
    <xf numFmtId="0" fontId="18" fillId="9" borderId="385" xfId="15" applyFont="1" applyFill="1" applyBorder="1" applyAlignment="1">
      <alignment horizontal="center" vertical="center"/>
    </xf>
    <xf numFmtId="0" fontId="18" fillId="9" borderId="385" xfId="15" applyFont="1" applyFill="1" applyBorder="1" applyAlignment="1">
      <alignment horizontal="justify" vertical="center"/>
    </xf>
    <xf numFmtId="0" fontId="18" fillId="9" borderId="385" xfId="15" applyFont="1" applyFill="1" applyBorder="1" applyAlignment="1">
      <alignment horizontal="center" vertical="center" wrapText="1"/>
    </xf>
    <xf numFmtId="164" fontId="18" fillId="9" borderId="385" xfId="16" applyNumberFormat="1" applyFont="1" applyFill="1" applyBorder="1" applyAlignment="1">
      <alignment vertical="center"/>
    </xf>
    <xf numFmtId="0" fontId="14" fillId="9" borderId="385" xfId="15" applyFont="1" applyFill="1" applyBorder="1" applyAlignment="1">
      <alignment horizontal="center" vertical="center" wrapText="1"/>
    </xf>
    <xf numFmtId="164" fontId="18" fillId="9" borderId="385" xfId="1" applyNumberFormat="1" applyFont="1" applyFill="1" applyBorder="1" applyAlignment="1">
      <alignment horizontal="center" vertical="center" wrapText="1"/>
    </xf>
    <xf numFmtId="0" fontId="18" fillId="9" borderId="385" xfId="15" applyFont="1" applyFill="1" applyBorder="1" applyAlignment="1">
      <alignment vertical="center"/>
    </xf>
    <xf numFmtId="0" fontId="14" fillId="9" borderId="385" xfId="15" applyFont="1" applyFill="1" applyBorder="1" applyAlignment="1">
      <alignment vertical="center" wrapText="1"/>
    </xf>
    <xf numFmtId="0" fontId="20" fillId="0" borderId="389" xfId="15" applyFont="1" applyBorder="1" applyAlignment="1">
      <alignment horizontal="center" vertical="center"/>
    </xf>
    <xf numFmtId="0" fontId="19" fillId="0" borderId="389" xfId="15" applyFont="1" applyBorder="1" applyAlignment="1">
      <alignment vertical="center"/>
    </xf>
    <xf numFmtId="0" fontId="19" fillId="0" borderId="390" xfId="15" applyFont="1" applyBorder="1" applyAlignment="1">
      <alignment vertical="center"/>
    </xf>
    <xf numFmtId="164" fontId="19" fillId="0" borderId="389" xfId="16" applyNumberFormat="1" applyFont="1" applyFill="1" applyBorder="1" applyAlignment="1">
      <alignment vertical="center"/>
    </xf>
    <xf numFmtId="0" fontId="20" fillId="0" borderId="389" xfId="15" applyFont="1" applyBorder="1" applyAlignment="1">
      <alignment vertical="center" wrapText="1"/>
    </xf>
    <xf numFmtId="164" fontId="20" fillId="0" borderId="389" xfId="1" applyNumberFormat="1" applyFont="1" applyBorder="1" applyAlignment="1">
      <alignment vertical="center" wrapText="1"/>
    </xf>
    <xf numFmtId="0" fontId="4" fillId="0" borderId="385" xfId="27" applyFont="1" applyBorder="1" applyAlignment="1">
      <alignment horizontal="center"/>
    </xf>
    <xf numFmtId="0" fontId="4" fillId="0" borderId="385" xfId="27" applyFont="1" applyBorder="1"/>
    <xf numFmtId="164" fontId="7" fillId="0" borderId="385" xfId="27" applyNumberFormat="1" applyFont="1" applyBorder="1"/>
    <xf numFmtId="164" fontId="4" fillId="0" borderId="385" xfId="27" applyNumberFormat="1" applyFont="1" applyBorder="1"/>
    <xf numFmtId="164" fontId="4" fillId="0" borderId="385" xfId="26" applyNumberFormat="1" applyFont="1" applyBorder="1"/>
    <xf numFmtId="166" fontId="7" fillId="0" borderId="385" xfId="29" applyNumberFormat="1" applyFont="1" applyBorder="1"/>
    <xf numFmtId="164" fontId="4" fillId="8" borderId="389" xfId="26" applyNumberFormat="1" applyFont="1" applyFill="1" applyBorder="1"/>
    <xf numFmtId="43" fontId="27" fillId="8" borderId="384" xfId="23" applyFont="1" applyFill="1" applyBorder="1" applyAlignment="1">
      <alignment horizontal="center" vertical="center"/>
    </xf>
    <xf numFmtId="164" fontId="27" fillId="8" borderId="384" xfId="23" applyNumberFormat="1" applyFont="1" applyFill="1" applyBorder="1" applyAlignment="1">
      <alignment vertical="center"/>
    </xf>
    <xf numFmtId="43" fontId="27" fillId="8" borderId="384" xfId="23" applyFont="1" applyFill="1" applyBorder="1" applyAlignment="1">
      <alignment vertical="center"/>
    </xf>
    <xf numFmtId="164" fontId="12" fillId="0" borderId="385" xfId="23" applyNumberFormat="1" applyFont="1" applyBorder="1" applyAlignment="1">
      <alignment horizontal="right" vertical="center"/>
    </xf>
    <xf numFmtId="173" fontId="12" fillId="0" borderId="385" xfId="23" applyNumberFormat="1" applyFont="1" applyFill="1" applyBorder="1" applyAlignment="1">
      <alignment horizontal="right" vertical="center"/>
    </xf>
    <xf numFmtId="43" fontId="12" fillId="0" borderId="385" xfId="23" applyFont="1" applyBorder="1" applyAlignment="1">
      <alignment horizontal="right" vertical="center"/>
    </xf>
    <xf numFmtId="173" fontId="28" fillId="4" borderId="388" xfId="23" applyNumberFormat="1" applyFont="1" applyFill="1" applyBorder="1" applyAlignment="1" applyProtection="1">
      <alignment horizontal="center"/>
      <protection locked="0"/>
    </xf>
    <xf numFmtId="164" fontId="12" fillId="0" borderId="385" xfId="1" applyNumberFormat="1" applyFont="1" applyFill="1" applyBorder="1" applyAlignment="1">
      <alignment horizontal="right" vertical="center"/>
    </xf>
    <xf numFmtId="164" fontId="12" fillId="0" borderId="385" xfId="23" applyNumberFormat="1" applyFont="1" applyFill="1" applyBorder="1" applyAlignment="1">
      <alignment vertical="center"/>
    </xf>
    <xf numFmtId="43" fontId="12" fillId="0" borderId="385" xfId="1" applyFont="1" applyFill="1" applyBorder="1" applyAlignment="1">
      <alignment horizontal="right" vertical="center"/>
    </xf>
    <xf numFmtId="173" fontId="26" fillId="0" borderId="385" xfId="23" applyNumberFormat="1" applyFont="1" applyFill="1" applyBorder="1" applyAlignment="1">
      <alignment horizontal="right" vertical="center"/>
    </xf>
    <xf numFmtId="0" fontId="4" fillId="71" borderId="385" xfId="30" applyFont="1" applyFill="1" applyBorder="1"/>
    <xf numFmtId="3" fontId="4" fillId="71" borderId="385" xfId="30" applyNumberFormat="1" applyFont="1" applyFill="1" applyBorder="1"/>
    <xf numFmtId="0" fontId="4" fillId="0" borderId="385" xfId="30" applyFont="1" applyBorder="1"/>
    <xf numFmtId="0" fontId="10" fillId="0" borderId="385" xfId="30" quotePrefix="1" applyFont="1" applyBorder="1"/>
    <xf numFmtId="9" fontId="4" fillId="0" borderId="385" xfId="17" applyFont="1" applyBorder="1"/>
    <xf numFmtId="10" fontId="4" fillId="0" borderId="385" xfId="17" applyNumberFormat="1" applyFont="1" applyBorder="1"/>
    <xf numFmtId="0" fontId="3" fillId="9" borderId="385" xfId="30" applyFont="1" applyFill="1" applyBorder="1" applyAlignment="1">
      <alignment vertical="center"/>
    </xf>
    <xf numFmtId="0" fontId="3" fillId="9" borderId="385" xfId="30" applyFont="1" applyFill="1" applyBorder="1" applyAlignment="1">
      <alignment horizontal="center" vertical="center"/>
    </xf>
    <xf numFmtId="9" fontId="3" fillId="9" borderId="385" xfId="17" applyFont="1" applyFill="1" applyBorder="1" applyAlignment="1">
      <alignment horizontal="center" vertical="center"/>
    </xf>
    <xf numFmtId="9" fontId="3" fillId="9" borderId="385" xfId="17" applyFont="1" applyFill="1" applyBorder="1" applyAlignment="1">
      <alignment vertical="center"/>
    </xf>
    <xf numFmtId="0" fontId="7" fillId="0" borderId="385" xfId="30" applyFont="1" applyBorder="1" applyAlignment="1">
      <alignment vertical="center"/>
    </xf>
    <xf numFmtId="164" fontId="7" fillId="0" borderId="385" xfId="31" applyNumberFormat="1" applyFont="1" applyBorder="1" applyAlignment="1">
      <alignment vertical="center"/>
    </xf>
    <xf numFmtId="3" fontId="7" fillId="0" borderId="385" xfId="30" quotePrefix="1" applyNumberFormat="1" applyFont="1" applyBorder="1" applyAlignment="1">
      <alignment vertical="center"/>
    </xf>
    <xf numFmtId="0" fontId="278" fillId="0" borderId="385" xfId="30" applyFont="1" applyBorder="1" applyAlignment="1">
      <alignment vertical="center" wrapText="1"/>
    </xf>
    <xf numFmtId="3" fontId="7" fillId="0" borderId="385" xfId="30" applyNumberFormat="1" applyFont="1" applyBorder="1" applyAlignment="1">
      <alignment vertical="center"/>
    </xf>
    <xf numFmtId="0" fontId="3" fillId="8" borderId="389" xfId="30" applyFont="1" applyFill="1" applyBorder="1"/>
    <xf numFmtId="0" fontId="3" fillId="8" borderId="389" xfId="30" applyFont="1" applyFill="1" applyBorder="1" applyAlignment="1">
      <alignment wrapText="1"/>
    </xf>
    <xf numFmtId="164" fontId="3" fillId="8" borderId="389" xfId="30" applyNumberFormat="1" applyFont="1" applyFill="1" applyBorder="1"/>
    <xf numFmtId="164" fontId="12" fillId="0" borderId="385" xfId="31" applyNumberFormat="1" applyFont="1" applyBorder="1"/>
    <xf numFmtId="164" fontId="12" fillId="0" borderId="385" xfId="22" applyNumberFormat="1" applyFont="1" applyBorder="1"/>
    <xf numFmtId="164" fontId="35" fillId="9" borderId="385" xfId="31" applyNumberFormat="1" applyFont="1" applyFill="1" applyBorder="1"/>
    <xf numFmtId="164" fontId="13" fillId="0" borderId="385" xfId="31" applyNumberFormat="1" applyFont="1" applyBorder="1"/>
    <xf numFmtId="164" fontId="35" fillId="9" borderId="389" xfId="31" applyNumberFormat="1" applyFont="1" applyFill="1" applyBorder="1"/>
    <xf numFmtId="3" fontId="35" fillId="9" borderId="392" xfId="22" applyNumberFormat="1" applyFont="1" applyFill="1" applyBorder="1" applyAlignment="1">
      <alignment horizontal="center"/>
    </xf>
    <xf numFmtId="3" fontId="35" fillId="9" borderId="385" xfId="22" applyNumberFormat="1" applyFont="1" applyFill="1" applyBorder="1"/>
    <xf numFmtId="164" fontId="35" fillId="9" borderId="385" xfId="1" applyNumberFormat="1" applyFont="1" applyFill="1" applyBorder="1"/>
    <xf numFmtId="3" fontId="13" fillId="0" borderId="392" xfId="22" applyNumberFormat="1" applyFont="1" applyBorder="1" applyAlignment="1">
      <alignment horizontal="center"/>
    </xf>
    <xf numFmtId="3" fontId="13" fillId="0" borderId="385" xfId="22" applyNumberFormat="1" applyFont="1" applyBorder="1"/>
    <xf numFmtId="164" fontId="13" fillId="0" borderId="385" xfId="1" applyNumberFormat="1" applyFont="1" applyBorder="1"/>
    <xf numFmtId="164" fontId="13" fillId="0" borderId="385" xfId="1" applyNumberFormat="1" applyFont="1" applyFill="1" applyBorder="1"/>
    <xf numFmtId="164" fontId="13" fillId="3" borderId="385" xfId="1" applyNumberFormat="1" applyFont="1" applyFill="1" applyBorder="1"/>
    <xf numFmtId="3" fontId="34" fillId="0" borderId="392" xfId="22" applyNumberFormat="1" applyFont="1" applyBorder="1" applyAlignment="1">
      <alignment horizontal="center"/>
    </xf>
    <xf numFmtId="3" fontId="34" fillId="0" borderId="385" xfId="22" applyNumberFormat="1" applyFont="1" applyBorder="1"/>
    <xf numFmtId="164" fontId="34" fillId="0" borderId="385" xfId="1" applyNumberFormat="1" applyFont="1" applyFill="1" applyBorder="1"/>
    <xf numFmtId="164" fontId="34" fillId="0" borderId="385" xfId="1" applyNumberFormat="1" applyFont="1" applyBorder="1" applyAlignment="1">
      <alignment horizontal="right"/>
    </xf>
    <xf numFmtId="3" fontId="17" fillId="9" borderId="392" xfId="22" applyNumberFormat="1" applyFont="1" applyFill="1" applyBorder="1"/>
    <xf numFmtId="3" fontId="17" fillId="9" borderId="385" xfId="22" applyNumberFormat="1" applyFont="1" applyFill="1" applyBorder="1"/>
    <xf numFmtId="164" fontId="17" fillId="9" borderId="385" xfId="1" applyNumberFormat="1" applyFont="1" applyFill="1" applyBorder="1" applyAlignment="1">
      <alignment horizontal="right"/>
    </xf>
    <xf numFmtId="164" fontId="17" fillId="9" borderId="385" xfId="1" applyNumberFormat="1" applyFont="1" applyFill="1" applyBorder="1"/>
    <xf numFmtId="3" fontId="17" fillId="9" borderId="393" xfId="22" applyNumberFormat="1" applyFont="1" applyFill="1" applyBorder="1"/>
    <xf numFmtId="3" fontId="17" fillId="9" borderId="394" xfId="22" applyNumberFormat="1" applyFont="1" applyFill="1" applyBorder="1"/>
    <xf numFmtId="164" fontId="17" fillId="9" borderId="394" xfId="1" applyNumberFormat="1" applyFont="1" applyFill="1" applyBorder="1" applyAlignment="1">
      <alignment horizontal="right"/>
    </xf>
    <xf numFmtId="3" fontId="35" fillId="9" borderId="385" xfId="22" applyNumberFormat="1" applyFont="1" applyFill="1" applyBorder="1" applyAlignment="1">
      <alignment horizontal="center"/>
    </xf>
    <xf numFmtId="3" fontId="13" fillId="0" borderId="385" xfId="22" applyNumberFormat="1" applyFont="1" applyBorder="1" applyAlignment="1">
      <alignment horizontal="center"/>
    </xf>
    <xf numFmtId="3" fontId="13" fillId="0" borderId="385" xfId="22" applyNumberFormat="1" applyFont="1" applyBorder="1" applyAlignment="1">
      <alignment wrapText="1"/>
    </xf>
    <xf numFmtId="3" fontId="34" fillId="0" borderId="385" xfId="22" applyNumberFormat="1" applyFont="1" applyBorder="1" applyAlignment="1">
      <alignment horizontal="center"/>
    </xf>
    <xf numFmtId="0" fontId="282" fillId="0" borderId="395" xfId="0" applyFont="1" applyBorder="1" applyAlignment="1">
      <alignment horizontal="center" vertical="center"/>
    </xf>
    <xf numFmtId="0" fontId="282" fillId="0" borderId="396" xfId="0" applyFont="1" applyBorder="1" applyAlignment="1">
      <alignment horizontal="center" vertical="center"/>
    </xf>
    <xf numFmtId="0" fontId="276" fillId="0" borderId="397" xfId="0" applyFont="1" applyBorder="1" applyAlignment="1">
      <alignment horizontal="center" vertical="center"/>
    </xf>
    <xf numFmtId="0" fontId="276" fillId="0" borderId="398" xfId="0" applyFont="1" applyBorder="1" applyAlignment="1">
      <alignment horizontal="center" vertical="center"/>
    </xf>
    <xf numFmtId="164" fontId="276" fillId="0" borderId="398" xfId="1" applyNumberFormat="1" applyFont="1" applyBorder="1" applyAlignment="1">
      <alignment horizontal="center" vertical="center"/>
    </xf>
    <xf numFmtId="164" fontId="276" fillId="0" borderId="399" xfId="1" applyNumberFormat="1" applyFont="1" applyBorder="1" applyAlignment="1">
      <alignment horizontal="center" vertical="center"/>
    </xf>
    <xf numFmtId="0" fontId="0" fillId="0" borderId="398" xfId="0" applyBorder="1" applyAlignment="1">
      <alignment horizontal="center" vertical="center"/>
    </xf>
    <xf numFmtId="164" fontId="0" fillId="0" borderId="398" xfId="0" applyNumberFormat="1" applyBorder="1" applyAlignment="1">
      <alignment horizontal="center" vertical="center"/>
    </xf>
    <xf numFmtId="164" fontId="0" fillId="0" borderId="399" xfId="1" applyNumberFormat="1" applyFont="1" applyBorder="1" applyAlignment="1">
      <alignment horizontal="center" vertical="center"/>
    </xf>
    <xf numFmtId="43" fontId="27" fillId="8" borderId="33" xfId="23" applyFont="1" applyFill="1" applyBorder="1" applyAlignment="1">
      <alignment horizontal="center" vertical="center" wrapText="1"/>
    </xf>
    <xf numFmtId="43" fontId="27" fillId="0" borderId="33" xfId="1" applyFont="1" applyFill="1" applyBorder="1" applyAlignment="1">
      <alignment horizontal="center" vertical="center" wrapText="1"/>
    </xf>
    <xf numFmtId="172" fontId="27" fillId="0" borderId="33" xfId="23" applyNumberFormat="1" applyFont="1" applyFill="1" applyBorder="1" applyAlignment="1">
      <alignment horizontal="center" vertical="center" wrapText="1"/>
    </xf>
    <xf numFmtId="173" fontId="27" fillId="0" borderId="33" xfId="23" applyNumberFormat="1" applyFont="1" applyFill="1" applyBorder="1" applyAlignment="1">
      <alignment horizontal="center" vertical="center" wrapText="1"/>
    </xf>
    <xf numFmtId="3" fontId="3" fillId="8" borderId="33" xfId="22" applyNumberFormat="1" applyFont="1" applyFill="1" applyBorder="1" applyAlignment="1">
      <alignment horizontal="center" vertical="center"/>
    </xf>
    <xf numFmtId="164" fontId="13" fillId="0" borderId="0" xfId="22" applyNumberFormat="1" applyFont="1"/>
    <xf numFmtId="178" fontId="11" fillId="0" borderId="0" xfId="3" applyNumberFormat="1" applyFont="1"/>
    <xf numFmtId="164" fontId="35" fillId="0" borderId="0" xfId="3" applyNumberFormat="1" applyFont="1" applyAlignment="1">
      <alignment vertical="center" wrapText="1"/>
    </xf>
    <xf numFmtId="164" fontId="26" fillId="0" borderId="0" xfId="1" applyNumberFormat="1" applyFont="1" applyFill="1" applyAlignment="1">
      <alignment horizontal="center" vertical="center"/>
    </xf>
    <xf numFmtId="164" fontId="26" fillId="0" borderId="0" xfId="1" applyNumberFormat="1" applyFont="1" applyAlignment="1">
      <alignment vertical="center"/>
    </xf>
    <xf numFmtId="164" fontId="12" fillId="5" borderId="0" xfId="1" applyNumberFormat="1" applyFont="1" applyFill="1"/>
    <xf numFmtId="43" fontId="27" fillId="5" borderId="33" xfId="23" applyFont="1" applyFill="1" applyBorder="1" applyAlignment="1">
      <alignment horizontal="center" vertical="center" wrapText="1"/>
    </xf>
    <xf numFmtId="0" fontId="17" fillId="5" borderId="63" xfId="59" applyFont="1" applyFill="1" applyBorder="1" applyAlignment="1">
      <alignment horizontal="center" vertical="center" wrapText="1"/>
    </xf>
    <xf numFmtId="164" fontId="27" fillId="0" borderId="33" xfId="23" applyNumberFormat="1" applyFont="1" applyFill="1" applyBorder="1" applyAlignment="1">
      <alignment horizontal="center" vertical="center" wrapText="1"/>
    </xf>
    <xf numFmtId="43" fontId="14" fillId="9" borderId="387" xfId="15" applyNumberFormat="1" applyFont="1" applyFill="1" applyBorder="1" applyAlignment="1">
      <alignment horizontal="left" vertical="center" wrapText="1"/>
    </xf>
    <xf numFmtId="43" fontId="17" fillId="9" borderId="387" xfId="15" applyNumberFormat="1" applyFont="1" applyFill="1" applyBorder="1" applyAlignment="1">
      <alignment horizontal="left" vertical="center" wrapText="1"/>
    </xf>
    <xf numFmtId="43" fontId="270" fillId="8" borderId="401" xfId="15" applyNumberFormat="1" applyFont="1" applyFill="1" applyBorder="1" applyAlignment="1">
      <alignment horizontal="left" vertical="center" wrapText="1"/>
    </xf>
    <xf numFmtId="0" fontId="3" fillId="8" borderId="401" xfId="15" applyFont="1" applyFill="1" applyBorder="1" applyAlignment="1">
      <alignment horizontal="center" vertical="center" wrapText="1"/>
    </xf>
    <xf numFmtId="43" fontId="27" fillId="8" borderId="401" xfId="23" applyFont="1" applyFill="1" applyBorder="1" applyAlignment="1">
      <alignment vertical="center"/>
    </xf>
    <xf numFmtId="0" fontId="35" fillId="0" borderId="0" xfId="22" applyFont="1" applyAlignment="1">
      <alignment wrapText="1"/>
    </xf>
    <xf numFmtId="164" fontId="12" fillId="0" borderId="0" xfId="22" applyNumberFormat="1" applyFont="1"/>
    <xf numFmtId="339" fontId="28" fillId="0" borderId="0" xfId="30" applyNumberFormat="1" applyFont="1"/>
    <xf numFmtId="340" fontId="28" fillId="0" borderId="0" xfId="30" applyNumberFormat="1" applyFont="1"/>
    <xf numFmtId="340" fontId="17" fillId="70" borderId="402" xfId="31" applyNumberFormat="1" applyFont="1" applyFill="1" applyBorder="1" applyAlignment="1">
      <alignment horizontal="right"/>
    </xf>
    <xf numFmtId="0" fontId="3" fillId="0" borderId="385" xfId="30" applyFont="1" applyBorder="1" applyAlignment="1">
      <alignment vertical="center"/>
    </xf>
    <xf numFmtId="3" fontId="3" fillId="0" borderId="385" xfId="30" quotePrefix="1" applyNumberFormat="1" applyFont="1" applyBorder="1" applyAlignment="1">
      <alignment vertical="center"/>
    </xf>
    <xf numFmtId="164" fontId="3" fillId="0" borderId="385" xfId="31" applyNumberFormat="1" applyFont="1" applyBorder="1" applyAlignment="1">
      <alignment vertical="center"/>
    </xf>
    <xf numFmtId="3" fontId="35" fillId="8" borderId="403" xfId="31" applyNumberFormat="1" applyFont="1" applyFill="1" applyBorder="1" applyAlignment="1">
      <alignment horizontal="right"/>
    </xf>
    <xf numFmtId="14" fontId="35" fillId="8" borderId="403" xfId="31" applyNumberFormat="1" applyFont="1" applyFill="1" applyBorder="1" applyAlignment="1">
      <alignment horizontal="center" wrapText="1"/>
    </xf>
    <xf numFmtId="3" fontId="3" fillId="8" borderId="404" xfId="22" applyNumberFormat="1" applyFont="1" applyFill="1" applyBorder="1" applyAlignment="1">
      <alignment horizontal="center" vertical="center"/>
    </xf>
    <xf numFmtId="3" fontId="3" fillId="8" borderId="405" xfId="22" applyNumberFormat="1" applyFont="1" applyFill="1" applyBorder="1" applyAlignment="1">
      <alignment horizontal="center" vertical="center"/>
    </xf>
    <xf numFmtId="10" fontId="12" fillId="0" borderId="0" xfId="2" applyNumberFormat="1" applyFont="1"/>
    <xf numFmtId="187" fontId="4" fillId="2" borderId="0" xfId="1" applyNumberFormat="1" applyFont="1" applyFill="1" applyAlignment="1">
      <alignment vertical="center"/>
    </xf>
    <xf numFmtId="0" fontId="11" fillId="0" borderId="0" xfId="3" applyFont="1" applyAlignment="1">
      <alignment vertical="center"/>
    </xf>
    <xf numFmtId="41" fontId="11" fillId="0" borderId="0" xfId="3" applyNumberFormat="1" applyFont="1" applyAlignment="1">
      <alignment vertical="center"/>
    </xf>
    <xf numFmtId="3" fontId="28" fillId="0" borderId="0" xfId="30" applyNumberFormat="1" applyFont="1" applyAlignment="1">
      <alignment vertical="center"/>
    </xf>
    <xf numFmtId="3" fontId="35" fillId="9" borderId="2" xfId="22" applyNumberFormat="1" applyFont="1" applyFill="1" applyBorder="1" applyAlignment="1">
      <alignment horizontal="center" vertical="center"/>
    </xf>
    <xf numFmtId="3" fontId="35" fillId="9" borderId="2" xfId="22" applyNumberFormat="1" applyFont="1" applyFill="1" applyBorder="1" applyAlignment="1">
      <alignment vertical="center"/>
    </xf>
    <xf numFmtId="164" fontId="35" fillId="9" borderId="2" xfId="32" applyNumberFormat="1" applyFont="1" applyFill="1" applyBorder="1" applyAlignment="1">
      <alignment horizontal="right" vertical="center"/>
    </xf>
    <xf numFmtId="3" fontId="12" fillId="0" borderId="0" xfId="30" applyNumberFormat="1" applyFont="1" applyAlignment="1">
      <alignment vertical="center"/>
    </xf>
    <xf numFmtId="3" fontId="12" fillId="0" borderId="2" xfId="22" applyNumberFormat="1" applyFont="1" applyBorder="1" applyAlignment="1">
      <alignment horizontal="center" vertical="center"/>
    </xf>
    <xf numFmtId="3" fontId="12" fillId="0" borderId="2" xfId="22" applyNumberFormat="1" applyFont="1" applyBorder="1" applyAlignment="1">
      <alignment vertical="center"/>
    </xf>
    <xf numFmtId="164" fontId="12" fillId="0" borderId="2" xfId="32" applyNumberFormat="1" applyFont="1" applyFill="1" applyBorder="1" applyAlignment="1">
      <alignment horizontal="right" vertical="center"/>
    </xf>
    <xf numFmtId="164" fontId="12" fillId="0" borderId="2" xfId="32" applyNumberFormat="1" applyFont="1" applyFill="1" applyBorder="1" applyAlignment="1">
      <alignment vertical="center"/>
    </xf>
    <xf numFmtId="3" fontId="12" fillId="0" borderId="5" xfId="22" applyNumberFormat="1" applyFont="1" applyBorder="1" applyAlignment="1">
      <alignment horizontal="center" vertical="center"/>
    </xf>
    <xf numFmtId="3" fontId="12" fillId="0" borderId="5" xfId="22" applyNumberFormat="1" applyFont="1" applyBorder="1" applyAlignment="1">
      <alignment vertical="center"/>
    </xf>
    <xf numFmtId="164" fontId="12" fillId="0" borderId="5" xfId="32" applyNumberFormat="1" applyFont="1" applyFill="1" applyBorder="1" applyAlignment="1">
      <alignment vertical="center"/>
    </xf>
    <xf numFmtId="3" fontId="35" fillId="9" borderId="385" xfId="22" applyNumberFormat="1" applyFont="1" applyFill="1" applyBorder="1" applyAlignment="1">
      <alignment horizontal="center" vertical="center"/>
    </xf>
    <xf numFmtId="3" fontId="35" fillId="9" borderId="385" xfId="22" applyNumberFormat="1" applyFont="1" applyFill="1" applyBorder="1" applyAlignment="1">
      <alignment vertical="center"/>
    </xf>
    <xf numFmtId="164" fontId="35" fillId="9" borderId="2" xfId="1" applyNumberFormat="1" applyFont="1" applyFill="1" applyBorder="1" applyAlignment="1">
      <alignment horizontal="right" vertical="center"/>
    </xf>
    <xf numFmtId="164" fontId="35" fillId="9" borderId="385" xfId="1" applyNumberFormat="1" applyFont="1" applyFill="1" applyBorder="1" applyAlignment="1">
      <alignment vertical="center"/>
    </xf>
    <xf numFmtId="3" fontId="13" fillId="0" borderId="385" xfId="22" applyNumberFormat="1" applyFont="1" applyBorder="1" applyAlignment="1">
      <alignment horizontal="center" vertical="center"/>
    </xf>
    <xf numFmtId="3" fontId="13" fillId="0" borderId="385" xfId="22" applyNumberFormat="1" applyFont="1" applyBorder="1" applyAlignment="1">
      <alignment vertical="center" wrapText="1"/>
    </xf>
    <xf numFmtId="164" fontId="13" fillId="0" borderId="385" xfId="1" applyNumberFormat="1" applyFont="1" applyBorder="1" applyAlignment="1">
      <alignment vertical="center"/>
    </xf>
    <xf numFmtId="3" fontId="13" fillId="0" borderId="0" xfId="30" applyNumberFormat="1" applyFont="1" applyAlignment="1">
      <alignment vertical="center"/>
    </xf>
    <xf numFmtId="3" fontId="13" fillId="0" borderId="385" xfId="22" applyNumberFormat="1" applyFont="1" applyBorder="1" applyAlignment="1">
      <alignment vertical="center"/>
    </xf>
    <xf numFmtId="164" fontId="13" fillId="0" borderId="385" xfId="1" applyNumberFormat="1" applyFont="1" applyFill="1" applyBorder="1" applyAlignment="1">
      <alignment vertical="center"/>
    </xf>
    <xf numFmtId="164" fontId="13" fillId="3" borderId="385" xfId="1" applyNumberFormat="1" applyFont="1" applyFill="1" applyBorder="1" applyAlignment="1">
      <alignment vertical="center"/>
    </xf>
    <xf numFmtId="3" fontId="34" fillId="0" borderId="385" xfId="22" applyNumberFormat="1" applyFont="1" applyBorder="1" applyAlignment="1">
      <alignment horizontal="center" vertical="center"/>
    </xf>
    <xf numFmtId="3" fontId="34" fillId="0" borderId="385" xfId="22" applyNumberFormat="1" applyFont="1" applyBorder="1" applyAlignment="1">
      <alignment vertical="center"/>
    </xf>
    <xf numFmtId="164" fontId="34" fillId="0" borderId="385" xfId="1" applyNumberFormat="1" applyFont="1" applyFill="1" applyBorder="1" applyAlignment="1">
      <alignment vertical="center"/>
    </xf>
    <xf numFmtId="3" fontId="34" fillId="0" borderId="0" xfId="30" applyNumberFormat="1" applyFont="1" applyAlignment="1">
      <alignment vertical="center"/>
    </xf>
    <xf numFmtId="164" fontId="34" fillId="0" borderId="385" xfId="1" applyNumberFormat="1" applyFont="1" applyBorder="1" applyAlignment="1">
      <alignment horizontal="right" vertical="center"/>
    </xf>
    <xf numFmtId="3" fontId="17" fillId="9" borderId="385" xfId="22" applyNumberFormat="1" applyFont="1" applyFill="1" applyBorder="1" applyAlignment="1">
      <alignment vertical="center"/>
    </xf>
    <xf numFmtId="164" fontId="17" fillId="9" borderId="385" xfId="1" applyNumberFormat="1" applyFont="1" applyFill="1" applyBorder="1" applyAlignment="1">
      <alignment horizontal="right" vertical="center"/>
    </xf>
    <xf numFmtId="164" fontId="17" fillId="9" borderId="385" xfId="1" applyNumberFormat="1" applyFont="1" applyFill="1" applyBorder="1" applyAlignment="1">
      <alignment vertical="center"/>
    </xf>
    <xf numFmtId="3" fontId="28" fillId="0" borderId="0" xfId="30" applyNumberFormat="1" applyFont="1" applyAlignment="1">
      <alignment horizontal="right" vertical="center"/>
    </xf>
    <xf numFmtId="0" fontId="28" fillId="0" borderId="0" xfId="30" applyFont="1" applyAlignment="1">
      <alignment vertical="center"/>
    </xf>
    <xf numFmtId="43" fontId="14" fillId="0" borderId="385" xfId="15" applyNumberFormat="1" applyFont="1" applyBorder="1" applyAlignment="1">
      <alignment horizontal="justify" vertical="center"/>
    </xf>
    <xf numFmtId="43" fontId="14" fillId="0" borderId="385" xfId="15" applyNumberFormat="1" applyFont="1" applyBorder="1" applyAlignment="1">
      <alignment vertical="center"/>
    </xf>
    <xf numFmtId="0" fontId="7" fillId="0" borderId="385" xfId="30" applyFont="1" applyBorder="1" applyAlignment="1">
      <alignment vertical="center" wrapText="1"/>
    </xf>
    <xf numFmtId="0" fontId="3" fillId="0" borderId="385" xfId="30" applyFont="1" applyBorder="1" applyAlignment="1">
      <alignment vertical="center" wrapText="1"/>
    </xf>
    <xf numFmtId="9" fontId="28" fillId="0" borderId="0" xfId="2" applyFont="1" applyAlignment="1">
      <alignment horizontal="right"/>
    </xf>
    <xf numFmtId="0" fontId="11" fillId="0" borderId="294" xfId="0" applyFont="1" applyBorder="1" applyAlignment="1">
      <alignment horizontal="center" vertical="center"/>
    </xf>
    <xf numFmtId="3" fontId="11" fillId="0" borderId="294" xfId="0" applyNumberFormat="1" applyFont="1" applyBorder="1" applyAlignment="1">
      <alignment horizontal="center" vertical="center"/>
    </xf>
    <xf numFmtId="10" fontId="11" fillId="0" borderId="294" xfId="2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3" fillId="0" borderId="0" xfId="1" applyNumberFormat="1" applyFont="1" applyFill="1" applyBorder="1" applyAlignment="1">
      <alignment horizontal="center" vertical="center"/>
    </xf>
    <xf numFmtId="10" fontId="3" fillId="0" borderId="0" xfId="0" applyNumberFormat="1" applyFont="1" applyAlignment="1">
      <alignment horizontal="center" vertical="center"/>
    </xf>
    <xf numFmtId="10" fontId="11" fillId="0" borderId="0" xfId="2" applyNumberFormat="1" applyFont="1" applyBorder="1" applyAlignment="1">
      <alignment horizontal="center" vertical="center"/>
    </xf>
    <xf numFmtId="10" fontId="11" fillId="0" borderId="292" xfId="2" applyNumberFormat="1" applyFont="1" applyBorder="1" applyAlignment="1">
      <alignment horizontal="center" vertical="center"/>
    </xf>
    <xf numFmtId="10" fontId="11" fillId="0" borderId="406" xfId="2" applyNumberFormat="1" applyFont="1" applyBorder="1" applyAlignment="1">
      <alignment horizontal="center" vertical="center"/>
    </xf>
    <xf numFmtId="10" fontId="11" fillId="0" borderId="407" xfId="2" applyNumberFormat="1" applyFont="1" applyBorder="1" applyAlignment="1">
      <alignment horizontal="center" vertical="center"/>
    </xf>
    <xf numFmtId="0" fontId="11" fillId="0" borderId="384" xfId="0" applyFont="1" applyBorder="1" applyAlignment="1">
      <alignment horizontal="center" vertical="center"/>
    </xf>
    <xf numFmtId="9" fontId="11" fillId="0" borderId="384" xfId="2" applyFont="1" applyBorder="1" applyAlignment="1">
      <alignment horizontal="center" vertical="center"/>
    </xf>
    <xf numFmtId="9" fontId="11" fillId="0" borderId="402" xfId="2" applyFont="1" applyBorder="1" applyAlignment="1">
      <alignment horizontal="center" vertical="center"/>
    </xf>
    <xf numFmtId="9" fontId="11" fillId="0" borderId="63" xfId="2" applyFont="1" applyBorder="1" applyAlignment="1">
      <alignment horizontal="center" vertical="center"/>
    </xf>
    <xf numFmtId="9" fontId="11" fillId="0" borderId="408" xfId="2" applyFont="1" applyBorder="1" applyAlignment="1">
      <alignment horizontal="center" vertical="center"/>
    </xf>
    <xf numFmtId="10" fontId="3" fillId="78" borderId="294" xfId="0" applyNumberFormat="1" applyFont="1" applyFill="1" applyBorder="1" applyAlignment="1">
      <alignment horizontal="center" vertical="center"/>
    </xf>
    <xf numFmtId="10" fontId="3" fillId="5" borderId="0" xfId="0" applyNumberFormat="1" applyFont="1" applyFill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9" fontId="11" fillId="0" borderId="409" xfId="2" applyFont="1" applyBorder="1" applyAlignment="1">
      <alignment horizontal="center" vertical="center"/>
    </xf>
    <xf numFmtId="9" fontId="11" fillId="0" borderId="407" xfId="2" applyFont="1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11" fillId="0" borderId="408" xfId="0" applyFont="1" applyBorder="1" applyAlignment="1">
      <alignment horizontal="center" vertical="center"/>
    </xf>
    <xf numFmtId="43" fontId="14" fillId="0" borderId="385" xfId="19" quotePrefix="1" applyNumberFormat="1" applyFont="1" applyBorder="1" applyAlignment="1">
      <alignment horizontal="left" vertical="center" wrapText="1"/>
    </xf>
    <xf numFmtId="164" fontId="286" fillId="0" borderId="0" xfId="11" applyNumberFormat="1" applyFont="1" applyAlignment="1">
      <alignment horizontal="left" vertical="center" wrapText="1"/>
    </xf>
    <xf numFmtId="0" fontId="22" fillId="0" borderId="0" xfId="11" applyFont="1" applyAlignment="1">
      <alignment horizontal="left" vertical="center" wrapText="1"/>
    </xf>
    <xf numFmtId="14" fontId="2" fillId="0" borderId="0" xfId="8" applyNumberFormat="1"/>
    <xf numFmtId="0" fontId="287" fillId="0" borderId="0" xfId="3" applyFont="1" applyAlignment="1">
      <alignment horizontal="center" vertical="center" wrapText="1"/>
    </xf>
    <xf numFmtId="165" fontId="28" fillId="0" borderId="0" xfId="2" applyNumberFormat="1" applyFont="1" applyFill="1" applyBorder="1" applyAlignment="1">
      <alignment horizontal="right"/>
    </xf>
    <xf numFmtId="43" fontId="17" fillId="0" borderId="0" xfId="1" applyFont="1" applyAlignment="1">
      <alignment horizontal="right"/>
    </xf>
    <xf numFmtId="43" fontId="27" fillId="8" borderId="408" xfId="23" applyFont="1" applyFill="1" applyBorder="1" applyAlignment="1">
      <alignment horizontal="right" vertical="center" wrapText="1"/>
    </xf>
    <xf numFmtId="43" fontId="27" fillId="0" borderId="294" xfId="23" applyFont="1" applyFill="1" applyBorder="1" applyAlignment="1">
      <alignment horizontal="right" vertical="center" wrapText="1"/>
    </xf>
    <xf numFmtId="43" fontId="12" fillId="0" borderId="0" xfId="1" applyFont="1"/>
    <xf numFmtId="43" fontId="26" fillId="0" borderId="63" xfId="23" applyFont="1" applyFill="1" applyBorder="1" applyAlignment="1">
      <alignment horizontal="center" vertical="center" wrapText="1"/>
    </xf>
    <xf numFmtId="43" fontId="27" fillId="0" borderId="63" xfId="23" applyFont="1" applyFill="1" applyBorder="1" applyAlignment="1">
      <alignment horizontal="right" vertical="center" wrapText="1"/>
    </xf>
    <xf numFmtId="164" fontId="27" fillId="0" borderId="63" xfId="23" applyNumberFormat="1" applyFont="1" applyFill="1" applyBorder="1" applyAlignment="1">
      <alignment horizontal="center" vertical="center" wrapText="1"/>
    </xf>
    <xf numFmtId="9" fontId="26" fillId="0" borderId="63" xfId="2" applyFont="1" applyFill="1" applyBorder="1" applyAlignment="1">
      <alignment horizontal="center" vertical="center" wrapText="1"/>
    </xf>
    <xf numFmtId="3" fontId="288" fillId="0" borderId="385" xfId="30" quotePrefix="1" applyNumberFormat="1" applyFont="1" applyBorder="1" applyAlignment="1">
      <alignment vertical="center"/>
    </xf>
    <xf numFmtId="0" fontId="288" fillId="0" borderId="385" xfId="30" applyFont="1" applyBorder="1" applyAlignment="1">
      <alignment vertical="center"/>
    </xf>
    <xf numFmtId="164" fontId="288" fillId="0" borderId="385" xfId="31" applyNumberFormat="1" applyFont="1" applyBorder="1" applyAlignment="1">
      <alignment vertical="center"/>
    </xf>
    <xf numFmtId="164" fontId="12" fillId="0" borderId="0" xfId="1" applyNumberFormat="1" applyFont="1"/>
    <xf numFmtId="0" fontId="35" fillId="0" borderId="0" xfId="30" applyFont="1"/>
    <xf numFmtId="164" fontId="35" fillId="0" borderId="0" xfId="1" applyNumberFormat="1" applyFont="1"/>
    <xf numFmtId="164" fontId="35" fillId="0" borderId="0" xfId="30" applyNumberFormat="1" applyFont="1"/>
    <xf numFmtId="43" fontId="12" fillId="0" borderId="0" xfId="30" applyNumberFormat="1" applyFont="1"/>
    <xf numFmtId="0" fontId="35" fillId="5" borderId="0" xfId="30" applyFont="1" applyFill="1"/>
    <xf numFmtId="43" fontId="35" fillId="5" borderId="0" xfId="30" applyNumberFormat="1" applyFont="1" applyFill="1"/>
    <xf numFmtId="0" fontId="269" fillId="8" borderId="294" xfId="0" applyFont="1" applyFill="1" applyBorder="1" applyAlignment="1">
      <alignment horizontal="center" vertical="center"/>
    </xf>
    <xf numFmtId="0" fontId="3" fillId="9" borderId="294" xfId="0" applyFont="1" applyFill="1" applyBorder="1" applyAlignment="1">
      <alignment horizontal="center" vertical="center"/>
    </xf>
    <xf numFmtId="10" fontId="11" fillId="0" borderId="294" xfId="0" applyNumberFormat="1" applyFont="1" applyBorder="1" applyAlignment="1">
      <alignment horizontal="center" vertical="center"/>
    </xf>
    <xf numFmtId="164" fontId="3" fillId="9" borderId="294" xfId="1" applyNumberFormat="1" applyFont="1" applyFill="1" applyBorder="1" applyAlignment="1">
      <alignment horizontal="center" vertical="center"/>
    </xf>
    <xf numFmtId="164" fontId="11" fillId="0" borderId="294" xfId="1" applyNumberFormat="1" applyFont="1" applyBorder="1" applyAlignment="1">
      <alignment horizontal="center" vertical="center"/>
    </xf>
    <xf numFmtId="0" fontId="269" fillId="0" borderId="294" xfId="0" applyFont="1" applyBorder="1" applyAlignment="1">
      <alignment horizontal="center" vertical="center"/>
    </xf>
    <xf numFmtId="166" fontId="11" fillId="0" borderId="294" xfId="2" applyNumberFormat="1" applyFont="1" applyBorder="1" applyAlignment="1">
      <alignment horizontal="center" vertical="center"/>
    </xf>
    <xf numFmtId="10" fontId="3" fillId="9" borderId="294" xfId="0" applyNumberFormat="1" applyFont="1" applyFill="1" applyBorder="1" applyAlignment="1">
      <alignment horizontal="center" vertical="center"/>
    </xf>
    <xf numFmtId="0" fontId="268" fillId="0" borderId="294" xfId="0" applyFont="1" applyBorder="1" applyAlignment="1">
      <alignment horizontal="center" vertical="center"/>
    </xf>
    <xf numFmtId="10" fontId="268" fillId="0" borderId="294" xfId="0" applyNumberFormat="1" applyFont="1" applyBorder="1" applyAlignment="1">
      <alignment horizontal="center" vertical="center"/>
    </xf>
    <xf numFmtId="164" fontId="11" fillId="0" borderId="294" xfId="1" applyNumberFormat="1" applyFont="1" applyFill="1" applyBorder="1" applyAlignment="1">
      <alignment horizontal="center" vertical="center"/>
    </xf>
    <xf numFmtId="0" fontId="3" fillId="0" borderId="294" xfId="0" applyFont="1" applyBorder="1" applyAlignment="1">
      <alignment horizontal="center" vertical="center"/>
    </xf>
    <xf numFmtId="164" fontId="3" fillId="0" borderId="294" xfId="1" applyNumberFormat="1" applyFont="1" applyFill="1" applyBorder="1" applyAlignment="1">
      <alignment horizontal="center" vertical="center"/>
    </xf>
    <xf numFmtId="10" fontId="3" fillId="0" borderId="294" xfId="0" applyNumberFormat="1" applyFont="1" applyBorder="1" applyAlignment="1">
      <alignment horizontal="center" vertical="center"/>
    </xf>
    <xf numFmtId="43" fontId="270" fillId="8" borderId="294" xfId="15" applyNumberFormat="1" applyFont="1" applyFill="1" applyBorder="1" applyAlignment="1">
      <alignment horizontal="left" vertical="center" wrapText="1"/>
    </xf>
    <xf numFmtId="43" fontId="270" fillId="8" borderId="294" xfId="1" applyFont="1" applyFill="1" applyBorder="1" applyAlignment="1">
      <alignment horizontal="left" vertical="center" wrapText="1"/>
    </xf>
    <xf numFmtId="14" fontId="270" fillId="8" borderId="294" xfId="15" applyNumberFormat="1" applyFont="1" applyFill="1" applyBorder="1" applyAlignment="1">
      <alignment horizontal="center" vertical="center" wrapText="1"/>
    </xf>
    <xf numFmtId="0" fontId="3" fillId="8" borderId="294" xfId="15" applyFont="1" applyFill="1" applyBorder="1" applyAlignment="1">
      <alignment horizontal="center" vertical="center" wrapText="1"/>
    </xf>
    <xf numFmtId="164" fontId="3" fillId="8" borderId="294" xfId="1" applyNumberFormat="1" applyFont="1" applyFill="1" applyBorder="1" applyAlignment="1">
      <alignment horizontal="center" vertical="center" wrapText="1"/>
    </xf>
    <xf numFmtId="14" fontId="3" fillId="8" borderId="294" xfId="15" applyNumberFormat="1" applyFont="1" applyFill="1" applyBorder="1" applyAlignment="1">
      <alignment horizontal="center" vertical="center" wrapText="1"/>
    </xf>
    <xf numFmtId="14" fontId="3" fillId="8" borderId="294" xfId="28" applyNumberFormat="1" applyFont="1" applyFill="1" applyBorder="1" applyAlignment="1">
      <alignment horizontal="center" vertical="center" wrapText="1"/>
    </xf>
    <xf numFmtId="0" fontId="7" fillId="8" borderId="294" xfId="27" applyFont="1" applyFill="1" applyBorder="1" applyAlignment="1">
      <alignment horizontal="center"/>
    </xf>
    <xf numFmtId="164" fontId="7" fillId="8" borderId="294" xfId="27" applyNumberFormat="1" applyFont="1" applyFill="1" applyBorder="1" applyAlignment="1">
      <alignment horizontal="center"/>
    </xf>
    <xf numFmtId="164" fontId="4" fillId="8" borderId="294" xfId="26" applyNumberFormat="1" applyFont="1" applyFill="1" applyBorder="1"/>
    <xf numFmtId="0" fontId="4" fillId="0" borderId="294" xfId="27" applyFont="1" applyBorder="1" applyAlignment="1">
      <alignment horizontal="left"/>
    </xf>
    <xf numFmtId="164" fontId="7" fillId="0" borderId="294" xfId="27" applyNumberFormat="1" applyFont="1" applyBorder="1" applyAlignment="1">
      <alignment horizontal="center"/>
    </xf>
    <xf numFmtId="164" fontId="4" fillId="0" borderId="294" xfId="26" applyNumberFormat="1" applyFont="1" applyFill="1" applyBorder="1"/>
    <xf numFmtId="0" fontId="4" fillId="0" borderId="294" xfId="27" applyFont="1" applyBorder="1"/>
    <xf numFmtId="14" fontId="7" fillId="5" borderId="294" xfId="27" applyNumberFormat="1" applyFont="1" applyFill="1" applyBorder="1" applyAlignment="1">
      <alignment horizontal="center"/>
    </xf>
    <xf numFmtId="164" fontId="4" fillId="0" borderId="294" xfId="27" applyNumberFormat="1" applyFont="1" applyBorder="1"/>
    <xf numFmtId="164" fontId="4" fillId="0" borderId="294" xfId="26" applyNumberFormat="1" applyFont="1" applyBorder="1"/>
    <xf numFmtId="164" fontId="7" fillId="0" borderId="294" xfId="27" applyNumberFormat="1" applyFont="1" applyBorder="1"/>
    <xf numFmtId="164" fontId="4" fillId="0" borderId="294" xfId="9" applyNumberFormat="1" applyFont="1" applyBorder="1"/>
    <xf numFmtId="43" fontId="27" fillId="8" borderId="408" xfId="23" applyFont="1" applyFill="1" applyBorder="1" applyAlignment="1">
      <alignment horizontal="center" vertical="center" wrapText="1"/>
    </xf>
    <xf numFmtId="43" fontId="27" fillId="5" borderId="408" xfId="23" applyFont="1" applyFill="1" applyBorder="1" applyAlignment="1">
      <alignment horizontal="center" vertical="center" wrapText="1"/>
    </xf>
    <xf numFmtId="43" fontId="27" fillId="76" borderId="408" xfId="23" applyFont="1" applyFill="1" applyBorder="1" applyAlignment="1">
      <alignment horizontal="center" vertical="center" wrapText="1"/>
    </xf>
    <xf numFmtId="164" fontId="27" fillId="8" borderId="408" xfId="23" applyNumberFormat="1" applyFont="1" applyFill="1" applyBorder="1" applyAlignment="1">
      <alignment horizontal="center" vertical="center" wrapText="1"/>
    </xf>
    <xf numFmtId="172" fontId="27" fillId="8" borderId="294" xfId="23" applyNumberFormat="1" applyFont="1" applyFill="1" applyBorder="1" applyAlignment="1">
      <alignment horizontal="center" vertical="center" wrapText="1"/>
    </xf>
    <xf numFmtId="164" fontId="27" fillId="8" borderId="294" xfId="1" applyNumberFormat="1" applyFont="1" applyFill="1" applyBorder="1" applyAlignment="1">
      <alignment horizontal="center" vertical="center" wrapText="1"/>
    </xf>
    <xf numFmtId="164" fontId="27" fillId="8" borderId="294" xfId="23" applyNumberFormat="1" applyFont="1" applyFill="1" applyBorder="1" applyAlignment="1">
      <alignment horizontal="center" vertical="center" wrapText="1"/>
    </xf>
    <xf numFmtId="173" fontId="27" fillId="8" borderId="294" xfId="23" applyNumberFormat="1" applyFont="1" applyFill="1" applyBorder="1" applyAlignment="1">
      <alignment horizontal="center" vertical="center" wrapText="1"/>
    </xf>
    <xf numFmtId="14" fontId="27" fillId="8" borderId="294" xfId="23" applyNumberFormat="1" applyFont="1" applyFill="1" applyBorder="1" applyAlignment="1">
      <alignment horizontal="center" vertical="center" wrapText="1"/>
    </xf>
    <xf numFmtId="43" fontId="26" fillId="0" borderId="294" xfId="23" applyFont="1" applyFill="1" applyBorder="1" applyAlignment="1">
      <alignment horizontal="center" vertical="center" wrapText="1"/>
    </xf>
    <xf numFmtId="43" fontId="27" fillId="0" borderId="294" xfId="23" applyFont="1" applyFill="1" applyBorder="1" applyAlignment="1">
      <alignment horizontal="center" vertical="center" wrapText="1"/>
    </xf>
    <xf numFmtId="164" fontId="27" fillId="0" borderId="294" xfId="23" applyNumberFormat="1" applyFont="1" applyFill="1" applyBorder="1" applyAlignment="1">
      <alignment horizontal="center" vertical="center" wrapText="1"/>
    </xf>
    <xf numFmtId="9" fontId="26" fillId="0" borderId="294" xfId="2" applyFont="1" applyFill="1" applyBorder="1" applyAlignment="1">
      <alignment horizontal="center" vertical="center" wrapText="1"/>
    </xf>
    <xf numFmtId="3" fontId="269" fillId="8" borderId="294" xfId="30" applyNumberFormat="1" applyFont="1" applyFill="1" applyBorder="1" applyAlignment="1">
      <alignment horizontal="center" vertical="center" wrapText="1"/>
    </xf>
    <xf numFmtId="0" fontId="35" fillId="8" borderId="294" xfId="22" applyFont="1" applyFill="1" applyBorder="1" applyAlignment="1">
      <alignment horizontal="left" vertical="center" wrapText="1"/>
    </xf>
    <xf numFmtId="0" fontId="35" fillId="8" borderId="294" xfId="22" applyFont="1" applyFill="1" applyBorder="1" applyAlignment="1">
      <alignment horizontal="center" vertical="center" wrapText="1"/>
    </xf>
    <xf numFmtId="0" fontId="35" fillId="8" borderId="294" xfId="22" applyFont="1" applyFill="1" applyBorder="1" applyAlignment="1">
      <alignment horizontal="center" vertical="center"/>
    </xf>
    <xf numFmtId="173" fontId="35" fillId="8" borderId="294" xfId="22" applyNumberFormat="1" applyFont="1" applyFill="1" applyBorder="1" applyAlignment="1">
      <alignment horizontal="center" vertical="center" wrapText="1"/>
    </xf>
    <xf numFmtId="0" fontId="35" fillId="9" borderId="294" xfId="22" applyFont="1" applyFill="1" applyBorder="1" applyAlignment="1">
      <alignment horizontal="center"/>
    </xf>
    <xf numFmtId="0" fontId="35" fillId="9" borderId="294" xfId="22" applyFont="1" applyFill="1" applyBorder="1" applyAlignment="1">
      <alignment wrapText="1"/>
    </xf>
    <xf numFmtId="164" fontId="35" fillId="9" borderId="294" xfId="31" applyNumberFormat="1" applyFont="1" applyFill="1" applyBorder="1"/>
    <xf numFmtId="164" fontId="35" fillId="9" borderId="294" xfId="22" applyNumberFormat="1" applyFont="1" applyFill="1" applyBorder="1" applyAlignment="1">
      <alignment wrapText="1"/>
    </xf>
    <xf numFmtId="0" fontId="12" fillId="0" borderId="294" xfId="22" applyFont="1" applyBorder="1" applyAlignment="1">
      <alignment horizontal="center"/>
    </xf>
    <xf numFmtId="3" fontId="13" fillId="0" borderId="294" xfId="33" applyNumberFormat="1" applyFont="1" applyBorder="1" applyAlignment="1">
      <alignment wrapText="1"/>
    </xf>
    <xf numFmtId="164" fontId="12" fillId="0" borderId="294" xfId="31" applyNumberFormat="1" applyFont="1" applyBorder="1"/>
    <xf numFmtId="0" fontId="13" fillId="0" borderId="294" xfId="22" applyFont="1" applyBorder="1" applyAlignment="1">
      <alignment horizontal="center"/>
    </xf>
    <xf numFmtId="164" fontId="13" fillId="0" borderId="294" xfId="31" applyNumberFormat="1" applyFont="1" applyBorder="1"/>
    <xf numFmtId="0" fontId="17" fillId="9" borderId="294" xfId="33" applyFont="1" applyFill="1" applyBorder="1" applyAlignment="1">
      <alignment wrapText="1"/>
    </xf>
    <xf numFmtId="3" fontId="35" fillId="9" borderId="294" xfId="22" applyNumberFormat="1" applyFont="1" applyFill="1" applyBorder="1" applyAlignment="1">
      <alignment wrapText="1"/>
    </xf>
    <xf numFmtId="3" fontId="35" fillId="9" borderId="294" xfId="33" applyNumberFormat="1" applyFont="1" applyFill="1" applyBorder="1" applyAlignment="1">
      <alignment wrapText="1"/>
    </xf>
    <xf numFmtId="164" fontId="35" fillId="9" borderId="408" xfId="31" applyNumberFormat="1" applyFont="1" applyFill="1" applyBorder="1"/>
    <xf numFmtId="164" fontId="17" fillId="70" borderId="294" xfId="31" applyNumberFormat="1" applyFont="1" applyFill="1" applyBorder="1" applyAlignment="1">
      <alignment vertical="center"/>
    </xf>
    <xf numFmtId="10" fontId="17" fillId="70" borderId="294" xfId="2" applyNumberFormat="1" applyFont="1" applyFill="1" applyBorder="1" applyAlignment="1">
      <alignment vertical="center"/>
    </xf>
    <xf numFmtId="339" fontId="17" fillId="70" borderId="294" xfId="31" applyNumberFormat="1" applyFont="1" applyFill="1" applyBorder="1" applyAlignment="1">
      <alignment vertical="center"/>
    </xf>
    <xf numFmtId="340" fontId="17" fillId="70" borderId="294" xfId="31" applyNumberFormat="1" applyFont="1" applyFill="1" applyBorder="1" applyAlignment="1">
      <alignment vertical="center"/>
    </xf>
    <xf numFmtId="164" fontId="17" fillId="70" borderId="294" xfId="31" applyNumberFormat="1" applyFont="1" applyFill="1" applyBorder="1" applyAlignment="1"/>
    <xf numFmtId="10" fontId="17" fillId="70" borderId="294" xfId="2" applyNumberFormat="1" applyFont="1" applyFill="1" applyBorder="1" applyAlignment="1"/>
    <xf numFmtId="339" fontId="17" fillId="70" borderId="294" xfId="31" applyNumberFormat="1" applyFont="1" applyFill="1" applyBorder="1" applyAlignment="1">
      <alignment horizontal="right"/>
    </xf>
    <xf numFmtId="340" fontId="17" fillId="70" borderId="294" xfId="31" applyNumberFormat="1" applyFont="1" applyFill="1" applyBorder="1" applyAlignment="1">
      <alignment horizontal="right"/>
    </xf>
    <xf numFmtId="164" fontId="35" fillId="9" borderId="294" xfId="32" applyNumberFormat="1" applyFont="1" applyFill="1" applyBorder="1" applyAlignment="1">
      <alignment horizontal="right"/>
    </xf>
    <xf numFmtId="164" fontId="13" fillId="0" borderId="294" xfId="1" applyNumberFormat="1" applyFont="1" applyBorder="1" applyAlignment="1">
      <alignment horizontal="right"/>
    </xf>
    <xf numFmtId="164" fontId="17" fillId="70" borderId="294" xfId="31" applyNumberFormat="1" applyFont="1" applyFill="1" applyBorder="1" applyAlignment="1">
      <alignment horizontal="right"/>
    </xf>
    <xf numFmtId="3" fontId="35" fillId="5" borderId="294" xfId="30" applyNumberFormat="1" applyFont="1" applyFill="1" applyBorder="1"/>
    <xf numFmtId="0" fontId="35" fillId="5" borderId="294" xfId="30" applyFont="1" applyFill="1" applyBorder="1" applyAlignment="1">
      <alignment horizontal="center" vertical="center"/>
    </xf>
    <xf numFmtId="10" fontId="17" fillId="70" borderId="294" xfId="30" applyNumberFormat="1" applyFont="1" applyFill="1" applyBorder="1" applyAlignment="1">
      <alignment horizontal="right"/>
    </xf>
    <xf numFmtId="3" fontId="35" fillId="0" borderId="294" xfId="30" applyNumberFormat="1" applyFont="1" applyBorder="1"/>
    <xf numFmtId="3" fontId="12" fillId="0" borderId="294" xfId="30" applyNumberFormat="1" applyFont="1" applyBorder="1"/>
    <xf numFmtId="3" fontId="35" fillId="8" borderId="294" xfId="31" applyNumberFormat="1" applyFont="1" applyFill="1" applyBorder="1" applyAlignment="1">
      <alignment horizontal="right"/>
    </xf>
    <xf numFmtId="14" fontId="35" fillId="8" borderId="294" xfId="31" applyNumberFormat="1" applyFont="1" applyFill="1" applyBorder="1" applyAlignment="1">
      <alignment horizontal="center" wrapText="1"/>
    </xf>
    <xf numFmtId="3" fontId="35" fillId="8" borderId="294" xfId="31" applyNumberFormat="1" applyFont="1" applyFill="1" applyBorder="1" applyAlignment="1">
      <alignment horizontal="right" vertical="center"/>
    </xf>
    <xf numFmtId="14" fontId="35" fillId="8" borderId="294" xfId="31" applyNumberFormat="1" applyFont="1" applyFill="1" applyBorder="1" applyAlignment="1">
      <alignment horizontal="center" vertical="center" wrapText="1"/>
    </xf>
    <xf numFmtId="0" fontId="11" fillId="0" borderId="294" xfId="0" applyFont="1" applyBorder="1" applyAlignment="1">
      <alignment horizontal="left" vertical="center" wrapText="1"/>
    </xf>
    <xf numFmtId="14" fontId="7" fillId="8" borderId="294" xfId="0" applyNumberFormat="1" applyFont="1" applyFill="1" applyBorder="1" applyAlignment="1">
      <alignment horizontal="left" vertical="center" wrapText="1"/>
    </xf>
    <xf numFmtId="164" fontId="4" fillId="0" borderId="294" xfId="1" applyNumberFormat="1" applyFont="1" applyFill="1" applyBorder="1" applyAlignment="1">
      <alignment horizontal="left" vertical="center" wrapText="1"/>
    </xf>
    <xf numFmtId="0" fontId="279" fillId="0" borderId="294" xfId="0" applyFont="1" applyBorder="1" applyAlignment="1">
      <alignment horizontal="center" vertical="center"/>
    </xf>
    <xf numFmtId="164" fontId="279" fillId="0" borderId="294" xfId="1" applyNumberFormat="1" applyFont="1" applyBorder="1" applyAlignment="1">
      <alignment horizontal="center" vertical="center"/>
    </xf>
    <xf numFmtId="164" fontId="279" fillId="0" borderId="294" xfId="0" applyNumberFormat="1" applyFont="1" applyBorder="1" applyAlignment="1">
      <alignment horizontal="center" vertical="center"/>
    </xf>
    <xf numFmtId="0" fontId="281" fillId="0" borderId="294" xfId="0" applyFont="1" applyBorder="1" applyAlignment="1">
      <alignment horizontal="center" vertical="center" wrapText="1"/>
    </xf>
    <xf numFmtId="0" fontId="281" fillId="69" borderId="294" xfId="0" applyFont="1" applyFill="1" applyBorder="1" applyAlignment="1">
      <alignment horizontal="center" vertical="center" wrapText="1"/>
    </xf>
    <xf numFmtId="0" fontId="23" fillId="0" borderId="0" xfId="15" applyFont="1" applyAlignment="1">
      <alignment horizontal="left" vertical="center" wrapText="1"/>
    </xf>
    <xf numFmtId="0" fontId="21" fillId="0" borderId="0" xfId="15" applyFont="1" applyAlignment="1">
      <alignment horizontal="left" vertical="center" wrapText="1"/>
    </xf>
    <xf numFmtId="0" fontId="3" fillId="0" borderId="0" xfId="3" applyFont="1" applyAlignment="1">
      <alignment horizontal="left" vertical="center" wrapText="1"/>
    </xf>
    <xf numFmtId="43" fontId="3" fillId="0" borderId="0" xfId="3" applyNumberFormat="1" applyFont="1" applyAlignment="1">
      <alignment horizontal="left" vertical="center" wrapText="1"/>
    </xf>
    <xf numFmtId="43" fontId="270" fillId="8" borderId="401" xfId="15" applyNumberFormat="1" applyFont="1" applyFill="1" applyBorder="1" applyAlignment="1">
      <alignment horizontal="left" vertical="center" wrapText="1"/>
    </xf>
    <xf numFmtId="43" fontId="270" fillId="8" borderId="384" xfId="15" applyNumberFormat="1" applyFont="1" applyFill="1" applyBorder="1" applyAlignment="1">
      <alignment horizontal="left" vertical="center" wrapText="1"/>
    </xf>
    <xf numFmtId="43" fontId="270" fillId="8" borderId="402" xfId="15" applyNumberFormat="1" applyFont="1" applyFill="1" applyBorder="1" applyAlignment="1">
      <alignment horizontal="left" vertical="center" wrapText="1"/>
    </xf>
    <xf numFmtId="43" fontId="13" fillId="9" borderId="3" xfId="15" applyNumberFormat="1" applyFont="1" applyFill="1" applyBorder="1" applyAlignment="1">
      <alignment horizontal="left" vertical="center" wrapText="1"/>
    </xf>
    <xf numFmtId="43" fontId="13" fillId="9" borderId="4" xfId="15" applyNumberFormat="1" applyFont="1" applyFill="1" applyBorder="1" applyAlignment="1">
      <alignment horizontal="left" vertical="center" wrapText="1"/>
    </xf>
    <xf numFmtId="0" fontId="273" fillId="0" borderId="0" xfId="3" applyFont="1" applyAlignment="1">
      <alignment horizontal="center" vertical="center" wrapText="1"/>
    </xf>
    <xf numFmtId="43" fontId="17" fillId="9" borderId="386" xfId="15" applyNumberFormat="1" applyFont="1" applyFill="1" applyBorder="1" applyAlignment="1">
      <alignment horizontal="left" vertical="center" wrapText="1"/>
    </xf>
    <xf numFmtId="43" fontId="17" fillId="9" borderId="387" xfId="15" applyNumberFormat="1" applyFont="1" applyFill="1" applyBorder="1" applyAlignment="1">
      <alignment horizontal="left" vertical="center" wrapText="1"/>
    </xf>
    <xf numFmtId="0" fontId="14" fillId="0" borderId="390" xfId="15" applyFont="1" applyBorder="1" applyAlignment="1">
      <alignment horizontal="left" vertical="center" wrapText="1"/>
    </xf>
    <xf numFmtId="0" fontId="14" fillId="0" borderId="391" xfId="15" applyFont="1" applyBorder="1" applyAlignment="1">
      <alignment horizontal="left" vertical="center" wrapText="1"/>
    </xf>
    <xf numFmtId="0" fontId="3" fillId="0" borderId="384" xfId="0" applyFont="1" applyBorder="1" applyAlignment="1">
      <alignment horizontal="center" vertical="center"/>
    </xf>
    <xf numFmtId="0" fontId="3" fillId="0" borderId="402" xfId="0" applyFont="1" applyBorder="1" applyAlignment="1">
      <alignment horizontal="center" vertical="center"/>
    </xf>
    <xf numFmtId="0" fontId="3" fillId="0" borderId="63" xfId="0" applyFont="1" applyBorder="1" applyAlignment="1">
      <alignment horizontal="center" vertical="center" wrapText="1"/>
    </xf>
    <xf numFmtId="0" fontId="3" fillId="0" borderId="408" xfId="0" applyFont="1" applyBorder="1" applyAlignment="1">
      <alignment horizontal="center" vertical="center" wrapText="1"/>
    </xf>
    <xf numFmtId="0" fontId="274" fillId="0" borderId="0" xfId="0" applyFont="1" applyAlignment="1">
      <alignment horizontal="center" vertical="center"/>
    </xf>
    <xf numFmtId="0" fontId="3" fillId="5" borderId="406" xfId="0" applyFont="1" applyFill="1" applyBorder="1" applyAlignment="1">
      <alignment horizontal="center" vertical="center"/>
    </xf>
    <xf numFmtId="0" fontId="274" fillId="0" borderId="0" xfId="3" applyFont="1" applyAlignment="1">
      <alignment horizontal="center" vertical="center" wrapText="1"/>
    </xf>
    <xf numFmtId="0" fontId="3" fillId="0" borderId="0" xfId="3" applyFont="1" applyAlignment="1">
      <alignment horizontal="center" vertical="center" wrapText="1"/>
    </xf>
    <xf numFmtId="0" fontId="7" fillId="8" borderId="294" xfId="27" applyFont="1" applyFill="1" applyBorder="1" applyAlignment="1">
      <alignment horizontal="center"/>
    </xf>
    <xf numFmtId="0" fontId="3" fillId="8" borderId="294" xfId="27" applyFont="1" applyFill="1" applyBorder="1" applyAlignment="1">
      <alignment horizontal="center" vertical="center"/>
    </xf>
    <xf numFmtId="0" fontId="3" fillId="8" borderId="33" xfId="27" applyFont="1" applyFill="1" applyBorder="1" applyAlignment="1">
      <alignment horizontal="center" vertical="center"/>
    </xf>
    <xf numFmtId="0" fontId="3" fillId="8" borderId="408" xfId="27" applyFont="1" applyFill="1" applyBorder="1" applyAlignment="1">
      <alignment horizontal="center" vertical="center"/>
    </xf>
    <xf numFmtId="0" fontId="3" fillId="8" borderId="294" xfId="27" applyFont="1" applyFill="1" applyBorder="1" applyAlignment="1">
      <alignment horizontal="center"/>
    </xf>
    <xf numFmtId="43" fontId="27" fillId="8" borderId="401" xfId="23" applyFont="1" applyFill="1" applyBorder="1" applyAlignment="1">
      <alignment horizontal="center" vertical="center"/>
    </xf>
    <xf numFmtId="43" fontId="27" fillId="8" borderId="384" xfId="23" applyFont="1" applyFill="1" applyBorder="1" applyAlignment="1">
      <alignment horizontal="center" vertical="center"/>
    </xf>
    <xf numFmtId="164" fontId="27" fillId="8" borderId="384" xfId="23" applyNumberFormat="1" applyFont="1" applyFill="1" applyBorder="1" applyAlignment="1">
      <alignment horizontal="center" vertical="center"/>
    </xf>
    <xf numFmtId="0" fontId="275" fillId="0" borderId="0" xfId="3" applyFont="1" applyAlignment="1">
      <alignment horizontal="center" vertical="center" wrapText="1"/>
    </xf>
    <xf numFmtId="43" fontId="27" fillId="8" borderId="33" xfId="23" applyFont="1" applyFill="1" applyBorder="1" applyAlignment="1">
      <alignment horizontal="center" vertical="center" wrapText="1"/>
    </xf>
    <xf numFmtId="43" fontId="27" fillId="8" borderId="408" xfId="23" applyFont="1" applyFill="1" applyBorder="1" applyAlignment="1">
      <alignment horizontal="center" vertical="center" wrapText="1"/>
    </xf>
    <xf numFmtId="0" fontId="275" fillId="0" borderId="0" xfId="3" applyFont="1" applyAlignment="1">
      <alignment horizontal="center" vertical="center"/>
    </xf>
    <xf numFmtId="164" fontId="5" fillId="0" borderId="0" xfId="4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0" fontId="9" fillId="0" borderId="0" xfId="3" applyFont="1" applyAlignment="1">
      <alignment horizontal="center" vertical="center" wrapText="1"/>
    </xf>
    <xf numFmtId="0" fontId="9" fillId="0" borderId="0" xfId="3" applyFont="1" applyAlignment="1">
      <alignment horizontal="center" vertical="center"/>
    </xf>
    <xf numFmtId="0" fontId="35" fillId="0" borderId="0" xfId="3" applyFont="1" applyAlignment="1">
      <alignment horizontal="center" vertical="center"/>
    </xf>
    <xf numFmtId="3" fontId="17" fillId="70" borderId="294" xfId="22" applyNumberFormat="1" applyFont="1" applyFill="1" applyBorder="1" applyAlignment="1">
      <alignment horizontal="center"/>
    </xf>
    <xf numFmtId="3" fontId="28" fillId="0" borderId="0" xfId="30" applyNumberFormat="1" applyFont="1" applyAlignment="1">
      <alignment horizontal="center"/>
    </xf>
    <xf numFmtId="3" fontId="28" fillId="0" borderId="0" xfId="22" applyNumberFormat="1" applyFont="1" applyAlignment="1">
      <alignment horizontal="center"/>
    </xf>
    <xf numFmtId="0" fontId="0" fillId="0" borderId="395" xfId="0" applyBorder="1" applyAlignment="1">
      <alignment horizontal="center" vertical="center"/>
    </xf>
    <xf numFmtId="0" fontId="0" fillId="0" borderId="406" xfId="0" applyBorder="1" applyAlignment="1">
      <alignment horizontal="center" vertical="center"/>
    </xf>
    <xf numFmtId="0" fontId="0" fillId="0" borderId="400" xfId="0" applyBorder="1" applyAlignment="1">
      <alignment horizontal="center" vertical="center"/>
    </xf>
    <xf numFmtId="0" fontId="0" fillId="0" borderId="304" xfId="0" applyBorder="1" applyAlignment="1">
      <alignment horizontal="center" vertical="center"/>
    </xf>
    <xf numFmtId="0" fontId="0" fillId="0" borderId="30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97" xfId="0" applyBorder="1" applyAlignment="1">
      <alignment horizontal="center" vertical="center"/>
    </xf>
  </cellXfs>
  <cellStyles count="7986">
    <cellStyle name="_x0001_" xfId="142" xr:uid="{E0259001-7C2F-44D6-97C3-D9932A97A536}"/>
    <cellStyle name="-" xfId="143" xr:uid="{D3BED422-973D-4576-895B-EBB5DAFB0F3C}"/>
    <cellStyle name=" " xfId="144" xr:uid="{4759C511-8E70-4E03-A432-99C04065951C}"/>
    <cellStyle name="          _x000d__x000a_shell=progman.exe_x000d__x000a_m" xfId="145" xr:uid="{E71694FE-A92C-450F-B7A6-220B105C83B5}"/>
    <cellStyle name=" (2)" xfId="146" xr:uid="{3B279DCD-A091-497B-8794-525ED6580B9E}"/>
    <cellStyle name=" _Taiwan" xfId="147" xr:uid="{6A08DC59-12AD-4EA4-886D-FB7BEF38D96B}"/>
    <cellStyle name=" _Taiwan_0+12 R&amp;O" xfId="148" xr:uid="{759F47CA-32EB-4B3A-8747-69D5C05601CA}"/>
    <cellStyle name=" _Taiwan_0+12 R&amp;O (2)" xfId="149" xr:uid="{711DE784-3323-46AC-BC92-0FCAA7CBA535}"/>
    <cellStyle name=" _Taiwan_1st Half Total Cost" xfId="150" xr:uid="{2DD1AD04-D507-490F-A101-3F1A8747C709}"/>
    <cellStyle name=" _Taiwan_1st Half Total Cost_0+12 R&amp;O" xfId="151" xr:uid="{29D45DA2-0F1E-4F43-BE3D-A93DD8F880DA}"/>
    <cellStyle name=" _Taiwan_1st Half Total Cost_0+12 R&amp;O (2)" xfId="152" xr:uid="{26C1FAAC-4CDA-44D7-97AB-54E5ED0F5A1D}"/>
    <cellStyle name=" _Taiwan_1st Half Total Cost_Affordable Business Structure" xfId="153" xr:uid="{B5E74CD3-43DB-4F83-8D79-58FAD61F306A}"/>
    <cellStyle name=" _Taiwan_1st Half Total Cost_Affordable Business Structure_0+12 R&amp;O" xfId="154" xr:uid="{A02AE8BC-9929-47FE-8EB7-A5382CB79A2D}"/>
    <cellStyle name=" _Taiwan_1st Half Total Cost_Affordable Business Structure_0+12 R&amp;O (2)" xfId="155" xr:uid="{754CE8F7-A47A-41CA-BD3E-85529F65AEAF}"/>
    <cellStyle name=" _Taiwan_1st Half Total Cost_BP Key Assumptions" xfId="156" xr:uid="{91981689-37A3-418D-B455-49A24E8AA12F}"/>
    <cellStyle name=" _Taiwan_1st Half Total Cost_BP Key Assumptions_0+12 R&amp;O" xfId="157" xr:uid="{7DDA484C-17A9-4D63-A5E7-2D863C840BB8}"/>
    <cellStyle name=" _Taiwan_1st Half Total Cost_BP Key Assumptions_0+12 R&amp;O (2)" xfId="158" xr:uid="{2213DFB9-A6AD-4A45-B025-60A702087A56}"/>
    <cellStyle name=" _Taiwan_1st Half Total Cost_Task" xfId="159" xr:uid="{BF0101BA-80A1-4BB6-839D-E227D023BFD1}"/>
    <cellStyle name=" _Taiwan_1st Half Total Cost_Task_0+12 R&amp;O" xfId="160" xr:uid="{DA96A4CD-1E4E-4251-99EA-FA7F6C011808}"/>
    <cellStyle name=" _Taiwan_1st Half Total Cost_Task_0+12 R&amp;O (2)" xfId="161" xr:uid="{D9469C15-30E5-4DA1-9A37-8A3AE56693E6}"/>
    <cellStyle name=" _Taiwan_1st Half Total Cost_TTLCOST BACKUP" xfId="162" xr:uid="{8AB21E55-EEE2-406D-92E9-869FD8D51117}"/>
    <cellStyle name=" _Taiwan_1st Half Total Cost_TTLCOST BACKUP_0+12 R&amp;O (2)" xfId="163" xr:uid="{87160C8A-771F-4AE0-BDF6-8C05070BE8F2}"/>
    <cellStyle name=" _Taiwan_1st Half Total Cost_Updated R&amp;O - 1999" xfId="164" xr:uid="{04ACD2A3-8520-42BA-B9F0-94D86D222710}"/>
    <cellStyle name=" _Taiwan_1st Half Total Cost_Updated R&amp;O - 1999_0+12 R&amp;O" xfId="165" xr:uid="{A4AEB9F5-2184-4DC1-BBC3-E9B8103A3C40}"/>
    <cellStyle name=" _Taiwan_1st Half Total Cost_Updated R&amp;O - 1999_0+12 R&amp;O (2)" xfId="166" xr:uid="{5604A8BC-1088-448E-BBFE-35F1A7789B55}"/>
    <cellStyle name=" _Taiwan_1st Half Total Cost_Vehicle Line Profit" xfId="167" xr:uid="{7D2DD3BA-146C-40FD-8502-3555D55DC7D9}"/>
    <cellStyle name=" _Taiwan_1st Half Total Cost_Vehicle Line Profit_0+12 R&amp;O" xfId="168" xr:uid="{338AABD7-9A36-406F-9ABA-77EEE601BFA5}"/>
    <cellStyle name=" _Taiwan_1st Half Total Cost_Vehicle Line Profit_0+12 R&amp;O (2)" xfId="169" xr:uid="{C0FAC024-A6A4-4C87-BA3C-7E30FDBFCB34}"/>
    <cellStyle name=" _Taiwan_Affordable Business Structure" xfId="170" xr:uid="{DC0D940E-066F-4AEA-B285-9258C2D4D241}"/>
    <cellStyle name=" _Taiwan_Affordable Business Structure_0+12 R&amp;O" xfId="171" xr:uid="{16238AC9-0935-4D4D-9DA4-7ABF85510CD1}"/>
    <cellStyle name=" _Taiwan_Affordable Business Structure_0+12 R&amp;O (2)" xfId="172" xr:uid="{98C3043C-5119-474D-88BC-5EE8CE6103EC}"/>
    <cellStyle name=" _Taiwan_Affordable Business Structure_BP Key Assumptions" xfId="173" xr:uid="{A141A16C-D190-406A-9CFE-671AD375EEA7}"/>
    <cellStyle name=" _Taiwan_Affordable Business Structure_BP Key Assumptions_0+12 R&amp;O" xfId="174" xr:uid="{87438DAB-3FB8-43D0-BF35-EB446F0C0B5F}"/>
    <cellStyle name=" _Taiwan_Affordable Business Structure_BP Key Assumptions_0+12 R&amp;O (2)" xfId="175" xr:uid="{4FE646DA-E261-4741-BAD1-8E248A0FA292}"/>
    <cellStyle name=" _Taiwan_Affordable Business Structure_Task" xfId="176" xr:uid="{14FA84D2-92A3-4801-91E4-C61E38F52F37}"/>
    <cellStyle name=" _Taiwan_Affordable Business Structure_Task_0+12 R&amp;O" xfId="177" xr:uid="{3BA96126-8908-4868-A9BD-835FD962869C}"/>
    <cellStyle name=" _Taiwan_Affordable Business Structure_Task_0+12 R&amp;O (2)" xfId="178" xr:uid="{59E132B7-E6B2-4BED-835D-83120BDA6AD0}"/>
    <cellStyle name=" _Taiwan_Affordable Business Structure_TTLCOST BACKUP" xfId="179" xr:uid="{D0E301BE-E24D-4C0E-B675-71C7A5F8AABF}"/>
    <cellStyle name=" _Taiwan_Affordable Business Structure_TTLCOST BACKUP_0+12 R&amp;O (2)" xfId="180" xr:uid="{DF1C5F32-9AA0-4B24-9B08-50CFDB828148}"/>
    <cellStyle name=" _Taiwan_Affordable Business Structure_Updated R&amp;O - 1999" xfId="181" xr:uid="{44752D83-F469-4CA4-9EB1-87AE98AB4863}"/>
    <cellStyle name=" _Taiwan_Affordable Business Structure_Updated R&amp;O - 1999_0+12 R&amp;O" xfId="182" xr:uid="{C459594A-F463-4DC8-A1AA-968E903F2DC8}"/>
    <cellStyle name=" _Taiwan_Affordable Business Structure_Updated R&amp;O - 1999_0+12 R&amp;O (2)" xfId="183" xr:uid="{BA468940-BE53-44A9-9D6B-87B9F09A9957}"/>
    <cellStyle name=" _Taiwan_Affordable Business Structure_Vehicle Line Profit" xfId="184" xr:uid="{B5FE287F-1ED0-41C9-8A7E-54404AB941DC}"/>
    <cellStyle name=" _Taiwan_Affordable Business Structure_Vehicle Line Profit_0+12 R&amp;O" xfId="185" xr:uid="{C1817795-A7EC-478C-9014-4917392FFFEC}"/>
    <cellStyle name=" _Taiwan_Affordable Business Structure_Vehicle Line Profit_0+12 R&amp;O (2)" xfId="186" xr:uid="{234960B8-7EA1-4034-A4A3-5E7074224E51}"/>
    <cellStyle name=" _Taiwan_BP Key Assumptions" xfId="187" xr:uid="{DFB31D86-2DB8-4B10-A800-3D8FA059A295}"/>
    <cellStyle name=" _Taiwan_BP Key Assumptions_0+12 R&amp;O" xfId="188" xr:uid="{4DFEB94D-FA97-4846-A332-97E744D062B1}"/>
    <cellStyle name=" _Taiwan_BP Key Assumptions_0+12 R&amp;O (2)" xfId="189" xr:uid="{B2B624DA-8035-453F-9673-47E999DAF7D7}"/>
    <cellStyle name=" _Taiwan_KD&amp;BU Study" xfId="190" xr:uid="{FDD86091-8812-41A3-9C7E-521C20F422D1}"/>
    <cellStyle name=" _Taiwan_KD&amp;BU Study_0+12 R&amp;O" xfId="191" xr:uid="{7B7E3E08-F7E6-4C74-B66A-C47EB1FFCEFE}"/>
    <cellStyle name=" _Taiwan_KD&amp;BU Study_0+12 R&amp;O (2)" xfId="192" xr:uid="{B1FE9B55-DFD1-440C-8B5D-082CFD92DFB9}"/>
    <cellStyle name=" _Taiwan_KD&amp;BU Study_Affordable Business Structure" xfId="193" xr:uid="{47D9F4F1-C1A6-422F-B781-DA0063FDD623}"/>
    <cellStyle name=" _Taiwan_KD&amp;BU Study_Affordable Business Structure_0+12 R&amp;O" xfId="194" xr:uid="{C2455A4C-C0F1-4E48-BBCB-F442840FC0D2}"/>
    <cellStyle name=" _Taiwan_KD&amp;BU Study_Affordable Business Structure_0+12 R&amp;O (2)" xfId="195" xr:uid="{91150FD5-5D5B-4170-8E6B-15AF66164E8A}"/>
    <cellStyle name=" _Taiwan_KD&amp;BU Study_BP Key Assumptions" xfId="196" xr:uid="{488ED9F5-9860-4423-BFEE-B39B6B9BA109}"/>
    <cellStyle name=" _Taiwan_KD&amp;BU Study_BP Key Assumptions_0+12 R&amp;O" xfId="197" xr:uid="{27769BCD-CA38-4634-8D96-17ED23FF6A31}"/>
    <cellStyle name=" _Taiwan_KD&amp;BU Study_BP Key Assumptions_0+12 R&amp;O (2)" xfId="198" xr:uid="{380B2501-E18A-4C9E-98DE-BC7B0FA4E007}"/>
    <cellStyle name=" _Taiwan_KD&amp;BU Study_Task" xfId="199" xr:uid="{42CBDFFB-7B06-4B67-859D-990D3E4D1D95}"/>
    <cellStyle name=" _Taiwan_KD&amp;BU Study_Task_0+12 R&amp;O" xfId="200" xr:uid="{BC2E48F8-AAE6-48D1-ABE1-880A3E276621}"/>
    <cellStyle name=" _Taiwan_KD&amp;BU Study_Task_0+12 R&amp;O (2)" xfId="201" xr:uid="{B3608D91-6B02-4D89-9BC0-45943FB2EF72}"/>
    <cellStyle name=" _Taiwan_KD&amp;BU Study_TTLCOST BACKUP" xfId="202" xr:uid="{A68F3BC9-F3F2-4E3D-A282-4F048DDDDF4E}"/>
    <cellStyle name=" _Taiwan_KD&amp;BU Study_TTLCOST BACKUP_0+12 R&amp;O (2)" xfId="203" xr:uid="{1F9B8AF0-A450-4E4D-A182-E154FF1B3E60}"/>
    <cellStyle name=" _Taiwan_KD&amp;BU Study_Updated R&amp;O - 1999" xfId="204" xr:uid="{15C4406E-275B-47F8-8E44-C8332C320FB9}"/>
    <cellStyle name=" _Taiwan_KD&amp;BU Study_Updated R&amp;O - 1999_0+12 R&amp;O" xfId="205" xr:uid="{82451C2B-4C3A-4549-863A-055B5E756FE9}"/>
    <cellStyle name=" _Taiwan_KD&amp;BU Study_Updated R&amp;O - 1999_0+12 R&amp;O (2)" xfId="206" xr:uid="{9B550FEE-AE42-46F7-B82B-14DAA17E40A3}"/>
    <cellStyle name=" _Taiwan_KD&amp;BU Study_Vehicle Line Profit" xfId="207" xr:uid="{30400015-7C6A-403B-A999-25F103D3A1DC}"/>
    <cellStyle name=" _Taiwan_KD&amp;BU Study_Vehicle Line Profit_0+12 R&amp;O" xfId="208" xr:uid="{B1800E30-4DFB-4926-9FD4-EB1CF068F8D5}"/>
    <cellStyle name=" _Taiwan_KD&amp;BU Study_Vehicle Line Profit_0+12 R&amp;O (2)" xfId="209" xr:uid="{3C552AB3-CEA9-42E5-A37E-D8ED322D14D9}"/>
    <cellStyle name=" _Taiwan_Task" xfId="210" xr:uid="{58FDBDFD-235F-4F9B-81EE-97342797954E}"/>
    <cellStyle name=" _Taiwan_Task_0+12 R&amp;O" xfId="211" xr:uid="{66FEC8EA-2D6C-4E41-ABFB-5D6131C6E6E1}"/>
    <cellStyle name=" _Taiwan_Task_0+12 R&amp;O (2)" xfId="212" xr:uid="{0869BB50-A5A3-4B8E-AD93-BD32B2A0888A}"/>
    <cellStyle name=" _Taiwan_TTLCOST BACKUP" xfId="213" xr:uid="{19D5C5E4-1800-4151-A1C5-6C9B27B0FA43}"/>
    <cellStyle name=" _Taiwan_TTLCOST BACKUP_0+12 R&amp;O" xfId="214" xr:uid="{A50C2AB5-2515-4ABB-B7D4-8BDA6D7AFA9C}"/>
    <cellStyle name=" _Taiwan_TTLCOST BACKUP_0+12 R&amp;O (2)" xfId="215" xr:uid="{8A3B1729-28AC-4F4B-B2C2-C768B16508AC}"/>
    <cellStyle name=" _Taiwan_TTLCOST BACKUP_Affordable Business Structure" xfId="216" xr:uid="{126E9491-7E3E-4045-8D52-F52A2E1D7FCE}"/>
    <cellStyle name=" _Taiwan_TTLCOST BACKUP_Affordable Business Structure_0+12 R&amp;O" xfId="217" xr:uid="{B9BF3E83-5848-4AD0-9E2F-7AA1F64C076C}"/>
    <cellStyle name=" _Taiwan_TTLCOST BACKUP_Affordable Business Structure_0+12 R&amp;O (2)" xfId="218" xr:uid="{FB8AA4C7-93AB-4782-99B6-F984A41D8762}"/>
    <cellStyle name=" _Taiwan_TTLCOST BACKUP_BP Key Assumptions" xfId="219" xr:uid="{2A208E73-2C32-43FC-9F0F-EFCBF30C8B0D}"/>
    <cellStyle name=" _Taiwan_TTLCOST BACKUP_BP Key Assumptions_0+12 R&amp;O" xfId="220" xr:uid="{820348F9-A68C-41C3-8FC2-B12B9D538DC9}"/>
    <cellStyle name=" _Taiwan_TTLCOST BACKUP_BP Key Assumptions_0+12 R&amp;O (2)" xfId="221" xr:uid="{EBF9FB24-83C8-4739-8C36-684879308F78}"/>
    <cellStyle name=" _Taiwan_TTLCOST BACKUP_Task" xfId="222" xr:uid="{54D3B8ED-15AE-4B37-AB1C-0CC35963E298}"/>
    <cellStyle name=" _Taiwan_TTLCOST BACKUP_Task_0+12 R&amp;O" xfId="223" xr:uid="{E9DE0B3C-68E5-431A-9F97-5E301CF4A741}"/>
    <cellStyle name=" _Taiwan_TTLCOST BACKUP_Task_0+12 R&amp;O (2)" xfId="224" xr:uid="{06FC59A0-E542-404C-BD29-BAC820CA0F41}"/>
    <cellStyle name=" _Taiwan_TTLCOST BACKUP_Updated R&amp;O - 1999" xfId="225" xr:uid="{EE03D0B7-15CE-47AE-A4E8-566692827E0E}"/>
    <cellStyle name=" _Taiwan_TTLCOST BACKUP_Updated R&amp;O - 1999_0+12 R&amp;O" xfId="226" xr:uid="{F8742B7C-4B49-4BF8-BE8C-46AADC021CA8}"/>
    <cellStyle name=" _Taiwan_TTLCOST BACKUP_Updated R&amp;O - 1999_0+12 R&amp;O (2)" xfId="227" xr:uid="{99C44522-8671-40C0-AFA7-D1022989288E}"/>
    <cellStyle name=" _Taiwan_TTLCOST BACKUP_Vehicle Line Profit" xfId="228" xr:uid="{6A15A2BC-1409-4091-9E71-CE4F7E48D6BC}"/>
    <cellStyle name=" _Taiwan_TTLCOST BACKUP_Vehicle Line Profit_0+12 R&amp;O" xfId="229" xr:uid="{5B1493F0-D995-4595-A064-92345CC8A2DD}"/>
    <cellStyle name=" _Taiwan_TTLCOST BACKUP_Vehicle Line Profit_0+12 R&amp;O (2)" xfId="230" xr:uid="{B2C6743A-DBC1-4098-8D0C-3BA1112558C6}"/>
    <cellStyle name=" _Taiwan_Updated R&amp;O - 1998" xfId="231" xr:uid="{6C0248DF-222C-4FCF-B517-067919AED049}"/>
    <cellStyle name=" _Taiwan_Updated R&amp;O - 1998_0+12 R&amp;O" xfId="232" xr:uid="{F610FFDF-A06A-4AB6-B7CB-54813231DF33}"/>
    <cellStyle name=" _Taiwan_Updated R&amp;O - 1998_0+12 R&amp;O (2)" xfId="233" xr:uid="{23497C71-4722-49ED-9314-CEBE30C23838}"/>
    <cellStyle name=" _Taiwan_Updated R&amp;O - 1999" xfId="234" xr:uid="{E2DC2723-457F-4FB7-AAFF-B59A7438E8EC}"/>
    <cellStyle name=" _Taiwan_Updated R&amp;O - 1999_0+12 R&amp;O" xfId="235" xr:uid="{5D488A4B-FE8A-4F2F-8C02-C40FE35B1956}"/>
    <cellStyle name=" _Taiwan_Updated R&amp;O - 1999_0+12 R&amp;O (2)" xfId="236" xr:uid="{A67D8BCD-1E11-419B-B051-7C1BD2ABCAAF}"/>
    <cellStyle name=" _Taiwan_Vehicle Line Profit" xfId="237" xr:uid="{9B4C98BE-46E2-4FED-AC3D-9FD7400F5513}"/>
    <cellStyle name=" _Taiwan_Vehicle Line Profit_0+12 R&amp;O" xfId="238" xr:uid="{0CC378E5-02F4-42A8-AC7F-1E75D1F9266B}"/>
    <cellStyle name=" _Taiwan_Vehicle Line Profit_0+12 R&amp;O (2)" xfId="239" xr:uid="{5B132AA7-4791-4E7D-8011-D0A25339D687}"/>
    <cellStyle name=" 1" xfId="240" xr:uid="{94993483-473B-42E4-84EF-63646B9C7F52}"/>
    <cellStyle name="_x000a_386grabber=M" xfId="241" xr:uid="{AD020665-E71E-4CFD-929F-6D5956C03F61}"/>
    <cellStyle name="#" xfId="242" xr:uid="{200C0205-52A2-428B-B6E7-C907C28BD55B}"/>
    <cellStyle name="#,##0" xfId="243" xr:uid="{55159FA7-8913-427C-BE3A-80B2BE91403D}"/>
    <cellStyle name="#,##0 2" xfId="4838" xr:uid="{ADA27C6A-4108-4225-A9BA-43BDB756324A}"/>
    <cellStyle name="#,##0 2 2" xfId="5832" xr:uid="{E847B000-4827-4598-B50F-AE66A2065863}"/>
    <cellStyle name="#,##0 2 2 2" xfId="7485" xr:uid="{392D018A-8063-454E-B5A2-92AD75000F8B}"/>
    <cellStyle name="#,##0 2 3" xfId="6030" xr:uid="{909666E2-CD35-44EF-B500-47BB2C3AEE05}"/>
    <cellStyle name="#,##0 2 3 2" xfId="7682" xr:uid="{7BCF362C-8AE8-4E2D-A3B3-CBD2272AA9AF}"/>
    <cellStyle name="#,##0 2 4" xfId="5029" xr:uid="{8035FE14-248C-450D-8427-7D44A4CF0EAE}"/>
    <cellStyle name="#,##0 2 4 2" xfId="6706" xr:uid="{5FC8AC09-EE59-4C04-A365-A581E8B20453}"/>
    <cellStyle name="#,##0 2 5" xfId="5536" xr:uid="{C64127A8-4EA8-4FFD-9A1C-2D9587A24DEE}"/>
    <cellStyle name="#,##0 2 6" xfId="5447" xr:uid="{5E46665E-D807-442A-B8B7-DDEEE8293403}"/>
    <cellStyle name="#,##0 2 6 2" xfId="7111" xr:uid="{BEC84D57-4F7F-4BFD-BEC2-5535D7CD3725}"/>
    <cellStyle name="#,##0 2 7" xfId="5370" xr:uid="{FE8A84E0-832B-4CCE-9A23-AF2F8CE6320F}"/>
    <cellStyle name="#,##0 2 7 2" xfId="7035" xr:uid="{2ED46D37-808B-4D03-8232-5288C64B973E}"/>
    <cellStyle name="#,##0 3" xfId="5431" xr:uid="{6C5275CB-54EA-4AF7-87CF-1790DD2552D1}"/>
    <cellStyle name="#,##0 3 2" xfId="7095" xr:uid="{2A4ED254-BDDD-42A9-AA33-E45EE6F7D6DF}"/>
    <cellStyle name="#,##0 4" xfId="6339" xr:uid="{55AF807B-0123-4C4B-97FB-1666045A8317}"/>
    <cellStyle name="$" xfId="244" xr:uid="{E27DA996-9A0D-4B71-AAAF-CD13252B6518}"/>
    <cellStyle name="$ &amp; ¢" xfId="245" xr:uid="{A3F43671-5A99-4B10-9C11-043C4B374C76}"/>
    <cellStyle name="$ 0 decimal" xfId="246" xr:uid="{8DB40FD0-CFF5-4EE0-B95E-372E2E41B078}"/>
    <cellStyle name="$ 2 decimals" xfId="247" xr:uid="{22B2F419-08A2-47C5-A05A-169405ACA4DA}"/>
    <cellStyle name="$_4-8map" xfId="248" xr:uid="{B4F9775D-A3AB-4E83-AD5A-7C6ADEA71505}"/>
    <cellStyle name="$_4-8map_1-11mapb" xfId="249" xr:uid="{B2BB3C1E-5201-42B8-8206-B0A02C05B089}"/>
    <cellStyle name="$_4-8map_2-10map" xfId="250" xr:uid="{39121C47-27E1-4D86-A996-90D70D502149}"/>
    <cellStyle name="$_4-8map_5-7map" xfId="251" xr:uid="{A5DEDB55-AB8B-4B21-A667-47749FD917F3}"/>
    <cellStyle name="$_4-8map_exchange2" xfId="252" xr:uid="{8F440A0A-4506-4681-8F55-0A4CBEB9DCF8}"/>
    <cellStyle name="$_4-8map_exchange2_5-7map" xfId="253" xr:uid="{A6A0229C-725F-486C-BA06-4A68B84194F9}"/>
    <cellStyle name="$_6-6map" xfId="254" xr:uid="{7B3FB53E-3AF1-4104-9F79-405B6E04ED23}"/>
    <cellStyle name="$_Atos - LBO Model - July 24 v 1" xfId="255" xr:uid="{E1D72F0F-CB02-4A2D-8B66-2346AF57EF4D}"/>
    <cellStyle name="$_Inventory-cash#643" xfId="256" xr:uid="{CBA25891-A711-4D0F-B619-E4A3630FB2A5}"/>
    <cellStyle name="$_LBO Model - Combined Entity - V11" xfId="257" xr:uid="{AAC68759-7031-490C-AC35-F6791E119179}"/>
    <cellStyle name="$_operating model" xfId="258" xr:uid="{21B75384-4896-4679-8172-0D283099244D}"/>
    <cellStyle name="$_review3" xfId="259" xr:uid="{93166DBE-D7E8-48F5-A93F-6B4B6809EDE5}"/>
    <cellStyle name="$_review3_1-11mapb" xfId="260" xr:uid="{9F70FBBF-19A1-4625-A31B-2248532AAEC0}"/>
    <cellStyle name="$_review3_2-10map" xfId="261" xr:uid="{10B833EF-612D-474F-8046-327D8701840C}"/>
    <cellStyle name="$_review3_5-7map" xfId="262" xr:uid="{C4C0073B-6EAF-4752-B3AE-260F9FA2693D}"/>
    <cellStyle name="$_review3_exchange2" xfId="263" xr:uid="{13EAA5DB-91AC-4967-9AF8-E500F0F979D0}"/>
    <cellStyle name="$_review3_exchange2_5-7map" xfId="264" xr:uid="{913440F2-5DB2-4920-B762-F76D28D04F1A}"/>
    <cellStyle name="$0" xfId="265" xr:uid="{392E4F9A-BD82-4437-91CE-F173FBF6B02F}"/>
    <cellStyle name="$0.0" xfId="266" xr:uid="{15B7DE03-1F4E-49E7-BF65-10720D0B28A6}"/>
    <cellStyle name="$0.00" xfId="267" xr:uid="{125F1F14-EF85-4CBC-A133-63B87C9AF54E}"/>
    <cellStyle name="$m" xfId="268" xr:uid="{EEC2B9EA-826F-453C-ABAB-8F286DB03C6A}"/>
    <cellStyle name="$No Dollars" xfId="269" xr:uid="{429573A5-5B47-4F87-9592-D593148542EF}"/>
    <cellStyle name="%" xfId="270" xr:uid="{5D34FA46-FC49-4CB5-81A8-7AB717F7732A}"/>
    <cellStyle name="% [2]" xfId="271" xr:uid="{91FAA618-A642-4E45-A8B9-C2A71D6571F4}"/>
    <cellStyle name="%.00" xfId="272" xr:uid="{BBB6D7DE-CE06-4F9B-A0B3-0B9D89493FFB}"/>
    <cellStyle name="%_Blank LBO Model v15" xfId="273" xr:uid="{4C7AC8D3-E63A-4154-80A0-F3A99D2EC245}"/>
    <cellStyle name="%_Crown Holdings  - LBO Model 1.8 covenants_3 Aug" xfId="274" xr:uid="{1ACD7FAC-7EB3-451F-AF21-4D5FFF595A8A}"/>
    <cellStyle name="%_George - LBO Model 3.1" xfId="275" xr:uid="{7FF444FD-48C0-417C-896E-FBD951364845}"/>
    <cellStyle name="%_Johncom Operating Model" xfId="276" xr:uid="{CA63608C-225E-4F6F-8EA8-94D33E9FE920}"/>
    <cellStyle name="%_JohnCon Standalone LBO Model.March 2006" xfId="277" xr:uid="{0CC0DDAE-7E41-4C34-9CEB-ED73CF0FC8B3}"/>
    <cellStyle name="%_Pay as you Can logic for LBO" xfId="278" xr:uid="{A7C9B0C0-08F0-4DC5-8C00-06B85B501A78}"/>
    <cellStyle name="%_Tarkett (Vestar) LBO Model v 2.0" xfId="279" xr:uid="{9B3BD356-261F-49E7-BCBE-8377E533C615}"/>
    <cellStyle name="%0" xfId="280" xr:uid="{B8BC9C65-001D-4758-861C-983234C9D5A6}"/>
    <cellStyle name="%0.0" xfId="281" xr:uid="{65C64035-FF0A-4868-BB28-EC9638BE24EE}"/>
    <cellStyle name="%1" xfId="282" xr:uid="{071C96F7-A41F-43CC-BAE3-1390DD387FAC}"/>
    <cellStyle name="%2" xfId="283" xr:uid="{75B606E6-4858-46C2-BCB7-9C25E07A3939}"/>
    <cellStyle name="******************************************" xfId="284" xr:uid="{75662F31-5F49-4A15-B9CE-8738DE752EF1}"/>
    <cellStyle name="*TD" xfId="285" xr:uid="{3FC46F1D-A9F9-4791-9EC1-B4D0F23C5694}"/>
    <cellStyle name=",." xfId="286" xr:uid="{E44607C2-649D-4B45-8FA0-760AB180F095}"/>
    <cellStyle name=";;;" xfId="287" xr:uid="{185A2EEE-A804-4A54-B91D-B4060B8C518F}"/>
    <cellStyle name="?" xfId="288" xr:uid="{F389826F-552C-479E-B900-F9430B908BF5}"/>
    <cellStyle name="??" xfId="289" xr:uid="{14B79512-3934-4AB3-BBA6-286E2CFBC80A}"/>
    <cellStyle name="?? [0.00]_ Att. 1- Cover" xfId="290" xr:uid="{DC4D96D4-0A44-47EE-89AE-1960A24345B1}"/>
    <cellStyle name="?? [0]" xfId="291" xr:uid="{FE94766B-5FB0-41E2-A000-11AEDCE617B5}"/>
    <cellStyle name="?_x001d_??%U©÷u&amp;H©÷9_x0008_? s_x000a__x0007__x0001__x0001_" xfId="292" xr:uid="{69C3E69D-8EC1-4D92-BEBD-52FBDDCB9E43}"/>
    <cellStyle name="?_x001d_??%U©÷u&amp;H©÷9_x0008_?_x0009_s_x000a__x0007__x0001__x0001_" xfId="293" xr:uid="{06FEA006-2247-45E4-9D18-0CC760C0FBC6}"/>
    <cellStyle name="???? [0.00]_List-dwg" xfId="294" xr:uid="{58B28694-2845-4332-BCDC-01F0B2CE401E}"/>
    <cellStyle name="?????_VERA" xfId="295" xr:uid="{800F180C-0C01-4A31-A9B1-8046463B5258}"/>
    <cellStyle name="????_List-dwg" xfId="296" xr:uid="{15936DC0-C73D-45B4-8AA3-406D211D33A3}"/>
    <cellStyle name="???[0]_?? DI" xfId="297" xr:uid="{F80F245A-62AB-4081-B9A0-E4BF4EE09C97}"/>
    <cellStyle name="???_?? DI" xfId="298" xr:uid="{734FB7D2-CE9C-409B-A14F-5CF9EF99CDE8}"/>
    <cellStyle name="??[0]_MATL COST ANALYSIS" xfId="299" xr:uid="{AB1DDA73-3265-4A7C-B9E0-2818A130FD4E}"/>
    <cellStyle name="??_(????)??????" xfId="300" xr:uid="{BCB01AAC-F1F5-4C65-8E11-C50EE1BB758A}"/>
    <cellStyle name="??A? [0]_laroux_1_¢¬???¢â? " xfId="301" xr:uid="{F1A8C06D-ACD4-4B0B-AAE8-CD054C8AA273}"/>
    <cellStyle name="??A?_laroux_1_¢¬???¢â? " xfId="302" xr:uid="{D9191667-3D8B-4320-8379-A7434185DA19}"/>
    <cellStyle name="?¡±¢¥?_?¨ù??¢´¢¥_¢¬???¢â? " xfId="303" xr:uid="{BD77D908-9351-4DC8-9645-670662CA1D38}"/>
    <cellStyle name="?ðÇ%U?&amp;H?_x0008_?s_x000a__x0007__x0001__x0001_" xfId="304" xr:uid="{7E15A0E0-B2FC-4F45-9BC7-D8C2BCC533E2}"/>
    <cellStyle name="\" xfId="305" xr:uid="{F436E00C-0C89-4FC5-B479-A2AB2AD917FD}"/>
    <cellStyle name="\_5 YR Plan" xfId="306" xr:uid="{12973053-C15A-4DCA-841B-3E8DBFB0AA2B}"/>
    <cellStyle name="\_bluebirdacdil13" xfId="307" xr:uid="{63E29F26-1FDB-4C40-87F8-033E50219742}"/>
    <cellStyle name="\_Book1" xfId="308" xr:uid="{DAADFAB3-CAAE-4541-A1BF-2B8D763CBEEB}"/>
    <cellStyle name="\_Draft reporting v4 031709" xfId="309" xr:uid="{1FC019A5-21D7-4014-8216-F7550E5430BF}"/>
    <cellStyle name="\_Draft reporting v6 031909" xfId="310" xr:uid="{E53F01DF-63CF-42D3-8407-5F265061ACA4}"/>
    <cellStyle name="\_Draft reporting v7 032509" xfId="311" xr:uid="{2CD81522-FE16-41B9-82B3-90AF9DE07F77}"/>
    <cellStyle name="\_ecomps7w" xfId="312" xr:uid="{E9B9EADB-DA6C-4D1B-B8E7-FE2F7FD2C5B9}"/>
    <cellStyle name="\_equitycomps8" xfId="313" xr:uid="{EFCDDFF3-7B76-4F4D-90A5-F79D1B6CE94F}"/>
    <cellStyle name="\_equitycomps9" xfId="314" xr:uid="{DC9CD405-7E89-490A-9743-B473D6367AC9}"/>
    <cellStyle name="\_houston Isabel" xfId="315" xr:uid="{8BA74C34-F1AE-441A-B39A-D8D1113BBE73}"/>
    <cellStyle name="\_hybrid2" xfId="316" xr:uid="{7E29B450-C85C-4A1D-997D-57EFC239F969}"/>
    <cellStyle name="\_ITXCcomps" xfId="317" xr:uid="{09AB17C7-6CB8-4820-B02C-D91415CA3857}"/>
    <cellStyle name="\_newcomps16" xfId="318" xr:uid="{982EAFEF-3AC3-41DA-A690-1E4D5C7FF931}"/>
    <cellStyle name="\_ravenpitch3" xfId="319" xr:uid="{2AF8A3CC-604D-4BB4-BAB0-5E4A39E9DBD8}"/>
    <cellStyle name="\_ravenpitch32" xfId="320" xr:uid="{60E31051-06AE-4669-A2D1-BA2AF4712D9B}"/>
    <cellStyle name="_%(SignOnly)" xfId="321" xr:uid="{A7CE20B2-2414-4A84-827E-0F3F3773CBDB}"/>
    <cellStyle name="_%(SignSpaceOnly)" xfId="322" xr:uid="{39377347-1FFB-4F9C-BA4E-000666F1889C}"/>
    <cellStyle name="_040920_Benetton_LBOModel_v2" xfId="323" xr:uid="{395DF73E-0D4A-4E07-8552-5220532CBB19}"/>
    <cellStyle name="_05_01_09_Global" xfId="324" xr:uid="{4E894DF2-D3D3-488C-AE82-E3F098E4D86D}"/>
    <cellStyle name="_05_08_09_Global" xfId="325" xr:uid="{2B46FC55-C565-4464-B0AD-8A62D3A984AF}"/>
    <cellStyle name="_05FinRX-1" xfId="326" xr:uid="{D7A20C12-61CA-4777-B712-FFD88FB7ED3B}"/>
    <cellStyle name="_05FinRX-1_Brand Rebuilding Asia" xfId="327" xr:uid="{C3D9B519-8098-44F8-8EC5-378A8C2A1C79}"/>
    <cellStyle name="_05FinRX-1_NonEss Expenses" xfId="328" xr:uid="{232BA4BD-5D8A-41C5-B335-57040DA522E4}"/>
    <cellStyle name="_05FinVC" xfId="329" xr:uid="{94EA9052-6F53-4D7D-8A94-B1A642F4BBE9}"/>
    <cellStyle name="_05FinVC_05FinSU-HK(v.7)-value" xfId="330" xr:uid="{AD2B3294-CAB3-4702-BE3D-3231EE3A4D1B}"/>
    <cellStyle name="_05FinVC_05FinSU-HK(v.7)-value_Brand Rebuilding Asia" xfId="331" xr:uid="{6111EBBD-23ED-49DB-9053-14F59813436D}"/>
    <cellStyle name="_05FinVC_05FinSU-HK(v.7)-value_NonEss Expenses" xfId="332" xr:uid="{D041D2F8-2BD0-449E-A306-7DF582232D7B}"/>
    <cellStyle name="_05FinVC_Brand Rebuilding Asia" xfId="333" xr:uid="{E74DD377-0277-44ED-A7CF-3E883A0DAF32}"/>
    <cellStyle name="_05FinVC_CSH" xfId="334" xr:uid="{10BBF511-EA50-4C35-ADC8-68E6E47FB6BB}"/>
    <cellStyle name="_05FinVC_CSH_Brand Rebuilding Asia" xfId="335" xr:uid="{2C13509D-6951-4157-9284-D677D7D40CB2}"/>
    <cellStyle name="_05FinVC_CSH_NonEss Expenses" xfId="336" xr:uid="{E9226564-E0F0-43FC-BF78-9459F1191183}"/>
    <cellStyle name="_05FinVC_GCH" xfId="337" xr:uid="{7C2A428D-B913-46C0-8A1A-E02F55B801EB}"/>
    <cellStyle name="_05FinVC_GCH_Brand Rebuilding " xfId="338" xr:uid="{EDBFE290-1F49-409F-AB22-278EF4B2F32E}"/>
    <cellStyle name="_05FinVC_GCH_NonEss Expenses" xfId="339" xr:uid="{C1CDEF24-3AD8-4078-AF94-A9C441FADB2F}"/>
    <cellStyle name="_05FinVC_NonEss Expenses" xfId="340" xr:uid="{E082C00F-C8A8-4D8E-ADDE-AA74F3EA7BFF}"/>
    <cellStyle name="_06FinSU" xfId="341" xr:uid="{E07A176B-B874-4CBB-9F96-C920CE1BBFCC}"/>
    <cellStyle name="_06FinSU_Brand Rebuilding " xfId="342" xr:uid="{2536AEEA-3719-40EB-B29C-8C96375CB16D}"/>
    <cellStyle name="_06FinSU_NonEss Expenses" xfId="343" xr:uid="{62F990D4-4D8E-4299-9C5E-08C7237D36D2}"/>
    <cellStyle name="_06FinVC" xfId="344" xr:uid="{E3D30AA6-CD0C-48FB-A7D0-1E5E898AF597}"/>
    <cellStyle name="_06FinVC_Brand Rebuilding Asia" xfId="345" xr:uid="{3DB803FB-FBB2-4543-9430-8F612DFD3D55}"/>
    <cellStyle name="_06FinVC_NonEss Expenses" xfId="346" xr:uid="{13748654-3B6A-4522-B604-11EB3C542CF3}"/>
    <cellStyle name="_081118 Project Mercury - Financial model v58 - FINAL for valuation report" xfId="347" xr:uid="{6CE00F49-0943-46BA-B709-A8B837DE65AA}"/>
    <cellStyle name="_090519_19 Project Green_Model (for GIBC)" xfId="348" xr:uid="{5B21BB1F-C2B3-46D5-9201-162AA523090D}"/>
    <cellStyle name="_091102 Pro forma cap table" xfId="349" xr:uid="{79320C85-527D-462E-AAF6-E3D992317D5A}"/>
    <cellStyle name="_10% haircut 2009and Q4 summary feb19" xfId="350" xr:uid="{CDC691FA-8242-4DC3-9EA8-046255BC5C50}"/>
    <cellStyle name="_2005 Headcount Plan Submission-EMEA" xfId="351" xr:uid="{DF467E3A-8C9A-46F8-80D6-D1693914ED4E}"/>
    <cellStyle name="_2005_2008 EBITDA June by region v1 " xfId="352" xr:uid="{D44A8C82-BBD4-48AD-A131-FAB386FF9D4C}"/>
    <cellStyle name="_2005OP&amp;6+6(RX)-7mths" xfId="353" xr:uid="{9CCC9CB3-88F6-4C6D-8FC7-F4449C481FAC}"/>
    <cellStyle name="_2005OP&amp;6+6(RX)-7mths_05FinSU-HK(v.7)-value" xfId="354" xr:uid="{A0B53B06-2B10-4920-9FD3-ACE4704884B9}"/>
    <cellStyle name="_2005OP&amp;6+6(RX)-7mths_05FinSU-HK(v.7)-value_Brand Rebuilding Asia" xfId="355" xr:uid="{750EE576-73A4-4B9F-AAE9-B41B2DED50D3}"/>
    <cellStyle name="_2005OP&amp;6+6(RX)-7mths_05FinSU-HK(v.7)-value_NonEss Expenses" xfId="356" xr:uid="{6C1121BB-42E7-4D9A-99FA-DF28ADF567EB}"/>
    <cellStyle name="_2005OP&amp;6+6(RX)-7mths_Brand Rebuilding Asia" xfId="357" xr:uid="{CD472EC4-F552-48B1-9CC1-DDCF4BF1AB00}"/>
    <cellStyle name="_2005OP&amp;6+6(RX)-7mths_CSH" xfId="358" xr:uid="{A6B4B84E-42AE-4BF7-890C-4A2806492B65}"/>
    <cellStyle name="_2005OP&amp;6+6(RX)-7mths_CSH_Brand Rebuilding Asia" xfId="359" xr:uid="{FC07A540-B3EC-4181-846A-793C70A2C113}"/>
    <cellStyle name="_2005OP&amp;6+6(RX)-7mths_CSH_NonEss Expenses" xfId="360" xr:uid="{B79C9F89-ACD2-48A9-96B9-7F61D85087A4}"/>
    <cellStyle name="_2005OP&amp;6+6(RX)-7mths_GCH" xfId="361" xr:uid="{27CBA313-A9E3-443E-8452-1AA215058D88}"/>
    <cellStyle name="_2005OP&amp;6+6(RX)-7mths_GCH_Brand Rebuilding " xfId="362" xr:uid="{48FBD306-C3AE-4A86-A701-AB0DD1C5E790}"/>
    <cellStyle name="_2005OP&amp;6+6(RX)-7mths_GCH_NonEss Expenses" xfId="363" xr:uid="{FC486E27-3F27-4060-BEBB-9BEA7E5ACAF6}"/>
    <cellStyle name="_2005OP&amp;6+6(RX)-7mths_NonEss Expenses" xfId="364" xr:uid="{77B8F490-D328-4B28-B2BA-E2D204E48048}"/>
    <cellStyle name="_219 - Sept Fcst" xfId="365" xr:uid="{825125AD-0188-46DA-B3FA-0944A27A6FD4}"/>
    <cellStyle name="_70_DCF WhiteWash_02 July 04_Adj_Without Fiat(1)(1)" xfId="366" xr:uid="{ACE3D720-0B7D-4453-BA94-64CFA0162262}"/>
    <cellStyle name="_8" xfId="367" xr:uid="{38099146-233A-4816-BE78-F9E14FC6FBDE}"/>
    <cellStyle name="_9" xfId="368" xr:uid="{57B0F965-0392-404D-BB30-AEAB5A2CBD29}"/>
    <cellStyle name="_APAC HC BACKUP" xfId="369" xr:uid="{71BF498D-C632-4488-B67B-2EE9393BC03E}"/>
    <cellStyle name="_APAC HC BACKUP_2010 Revised CF Plan Bottom Up" xfId="370" xr:uid="{8D04B8E4-500B-4E14-835A-0BDEC45A5CA0}"/>
    <cellStyle name="_APAC HC BACKUP_5 YR Plan" xfId="371" xr:uid="{2D4BCC0C-6888-4A4A-8A3F-5BAEB20D2F98}"/>
    <cellStyle name="_APAC HC BACKUP_AL New midpoint scenario 1.2B" xfId="372" xr:uid="{D290A20A-B9C7-4F86-9185-B2421441A461}"/>
    <cellStyle name="_APAC HC BACKUP_Clean Scenario 1 3B" xfId="373" xr:uid="{52E46DE4-49B9-467F-A628-F37E6E165BE9}"/>
    <cellStyle name="_APAC HC BACKUP_EXOR Package July 1" xfId="374" xr:uid="{CE185D39-205C-44AC-AA7E-F650A60C6B2C}"/>
    <cellStyle name="_APAC HC BACKUP_Leverage Ratio s3" xfId="375" xr:uid="{ED7EEB05-504D-4565-9879-27F9D643C540}"/>
    <cellStyle name="_APAC HC BACKUP_Monthly Summary" xfId="376" xr:uid="{2EA66806-327D-472A-9C33-23E18D93AD87}"/>
    <cellStyle name="_Asia 2005 HC Plan final" xfId="377" xr:uid="{CE02D33E-5C40-48A8-B149-4853B340BC5A}"/>
    <cellStyle name="_Availability v2" xfId="378" xr:uid="{EB3DF963-E345-49C2-AB18-8A791F762DF5}"/>
    <cellStyle name="_Availability v2_5 YR Plan" xfId="379" xr:uid="{0AE1D79F-5D43-40AC-85A5-BE5207BC9DE9}"/>
    <cellStyle name="_Avusa Operating Model v18" xfId="380" xr:uid="{DDE4572E-D208-472D-BAC2-3043B0981826}"/>
    <cellStyle name="_Avusa SOTP v1" xfId="381" xr:uid="{61813878-11CE-449A-952D-26A024B42F86}"/>
    <cellStyle name="_Benetton Model (2003-01-12) v9" xfId="382" xr:uid="{4A12F7E0-6EC0-4AA2-B723-4A0FC97575CB}"/>
    <cellStyle name="_Blank LBO Model v15" xfId="383" xr:uid="{8330C518-5717-4808-A598-A77823FBFD22}"/>
    <cellStyle name="_bodOperating Template v2" xfId="384" xr:uid="{406A3793-30B7-41EF-BFB3-09EF837CA4CA}"/>
    <cellStyle name="_Book1" xfId="385" xr:uid="{8B19B691-6593-4D5D-B496-68A4F80F6F9C}"/>
    <cellStyle name="_Book1_1" xfId="386" xr:uid="{ADE751E2-7FFE-4764-9CEC-B3038539256B}"/>
    <cellStyle name="_Book2" xfId="387" xr:uid="{099599BA-B2E8-43C4-917D-1D1314F24853}"/>
    <cellStyle name="_Book3" xfId="388" xr:uid="{F2F234CC-3840-42F9-9CB5-9C3BF4A8899E}"/>
    <cellStyle name="_Book3_1" xfId="389" xr:uid="{55108DE6-B483-4300-A3D5-784F740CB908}"/>
    <cellStyle name="_BPAsia09" xfId="390" xr:uid="{09EC2748-E730-4371-8624-1FF5D9CA5F7A}"/>
    <cellStyle name="_BPDetCWCA09 20090212" xfId="391" xr:uid="{6954F3F2-C392-41D3-8168-D2888EEDC2B8}"/>
    <cellStyle name="_Brand Rebuilding Asia" xfId="392" xr:uid="{FBFE14FA-CB13-44CA-B90F-38C1331FEADA}"/>
    <cellStyle name="_BTI Financial forecasts" xfId="393" xr:uid="{60A60A68-B2F9-46F7-AF61-41D2C4006332}"/>
    <cellStyle name="_Casino LBO Model - 28 June" xfId="394" xr:uid="{25B8D6D8-3A85-475E-8E41-71E5094D2062}"/>
    <cellStyle name="_CASINO LBO Model - April 21" xfId="395" xr:uid="{CD39FF1B-70D4-45C9-9171-F77C5D15496C}"/>
    <cellStyle name="_Cat NOA_2006" xfId="396" xr:uid="{F70B4A8D-FF88-4AF5-8E38-471BCFCD5CAF}"/>
    <cellStyle name="_Champion - LBO Model 1.0" xfId="397" xr:uid="{C3D230CA-E2D8-4CB7-A593-2A110EA39D1F}"/>
    <cellStyle name="_Checking - cty" xfId="398" xr:uid="{3584D714-B46C-4C98-BF4F-C13EE91FE131}"/>
    <cellStyle name="_Checking - cty_Brand Rebuilding " xfId="399" xr:uid="{5825BD73-5794-446C-92B6-5FA843518429}"/>
    <cellStyle name="_Checking - cty_NonEss Expenses" xfId="400" xr:uid="{682466C7-1CC9-4E8B-9AFF-C5CF687E8508}"/>
    <cellStyle name="_COGS_STD" xfId="401" xr:uid="{54B0D21E-C030-4AE9-9D7D-B11584FC0BE7}"/>
    <cellStyle name="_Column1" xfId="402" xr:uid="{70EB4CC1-B738-4B0E-A33A-A34AB5D47F9A}"/>
    <cellStyle name="_Column1_021202External Sales 2000_2001_DA_feste Werte" xfId="403" xr:uid="{C1AC8066-0568-4F66-BEDD-74F49383683B}"/>
    <cellStyle name="_Column1_Balance Sheet_restl. Eurowährungsl._Gruppe" xfId="404" xr:uid="{417244F0-F8A4-4286-AB4A-77B394266816}"/>
    <cellStyle name="_Column1_Konsolidierungsbeträge" xfId="405" xr:uid="{C0B7B1E5-3AC7-4B1D-A8AF-DB073A633162}"/>
    <cellStyle name="_Column2" xfId="406" xr:uid="{2127AD4A-5C5A-4DFB-9326-EC193365724A}"/>
    <cellStyle name="_Column2_021202External Sales 2000_2001_DA_feste Werte" xfId="407" xr:uid="{A1A82AD3-0A8C-49A3-9718-3BAC4397BDF7}"/>
    <cellStyle name="_Column2_Balance Sheet_restl. Eurowährungsl._Gruppe" xfId="408" xr:uid="{1B3F702F-7EA9-4C8A-B54E-5F659D810DCD}"/>
    <cellStyle name="_Column2_Konsolidierungsbeträge" xfId="409" xr:uid="{12C59D23-8512-4B5F-8DA0-AC2BD714D167}"/>
    <cellStyle name="_Column3" xfId="410" xr:uid="{EE48AE0F-31AC-45CB-B749-43C4C6754C33}"/>
    <cellStyle name="_Column3_021202External Sales 2000_2001_DA_feste Werte" xfId="411" xr:uid="{42BF7C6E-0E0A-46F9-B5C7-F5CD855FAA00}"/>
    <cellStyle name="_Column3_Balance Sheet_restl. Eurowährungsl._Gruppe" xfId="412" xr:uid="{BAA57A8A-C2D8-4FBB-89FD-764A67B75729}"/>
    <cellStyle name="_Column3_Konsolidierungsbeträge" xfId="413" xr:uid="{02847A99-4200-44BB-B48E-E737EFD71485}"/>
    <cellStyle name="_Column4" xfId="414" xr:uid="{C7734857-8A3F-40B4-B049-6B97B2BE4B8E}"/>
    <cellStyle name="_Column4_021202External Sales 2000_2001_DA_feste Werte" xfId="415" xr:uid="{61642DA6-8175-4749-91A5-A7B0E9109046}"/>
    <cellStyle name="_Column4_Balance Sheet_restl. Eurowährungsl._Gruppe" xfId="416" xr:uid="{760FC5C1-D6C7-4F22-9C6B-9C350A853C54}"/>
    <cellStyle name="_Column4_Konsolidierungsbeträge" xfId="417" xr:uid="{D1C6B344-DB11-48A9-B3A1-A27145127490}"/>
    <cellStyle name="_Column5" xfId="418" xr:uid="{9F2C58E8-7BC3-4FAC-B42E-55FEEF38E62F}"/>
    <cellStyle name="_Column5_021202External Sales 2000_2001_DA_feste Werte" xfId="419" xr:uid="{696CE48A-23E5-45AA-9E11-010B4FBD4DF5}"/>
    <cellStyle name="_Column5_Balance Sheet_restl. Eurowährungsl._Gruppe" xfId="420" xr:uid="{F93802A0-6480-4A2B-B889-5966367DB8D3}"/>
    <cellStyle name="_Column5_Konsolidierungsbeträge" xfId="421" xr:uid="{09D2AE63-0743-4999-BD8C-DF36046D1D01}"/>
    <cellStyle name="_Column6" xfId="422" xr:uid="{1B23B96D-AA69-4B79-8154-A4E301D5B3F7}"/>
    <cellStyle name="_Column6_021202External Sales 2000_2001_DA_feste Werte" xfId="423" xr:uid="{1767F482-2485-4D9A-A38C-20B564884B23}"/>
    <cellStyle name="_Column6_Balance Sheet_restl. Eurowährungsl._Gruppe" xfId="424" xr:uid="{753E8AAE-6994-43EF-8A7A-8A45517A63F8}"/>
    <cellStyle name="_Column6_Konsolidierungsbeträge" xfId="425" xr:uid="{9079EB5B-2FA2-4DCD-862D-15D2ECC201F0}"/>
    <cellStyle name="_Column7" xfId="426" xr:uid="{CB1CA03F-05A2-4D6D-AB37-105C20858D4A}"/>
    <cellStyle name="_Column7_021202External Sales 2000_2001_DA_feste Werte" xfId="427" xr:uid="{8F3E9D67-6A82-423F-AD51-73B599C9ACE7}"/>
    <cellStyle name="_Column7_Balance Sheet_restl. Eurowährungsl._Gruppe" xfId="428" xr:uid="{B7C23AB3-7F94-4CBA-A4EB-6CCF66C2097F}"/>
    <cellStyle name="_Column7_Konsolidierungsbeträge" xfId="429" xr:uid="{9E51A926-B418-4602-A0D4-BC470BAA1625}"/>
    <cellStyle name="_Column8" xfId="430" xr:uid="{A56CCFC1-9714-4801-AC96-A4A63E2960C6}"/>
    <cellStyle name="_Column8_021202External Sales 2000_2001_DA_feste Werte" xfId="431" xr:uid="{87238ADF-20D4-4609-B48C-AA2D03F2758C}"/>
    <cellStyle name="_Column8_Balance Sheet_restl. Eurowährungsl._Gruppe" xfId="432" xr:uid="{43EF7F7F-DB5D-4558-B1CA-6352F60B4D53}"/>
    <cellStyle name="_Column8_Konsolidierungsbeträge" xfId="433" xr:uid="{E9F35520-82E2-4016-B745-A0C5FEECA000}"/>
    <cellStyle name="_Comma" xfId="434" xr:uid="{BE4E7DD1-43E1-432D-A550-415E8576AB2C}"/>
    <cellStyle name="_Comma_Marks 2-21-02 v4" xfId="435" xr:uid="{47483691-E0CF-428D-904C-5315468AC407}"/>
    <cellStyle name="_Comma_Mervyn's Rent Info" xfId="436" xr:uid="{A256EB04-B610-40E1-AD5D-B45733091242}"/>
    <cellStyle name="_Comma_Prepayment Penalties" xfId="437" xr:uid="{702645EF-30D1-4001-BFB1-102B000DE1C8}"/>
    <cellStyle name="_Comma_Project Regal Portfolio Valuation Model - Eileen'strial" xfId="438" xr:uid="{8665A7BB-C2C7-4F3B-9058-72F1848D6139}"/>
    <cellStyle name="_Copy of Covenants" xfId="439" xr:uid="{80752693-916D-4A36-AC9F-356D98589112}"/>
    <cellStyle name="_Corporate Roll Up Recolciliation - OLS" xfId="440" xr:uid="{AEFA8AFC-A82F-4788-A1BF-055948830B29}"/>
    <cellStyle name="_Cost Savings 75% pullforward gone" xfId="441" xr:uid="{111F4FAC-0D4C-4E67-A8C0-70920C0A5DEE}"/>
    <cellStyle name="_Covenants" xfId="442" xr:uid="{A8C3D580-BB7E-4D26-8240-EF6B795415F2}"/>
    <cellStyle name="_Covenants - Audit Comm" xfId="443" xr:uid="{3EE3B2BF-1954-47CD-AFBF-B48CADEC9AA4}"/>
    <cellStyle name="_Covenants (version 1)" xfId="444" xr:uid="{6A914D99-E597-4256-AC07-8A15DFA3E7ED}"/>
    <cellStyle name="_Crown - BOQ" xfId="445" xr:uid="{6ED1238C-00E1-4DFA-B630-56F695DFB9AB}"/>
    <cellStyle name="_Crown Holdings  - LBO Model 1.8 covenants_3 Aug" xfId="446" xr:uid="{CE200946-8DCE-43FD-B890-474A330ECD06}"/>
    <cellStyle name="_Currency" xfId="447" xr:uid="{FB00719E-2304-465D-BA08-586E783EF5FB}"/>
    <cellStyle name="_Currency_Availability v2" xfId="448" xr:uid="{ECED732D-1FAA-4D08-8C21-EB3E4ED5A0DB}"/>
    <cellStyle name="_Currency_Casino LBO Model - 28 June" xfId="449" xr:uid="{E34CCB01-F422-432B-BCD4-C4C02EB066FA}"/>
    <cellStyle name="_Currency_CASINO LBO Model - April 21" xfId="450" xr:uid="{F6867E16-C410-4AE2-85BE-97C043ECC92A}"/>
    <cellStyle name="_Currency_George - LBO Model 3.1" xfId="451" xr:uid="{26EA5311-732E-44A9-BCFB-F8A51DAF5412}"/>
    <cellStyle name="_Currency_George - LBO Model 3.1_Casino LBO Model - 28 June" xfId="452" xr:uid="{1D85FC0D-BFCC-4C71-8C94-0455E0897E62}"/>
    <cellStyle name="_Currency_Marks 2-21-02 v4" xfId="453" xr:uid="{E9F5792F-68C0-4973-B0E8-A81E73EF2677}"/>
    <cellStyle name="_Currency_Mervyn's Rent Info" xfId="454" xr:uid="{FD2F059F-C696-432E-AC4B-1721AE1CC58D}"/>
    <cellStyle name="_Currency_Novartis-Roche 0805 v2" xfId="455" xr:uid="{E9029D2E-6CA4-4708-9FFD-C82CD33B9BF8}"/>
    <cellStyle name="_Currency_Prepayment Penalties" xfId="456" xr:uid="{7E1A4A7C-CA7A-4D5F-9928-C47DD40FD523}"/>
    <cellStyle name="_Currency_Project Regal Portfolio Valuation Model - Eileen'strial" xfId="457" xr:uid="{CFE338C9-37E3-4BD9-9006-8996D4E2702E}"/>
    <cellStyle name="_Currency_SG - LBO Model - April 20 (Asset sale)" xfId="458" xr:uid="{A204CA8B-F4FD-404F-9C89-40087D814885}"/>
    <cellStyle name="_Currency_Tarkett (Vestar) LBO Model v 2.0" xfId="459" xr:uid="{5FFB4730-B10C-4491-8248-23A1C9209BB6}"/>
    <cellStyle name="_Currency_temp templates2" xfId="460" xr:uid="{BFAA1057-FDA4-42D5-B059-8EC88B2EC8A4}"/>
    <cellStyle name="_Currency_wacc bb final" xfId="461" xr:uid="{1F1AC934-BD12-437D-9185-EC8434BDF05C}"/>
    <cellStyle name="_Currency_wacc bb final_Casino LBO Model - 28 June" xfId="462" xr:uid="{58E3A10A-CB55-469F-8485-AB952C1EC47E}"/>
    <cellStyle name="_Currency_wacc bb final_CASINO LBO Model - April 21" xfId="463" xr:uid="{5B81910D-8ADB-4913-8D04-4EF6F3A822FB}"/>
    <cellStyle name="_Currency_wacc bb final_SG - LBO Model - April 20 (Asset sale)" xfId="464" xr:uid="{B1981CB9-C963-440C-B960-F915CB74A168}"/>
    <cellStyle name="_Currency_wacc bb final_Tarkett (Vestar) LBO Model v 2.0" xfId="465" xr:uid="{0349F092-0469-4FF5-9413-CC18490A7215}"/>
    <cellStyle name="_Currency_wacc bb final_temp templates2" xfId="466" xr:uid="{1ACD9644-5BE8-40A2-B680-998528D1E4AF}"/>
    <cellStyle name="_Currency0" xfId="467" xr:uid="{1EDB119C-C501-439D-A1D7-1FBA550B7C1E}"/>
    <cellStyle name="_CurrencySpace" xfId="468" xr:uid="{7BC70D3A-A96A-4FCF-8FD1-A876BF145395}"/>
    <cellStyle name="_CurrencySpace_Babies LBO_03-10-05_CBZ" xfId="469" xr:uid="{5833DC04-F3FC-463F-BD9F-A2DDDD8C1C27}"/>
    <cellStyle name="_CurrencySpace_Book6" xfId="470" xr:uid="{74762110-426C-445C-A09E-EE3DDE56FB93}"/>
    <cellStyle name="_CurrencySpace_Marks 2-21-02 v4" xfId="471" xr:uid="{1B585AAD-971B-4A36-A478-2B1FC37F8DDD}"/>
    <cellStyle name="_CurrencySpace_Mervyn's Rent Info" xfId="472" xr:uid="{661CE236-9A9B-416D-9911-7DE3F99C3357}"/>
    <cellStyle name="_CurrencySpace_Prepayment Penalties" xfId="473" xr:uid="{CDF627BD-D179-44EB-8F24-5AACB1EC3491}"/>
    <cellStyle name="_CurrencySpace_Project Regal Portfolio Valuation Model - Eileen'strial" xfId="474" xr:uid="{DFCB1906-26D9-49DD-B6F4-6843244C987F}"/>
    <cellStyle name="_CurrencySpace_TRU Model (28 Jan 2005)" xfId="475" xr:uid="{B1B7F22F-AC7A-4B3B-AA9C-E3B6D3E672EC}"/>
    <cellStyle name="_CurrencySpace_TRU NA Operating Buildup_v20_01-24-05" xfId="476" xr:uid="{2A225FA5-22C3-403E-A69A-4EF0E1657FFB}"/>
    <cellStyle name="_Data" xfId="477" xr:uid="{1365DAA0-F66A-4A20-AD65-2E2F24295CAA}"/>
    <cellStyle name="_Data 10" xfId="5102" xr:uid="{EF1CD9DE-9509-49BB-BBE2-4E2A78A3FA22}"/>
    <cellStyle name="_Data 10 2" xfId="6776" xr:uid="{66463EC9-29F0-425F-82D0-2A090C5DCAA4}"/>
    <cellStyle name="_Data 11" xfId="5128" xr:uid="{6632B436-6766-41A7-98DE-511B15C88CC1}"/>
    <cellStyle name="_Data 11 2" xfId="6802" xr:uid="{D02B65EC-E025-497C-99A8-A46E3408D03A}"/>
    <cellStyle name="_Data 12" xfId="5138" xr:uid="{31F71D7A-8217-4EFA-96CC-321C506E3C92}"/>
    <cellStyle name="_Data 12 2" xfId="6812" xr:uid="{5A794633-0C90-483B-BDF3-1C43A4D7A741}"/>
    <cellStyle name="_Data 2" xfId="4731" xr:uid="{F8A0B820-D474-4FAB-8F01-91F5090A8D47}"/>
    <cellStyle name="_Data 2 2" xfId="5726" xr:uid="{90CAEC88-5B84-47B7-B710-453D585422EE}"/>
    <cellStyle name="_Data 2 2 2" xfId="7379" xr:uid="{5D6CC507-7BF9-4F72-8181-07080873EC18}"/>
    <cellStyle name="_Data 2 3" xfId="5949" xr:uid="{044A7B8D-4A56-4922-8D55-46C06DE74507}"/>
    <cellStyle name="_Data 2 3 2" xfId="7602" xr:uid="{835ED4BE-A61E-456A-AEF0-4D181F22FF2E}"/>
    <cellStyle name="_Data 2 4" xfId="5566" xr:uid="{70DEE5B5-21A7-409A-8CD5-EDEFA1315553}"/>
    <cellStyle name="_Data 2 4 2" xfId="7229" xr:uid="{4362B9C2-A811-46FC-BCC8-865427139314}"/>
    <cellStyle name="_Data 2 5" xfId="6241" xr:uid="{C32D75F8-7A39-46D5-9D13-73E6E9B62FFE}"/>
    <cellStyle name="_Data 2 5 2" xfId="7888" xr:uid="{91562E32-1424-4ACD-89C5-075AA817E698}"/>
    <cellStyle name="_Data 2 6" xfId="6422" xr:uid="{AC4058D6-54AE-4DDD-A3FE-B41BCA642A3B}"/>
    <cellStyle name="_Data 3" xfId="4813" xr:uid="{706F6FEE-AA6A-4F83-A587-61742F423018}"/>
    <cellStyle name="_Data 3 2" xfId="5807" xr:uid="{00575544-5066-4CE5-95A5-BC9BA24E7C0C}"/>
    <cellStyle name="_Data 3 2 2" xfId="7460" xr:uid="{EC52D348-190E-49BC-95E5-40F76F45CF15}"/>
    <cellStyle name="_Data 3 3" xfId="6007" xr:uid="{23CFDE81-CB3A-47B2-B9B8-DD516CCB66C5}"/>
    <cellStyle name="_Data 3 3 2" xfId="7659" xr:uid="{E54BB512-9DAF-4E84-AE0C-42C9524596E0}"/>
    <cellStyle name="_Data 3 4" xfId="5557" xr:uid="{751944F5-E7C0-45D1-BF56-0D55436924C2}"/>
    <cellStyle name="_Data 3 4 2" xfId="7220" xr:uid="{ECB0FC36-1AD3-4656-B5A2-6922E5DB5FB0}"/>
    <cellStyle name="_Data 3 5" xfId="6283" xr:uid="{D6B4ADFB-1B4B-438B-B6E7-D167DCADC40A}"/>
    <cellStyle name="_Data 3 5 2" xfId="7930" xr:uid="{60D3CBE5-C59A-4CC0-A97F-822ABAF0E6FF}"/>
    <cellStyle name="_Data 3 6" xfId="6502" xr:uid="{F3574A15-46B5-4314-916E-93D7D9DF1829}"/>
    <cellStyle name="_Data 4" xfId="4955" xr:uid="{2B79896B-150B-4561-926B-5B468B2BE56B}"/>
    <cellStyle name="_Data 4 2" xfId="5945" xr:uid="{51D963DA-046C-4ED1-B3D1-A58D688417C2}"/>
    <cellStyle name="_Data 4 2 2" xfId="7598" xr:uid="{8A674450-6E8E-4D6D-A47B-CAD2A4F4B40A}"/>
    <cellStyle name="_Data 4 3" xfId="6118" xr:uid="{5859F053-E0D1-4DAE-A015-7EC8C39B2FBC}"/>
    <cellStyle name="_Data 4 3 2" xfId="7769" xr:uid="{AA32302E-88DB-4644-A71B-2E4771D58B2E}"/>
    <cellStyle name="_Data 4 4" xfId="6239" xr:uid="{FF1152D5-1BC7-4543-9DC3-368DA9ADF885}"/>
    <cellStyle name="_Data 4 4 2" xfId="7886" xr:uid="{4AFD567A-13C0-4266-B96D-522F6BA0F2B1}"/>
    <cellStyle name="_Data 4 5" xfId="6638" xr:uid="{C9553671-4549-444B-A0BB-78C566621BCB}"/>
    <cellStyle name="_Data 5" xfId="5048" xr:uid="{6A2D0B00-31E6-4E55-8395-211EBE85F515}"/>
    <cellStyle name="_Data 5 2" xfId="6724" xr:uid="{8BDA403B-2547-4536-B427-9B715D4E9B43}"/>
    <cellStyle name="_Data 6" xfId="5576" xr:uid="{19BF4CC0-B466-4668-8E07-8D274700776E}"/>
    <cellStyle name="_Data 6 2" xfId="7239" xr:uid="{36E67D77-FF94-43D7-A78C-44EBC0854627}"/>
    <cellStyle name="_Data 7" xfId="5572" xr:uid="{EEE4AA55-ABAD-4DF8-88DC-EB64EC73606C}"/>
    <cellStyle name="_Data 7 2" xfId="7235" xr:uid="{FB04CEE8-0754-4ACD-A00B-06A949F68E7E}"/>
    <cellStyle name="_Data 8" xfId="5054" xr:uid="{C4715282-2ED1-4B88-AC23-17C35C4D9ACD}"/>
    <cellStyle name="_Data 8 2" xfId="6729" xr:uid="{3014007C-6650-4E63-B747-A5E6A17E711B}"/>
    <cellStyle name="_Data 9" xfId="5468" xr:uid="{63D42284-D0B1-48E1-BAB3-6CDACA6EC21C}"/>
    <cellStyle name="_Data 9 2" xfId="7132" xr:uid="{C48280AA-AB66-4E27-8494-9BAADEF3AB97}"/>
    <cellStyle name="_Data_021202External Sales 2000_2001_DA_feste Werte" xfId="478" xr:uid="{21C88615-D41D-47EA-A914-B4A3EB3329E2}"/>
    <cellStyle name="_Data_021202External Sales 2000_2001_DA_feste Werte 10" xfId="5103" xr:uid="{C198537B-CECF-4C9F-AF7E-4C412F2C9D4D}"/>
    <cellStyle name="_Data_021202External Sales 2000_2001_DA_feste Werte 10 2" xfId="6777" xr:uid="{7DACC653-73ED-42B1-B752-73F9E5D1C877}"/>
    <cellStyle name="_Data_021202External Sales 2000_2001_DA_feste Werte 11" xfId="5129" xr:uid="{078A64CC-35C1-45C0-8C9D-DD08D36702DA}"/>
    <cellStyle name="_Data_021202External Sales 2000_2001_DA_feste Werte 11 2" xfId="6803" xr:uid="{234EFE8E-BB3B-4ED6-B8C9-79BA7AFB33EF}"/>
    <cellStyle name="_Data_021202External Sales 2000_2001_DA_feste Werte 12" xfId="5139" xr:uid="{4F6AC149-EE1E-4D78-A626-C0E69DBC70A2}"/>
    <cellStyle name="_Data_021202External Sales 2000_2001_DA_feste Werte 12 2" xfId="6813" xr:uid="{A2D3378F-F968-47A7-81E2-706007776573}"/>
    <cellStyle name="_Data_021202External Sales 2000_2001_DA_feste Werte 2" xfId="4732" xr:uid="{67682636-D9D9-4097-A322-1A379467E4F7}"/>
    <cellStyle name="_Data_021202External Sales 2000_2001_DA_feste Werte 2 2" xfId="5727" xr:uid="{B53E7F12-1F10-4099-80AD-D0BF662AB163}"/>
    <cellStyle name="_Data_021202External Sales 2000_2001_DA_feste Werte 2 2 2" xfId="7380" xr:uid="{F8502504-A38B-4692-91BE-D50F80C77E28}"/>
    <cellStyle name="_Data_021202External Sales 2000_2001_DA_feste Werte 2 3" xfId="5950" xr:uid="{922A3CD1-E39F-49EE-B6BC-A13A4B667ECF}"/>
    <cellStyle name="_Data_021202External Sales 2000_2001_DA_feste Werte 2 3 2" xfId="7603" xr:uid="{82ABB90D-A629-4CC9-8711-D25F5F3EABE5}"/>
    <cellStyle name="_Data_021202External Sales 2000_2001_DA_feste Werte 2 4" xfId="5393" xr:uid="{92552DEB-CE74-40A3-9199-B7DE582A2EBA}"/>
    <cellStyle name="_Data_021202External Sales 2000_2001_DA_feste Werte 2 4 2" xfId="7057" xr:uid="{00F6E7A3-F50F-4778-B421-E1AFC38ACA3B}"/>
    <cellStyle name="_Data_021202External Sales 2000_2001_DA_feste Werte 2 5" xfId="6242" xr:uid="{CFFCC547-BFBF-40B8-AE4A-7137C1E776D0}"/>
    <cellStyle name="_Data_021202External Sales 2000_2001_DA_feste Werte 2 5 2" xfId="7889" xr:uid="{B205F7C0-40E5-4CB0-B63F-A33205B82655}"/>
    <cellStyle name="_Data_021202External Sales 2000_2001_DA_feste Werte 2 6" xfId="6423" xr:uid="{E22401F6-A004-438A-A878-4CA82F5B36F8}"/>
    <cellStyle name="_Data_021202External Sales 2000_2001_DA_feste Werte 3" xfId="4812" xr:uid="{266B1890-10BB-45CB-98C3-BEDE3380FAD1}"/>
    <cellStyle name="_Data_021202External Sales 2000_2001_DA_feste Werte 3 2" xfId="5806" xr:uid="{A187BFBF-45C8-4F6E-8D52-93DF40F28A8F}"/>
    <cellStyle name="_Data_021202External Sales 2000_2001_DA_feste Werte 3 2 2" xfId="7459" xr:uid="{3E9E5F06-9450-4B4A-A306-45DDBADB7A2F}"/>
    <cellStyle name="_Data_021202External Sales 2000_2001_DA_feste Werte 3 3" xfId="6006" xr:uid="{699D1D3A-8DED-4A0C-B618-F6A0C7847642}"/>
    <cellStyle name="_Data_021202External Sales 2000_2001_DA_feste Werte 3 3 2" xfId="7658" xr:uid="{ADCB81AD-C2C9-48CA-8F3B-D92D004C0C57}"/>
    <cellStyle name="_Data_021202External Sales 2000_2001_DA_feste Werte 3 4" xfId="5636" xr:uid="{CD96B135-FAEF-432F-A220-597CC6E93253}"/>
    <cellStyle name="_Data_021202External Sales 2000_2001_DA_feste Werte 3 4 2" xfId="7296" xr:uid="{258B38B4-EFB4-42F6-9CAF-2A1751B148CC}"/>
    <cellStyle name="_Data_021202External Sales 2000_2001_DA_feste Werte 3 5" xfId="6282" xr:uid="{24C91AEB-9BBC-4400-BAD5-338CDAD7D445}"/>
    <cellStyle name="_Data_021202External Sales 2000_2001_DA_feste Werte 3 5 2" xfId="7929" xr:uid="{D02108B0-372B-4E22-A8A6-29433D53BEC5}"/>
    <cellStyle name="_Data_021202External Sales 2000_2001_DA_feste Werte 3 6" xfId="6501" xr:uid="{3FA65806-E1BB-49A0-B62B-471A7A0E3AC5}"/>
    <cellStyle name="_Data_021202External Sales 2000_2001_DA_feste Werte 4" xfId="4954" xr:uid="{50E733B7-5E43-483F-9478-612673E8BD0A}"/>
    <cellStyle name="_Data_021202External Sales 2000_2001_DA_feste Werte 4 2" xfId="5944" xr:uid="{02341583-3FCE-4094-B0A2-60C2CD72CCAB}"/>
    <cellStyle name="_Data_021202External Sales 2000_2001_DA_feste Werte 4 2 2" xfId="7597" xr:uid="{234BF7BE-2970-467F-82BB-AF874D5BA342}"/>
    <cellStyle name="_Data_021202External Sales 2000_2001_DA_feste Werte 4 3" xfId="6117" xr:uid="{B17AE1F7-7F2C-4068-9E32-FC9EC0D0603E}"/>
    <cellStyle name="_Data_021202External Sales 2000_2001_DA_feste Werte 4 3 2" xfId="7768" xr:uid="{AE51AE0D-362E-47B8-9753-6164D1BBCB60}"/>
    <cellStyle name="_Data_021202External Sales 2000_2001_DA_feste Werte 4 4" xfId="6238" xr:uid="{7BD2BBD9-E351-4804-9BD3-2E12C06F0688}"/>
    <cellStyle name="_Data_021202External Sales 2000_2001_DA_feste Werte 4 4 2" xfId="7885" xr:uid="{239F5825-1646-4D8C-A044-10A1C57E149B}"/>
    <cellStyle name="_Data_021202External Sales 2000_2001_DA_feste Werte 4 5" xfId="6637" xr:uid="{EFA7535E-9545-43D7-8887-ECE888F7B257}"/>
    <cellStyle name="_Data_021202External Sales 2000_2001_DA_feste Werte 5" xfId="5049" xr:uid="{37902ACC-8F46-4044-AD72-2AF0AB55404B}"/>
    <cellStyle name="_Data_021202External Sales 2000_2001_DA_feste Werte 5 2" xfId="6725" xr:uid="{152822D8-4650-4AFE-8E09-46FA7E69FF83}"/>
    <cellStyle name="_Data_021202External Sales 2000_2001_DA_feste Werte 6" xfId="5575" xr:uid="{2875BEDC-FCE4-43E6-AACE-FF63B59E24F4}"/>
    <cellStyle name="_Data_021202External Sales 2000_2001_DA_feste Werte 6 2" xfId="7238" xr:uid="{B05E6B12-B53A-4B59-A8C4-A829BE33D49F}"/>
    <cellStyle name="_Data_021202External Sales 2000_2001_DA_feste Werte 7" xfId="5571" xr:uid="{4C8A4B67-B2A5-4999-B82A-AC7117DC9FD8}"/>
    <cellStyle name="_Data_021202External Sales 2000_2001_DA_feste Werte 7 2" xfId="7234" xr:uid="{80F87F4D-25BE-4A10-A685-730C7EECC0D2}"/>
    <cellStyle name="_Data_021202External Sales 2000_2001_DA_feste Werte 8" xfId="5055" xr:uid="{434A4DC8-00C3-4AF2-B184-FD33154D5A51}"/>
    <cellStyle name="_Data_021202External Sales 2000_2001_DA_feste Werte 8 2" xfId="6730" xr:uid="{854183D5-C2A8-4420-AC95-8D42BF3323D2}"/>
    <cellStyle name="_Data_021202External Sales 2000_2001_DA_feste Werte 9" xfId="5467" xr:uid="{7DFF35EC-4942-4920-BC0B-8AEF19B137D3}"/>
    <cellStyle name="_Data_021202External Sales 2000_2001_DA_feste Werte 9 2" xfId="7131" xr:uid="{168E973B-C7D0-4525-8EA9-F157651B4743}"/>
    <cellStyle name="_Data_Balance Sheet_restl. Eurowährungsl._Gruppe" xfId="479" xr:uid="{F25F968E-5992-4289-A17C-170C9C27120A}"/>
    <cellStyle name="_Data_Balance Sheet_restl. Eurowährungsl._Gruppe 10" xfId="5104" xr:uid="{45074367-4855-4A1E-A01C-52A971CE5B69}"/>
    <cellStyle name="_Data_Balance Sheet_restl. Eurowährungsl._Gruppe 10 2" xfId="6778" xr:uid="{7888BB91-E88E-456B-BEDA-86BDCA486051}"/>
    <cellStyle name="_Data_Balance Sheet_restl. Eurowährungsl._Gruppe 11" xfId="5130" xr:uid="{EBB7F619-EC57-436D-AD75-CE5C58ECE201}"/>
    <cellStyle name="_Data_Balance Sheet_restl. Eurowährungsl._Gruppe 11 2" xfId="6804" xr:uid="{C0F6054A-6412-4156-B1DC-27F131748510}"/>
    <cellStyle name="_Data_Balance Sheet_restl. Eurowährungsl._Gruppe 12" xfId="5140" xr:uid="{A9665C41-D7D6-47EE-8BA8-B5968AB688C7}"/>
    <cellStyle name="_Data_Balance Sheet_restl. Eurowährungsl._Gruppe 12 2" xfId="6814" xr:uid="{62E5CF51-D0C9-4A6A-965A-80D2F8CB29EC}"/>
    <cellStyle name="_Data_Balance Sheet_restl. Eurowährungsl._Gruppe 2" xfId="4733" xr:uid="{88EF541A-FFAF-4942-8551-B9958C951F9D}"/>
    <cellStyle name="_Data_Balance Sheet_restl. Eurowährungsl._Gruppe 2 2" xfId="5728" xr:uid="{32F79866-1A36-44D2-922F-8758E813AD79}"/>
    <cellStyle name="_Data_Balance Sheet_restl. Eurowährungsl._Gruppe 2 2 2" xfId="7381" xr:uid="{C95F3D7E-9D04-482E-BC07-2337A0ABEFF8}"/>
    <cellStyle name="_Data_Balance Sheet_restl. Eurowährungsl._Gruppe 2 3" xfId="5951" xr:uid="{A1508D43-25E0-4BE0-AA84-70531571FD2B}"/>
    <cellStyle name="_Data_Balance Sheet_restl. Eurowährungsl._Gruppe 2 3 2" xfId="7604" xr:uid="{634D8687-B516-4FBB-99E7-BFA51975147B}"/>
    <cellStyle name="_Data_Balance Sheet_restl. Eurowährungsl._Gruppe 2 4" xfId="5524" xr:uid="{D8CDF6C3-B171-4AFA-9DC6-82F4435ED553}"/>
    <cellStyle name="_Data_Balance Sheet_restl. Eurowährungsl._Gruppe 2 4 2" xfId="7188" xr:uid="{3CD11D49-D38D-4A38-8C88-31AA234387B2}"/>
    <cellStyle name="_Data_Balance Sheet_restl. Eurowährungsl._Gruppe 2 5" xfId="6243" xr:uid="{CEAA0DE5-F74C-4FE3-8742-1E29CD23A797}"/>
    <cellStyle name="_Data_Balance Sheet_restl. Eurowährungsl._Gruppe 2 5 2" xfId="7890" xr:uid="{A69131B1-EDD1-475A-A439-4ADEDB5D116F}"/>
    <cellStyle name="_Data_Balance Sheet_restl. Eurowährungsl._Gruppe 2 6" xfId="6424" xr:uid="{FC6CAC1F-A180-410F-B8F0-850FCBDEAFB4}"/>
    <cellStyle name="_Data_Balance Sheet_restl. Eurowährungsl._Gruppe 3" xfId="4811" xr:uid="{1BA47325-FB69-4028-B33B-401208BA9FCB}"/>
    <cellStyle name="_Data_Balance Sheet_restl. Eurowährungsl._Gruppe 3 2" xfId="5805" xr:uid="{832E0837-2AEB-4E29-A6C4-F3E6A054736C}"/>
    <cellStyle name="_Data_Balance Sheet_restl. Eurowährungsl._Gruppe 3 2 2" xfId="7458" xr:uid="{C60D41BB-EE36-4A37-8288-16E5031539EE}"/>
    <cellStyle name="_Data_Balance Sheet_restl. Eurowährungsl._Gruppe 3 3" xfId="6005" xr:uid="{9B6EEBC7-9BDA-4E36-878C-EFCAEE936C2F}"/>
    <cellStyle name="_Data_Balance Sheet_restl. Eurowährungsl._Gruppe 3 3 2" xfId="7657" xr:uid="{5EADCB72-E222-43AC-8A1C-209D40E23F66}"/>
    <cellStyle name="_Data_Balance Sheet_restl. Eurowährungsl._Gruppe 3 4" xfId="5430" xr:uid="{24B97F71-C642-498B-8B3D-C2E0723F2DC8}"/>
    <cellStyle name="_Data_Balance Sheet_restl. Eurowährungsl._Gruppe 3 4 2" xfId="7094" xr:uid="{DFCE59B9-B444-483E-8559-CBED63BAB493}"/>
    <cellStyle name="_Data_Balance Sheet_restl. Eurowährungsl._Gruppe 3 5" xfId="6281" xr:uid="{25936537-1934-4AEF-BB95-21BE8BA70248}"/>
    <cellStyle name="_Data_Balance Sheet_restl. Eurowährungsl._Gruppe 3 5 2" xfId="7928" xr:uid="{83FD7709-3AC5-485F-B263-A12FC06B60F8}"/>
    <cellStyle name="_Data_Balance Sheet_restl. Eurowährungsl._Gruppe 3 6" xfId="6500" xr:uid="{F2A53610-F378-4C57-A434-0D0BFC70A252}"/>
    <cellStyle name="_Data_Balance Sheet_restl. Eurowährungsl._Gruppe 4" xfId="4953" xr:uid="{90C725CD-4FC9-4718-905E-C0BBC39C1EAB}"/>
    <cellStyle name="_Data_Balance Sheet_restl. Eurowährungsl._Gruppe 4 2" xfId="5943" xr:uid="{F56F40E0-4ED8-42AD-93EA-4D0FA3199546}"/>
    <cellStyle name="_Data_Balance Sheet_restl. Eurowährungsl._Gruppe 4 2 2" xfId="7596" xr:uid="{42A2FC51-3015-41B8-89F5-59362025AD7E}"/>
    <cellStyle name="_Data_Balance Sheet_restl. Eurowährungsl._Gruppe 4 3" xfId="6116" xr:uid="{466F9D22-7492-4B55-AA76-06E065E9FAE1}"/>
    <cellStyle name="_Data_Balance Sheet_restl. Eurowährungsl._Gruppe 4 3 2" xfId="7767" xr:uid="{E3ADB4AC-B95E-4239-83F6-B5DE268DCAED}"/>
    <cellStyle name="_Data_Balance Sheet_restl. Eurowährungsl._Gruppe 4 4" xfId="6237" xr:uid="{E436591B-DE0C-4F2E-8914-D3DD5FD2517C}"/>
    <cellStyle name="_Data_Balance Sheet_restl. Eurowährungsl._Gruppe 4 4 2" xfId="7884" xr:uid="{6130945D-E542-47A7-99C6-65A58B88D15E}"/>
    <cellStyle name="_Data_Balance Sheet_restl. Eurowährungsl._Gruppe 4 5" xfId="6636" xr:uid="{F47F1543-C082-42F0-B863-84E015D4C3FB}"/>
    <cellStyle name="_Data_Balance Sheet_restl. Eurowährungsl._Gruppe 5" xfId="5050" xr:uid="{BA01CEE8-F297-4578-9752-5AE1547142F1}"/>
    <cellStyle name="_Data_Balance Sheet_restl. Eurowährungsl._Gruppe 5 2" xfId="6726" xr:uid="{41BFDA70-9889-4AC8-BC8D-70526235583B}"/>
    <cellStyle name="_Data_Balance Sheet_restl. Eurowährungsl._Gruppe 6" xfId="5574" xr:uid="{51DB30D4-2680-4537-9569-A2A9277103F0}"/>
    <cellStyle name="_Data_Balance Sheet_restl. Eurowährungsl._Gruppe 6 2" xfId="7237" xr:uid="{891DA50D-2585-4C6F-A5D3-605E1F1DDBAF}"/>
    <cellStyle name="_Data_Balance Sheet_restl. Eurowährungsl._Gruppe 7" xfId="5570" xr:uid="{F61F4328-F60C-4351-BFA8-71EB991820EA}"/>
    <cellStyle name="_Data_Balance Sheet_restl. Eurowährungsl._Gruppe 7 2" xfId="7233" xr:uid="{CDC661C7-059D-4468-9D43-2D6F04A6D7C7}"/>
    <cellStyle name="_Data_Balance Sheet_restl. Eurowährungsl._Gruppe 8" xfId="5056" xr:uid="{8A61AF2D-E256-4A68-9A47-2C083B3DACFD}"/>
    <cellStyle name="_Data_Balance Sheet_restl. Eurowährungsl._Gruppe 8 2" xfId="6731" xr:uid="{1E326015-A297-4CA1-9E2A-E8AB1704BB48}"/>
    <cellStyle name="_Data_Balance Sheet_restl. Eurowährungsl._Gruppe 9" xfId="5466" xr:uid="{E7276D6A-45B0-4DE3-BEF6-354A0E71F40D}"/>
    <cellStyle name="_Data_Balance Sheet_restl. Eurowährungsl._Gruppe 9 2" xfId="7130" xr:uid="{C97B3706-E0F8-40C4-93C2-DAB776F8ABC6}"/>
    <cellStyle name="_Data_Konsolidierungsbeträge" xfId="480" xr:uid="{B869B940-1DA1-4600-BD4B-9706BC010B46}"/>
    <cellStyle name="_Data_Konsolidierungsbeträge 10" xfId="5105" xr:uid="{DB595E09-B873-4937-BB9D-6089E9082BFB}"/>
    <cellStyle name="_Data_Konsolidierungsbeträge 10 2" xfId="6779" xr:uid="{4924787E-7A01-463D-A6BA-C4C2AAA7D233}"/>
    <cellStyle name="_Data_Konsolidierungsbeträge 11" xfId="5131" xr:uid="{383F7A2E-247A-4747-9E9B-6603D23E549E}"/>
    <cellStyle name="_Data_Konsolidierungsbeträge 11 2" xfId="6805" xr:uid="{0E8E5608-9387-404B-991C-603F2249AA46}"/>
    <cellStyle name="_Data_Konsolidierungsbeträge 12" xfId="5141" xr:uid="{20D40C92-4B4D-46FA-B71D-BEFEF265CB60}"/>
    <cellStyle name="_Data_Konsolidierungsbeträge 12 2" xfId="6815" xr:uid="{7529DE14-868A-468F-9E1C-7F6A1E0FBDC3}"/>
    <cellStyle name="_Data_Konsolidierungsbeträge 2" xfId="4734" xr:uid="{958CB4E9-96BB-4242-B941-D19B4E2CC4BE}"/>
    <cellStyle name="_Data_Konsolidierungsbeträge 2 2" xfId="5729" xr:uid="{1492ED0A-B04D-44FA-A014-B70FBC535786}"/>
    <cellStyle name="_Data_Konsolidierungsbeträge 2 2 2" xfId="7382" xr:uid="{52EE78B5-38DC-475E-A7F8-89335A59796A}"/>
    <cellStyle name="_Data_Konsolidierungsbeträge 2 3" xfId="5952" xr:uid="{864BBE66-EF6D-40CA-BA70-380F8C6A8DEA}"/>
    <cellStyle name="_Data_Konsolidierungsbeträge 2 3 2" xfId="7605" xr:uid="{D7272FE0-208D-4E26-8CC3-03C7435EE568}"/>
    <cellStyle name="_Data_Konsolidierungsbeträge 2 4" xfId="5565" xr:uid="{1CC430D6-E8B0-41D0-8BE1-B3B4B4C9993C}"/>
    <cellStyle name="_Data_Konsolidierungsbeträge 2 4 2" xfId="7228" xr:uid="{8D075A05-EE07-40E2-87F2-54F52B6D6728}"/>
    <cellStyle name="_Data_Konsolidierungsbeträge 2 5" xfId="6244" xr:uid="{E1C62482-2C54-48E3-A92B-8ED7035FEF0D}"/>
    <cellStyle name="_Data_Konsolidierungsbeträge 2 5 2" xfId="7891" xr:uid="{635F3E84-486C-44E8-954D-8568A2C1A328}"/>
    <cellStyle name="_Data_Konsolidierungsbeträge 2 6" xfId="6425" xr:uid="{086BCC97-96B0-4ABD-9BC5-762266710847}"/>
    <cellStyle name="_Data_Konsolidierungsbeträge 3" xfId="4810" xr:uid="{DC3106FF-7CC2-4584-AF1D-3343464B4F16}"/>
    <cellStyle name="_Data_Konsolidierungsbeträge 3 2" xfId="5804" xr:uid="{C1A92CF7-C5E0-4E8D-97ED-21D84EA34488}"/>
    <cellStyle name="_Data_Konsolidierungsbeträge 3 2 2" xfId="7457" xr:uid="{E847C950-6CA8-4651-B6D2-9B76D0A6E3B5}"/>
    <cellStyle name="_Data_Konsolidierungsbeträge 3 3" xfId="6004" xr:uid="{A397BAF0-FA91-4D83-B571-A0F1441A99A3}"/>
    <cellStyle name="_Data_Konsolidierungsbeträge 3 3 2" xfId="7656" xr:uid="{2DBBE8F4-3528-4A08-9154-3BEFE0202DD9}"/>
    <cellStyle name="_Data_Konsolidierungsbeträge 3 4" xfId="5558" xr:uid="{F6D32ED9-7C95-4BD4-B91A-29A99446C7C8}"/>
    <cellStyle name="_Data_Konsolidierungsbeträge 3 4 2" xfId="7221" xr:uid="{97F0969F-C585-48A6-A31C-83B8C2EB4D19}"/>
    <cellStyle name="_Data_Konsolidierungsbeträge 3 5" xfId="6280" xr:uid="{26F1AE7F-1365-4650-BFDD-4E2FE9DD426E}"/>
    <cellStyle name="_Data_Konsolidierungsbeträge 3 5 2" xfId="7927" xr:uid="{3DA066F3-64B4-407F-9CF3-B7B88E938364}"/>
    <cellStyle name="_Data_Konsolidierungsbeträge 3 6" xfId="6499" xr:uid="{BFD7B72D-E258-4374-86A4-484C1A689C47}"/>
    <cellStyle name="_Data_Konsolidierungsbeträge 4" xfId="4952" xr:uid="{D4223322-AE58-4715-9809-F36447AA8A7E}"/>
    <cellStyle name="_Data_Konsolidierungsbeträge 4 2" xfId="5942" xr:uid="{E0686046-0190-4791-B0D0-95128DC0E178}"/>
    <cellStyle name="_Data_Konsolidierungsbeträge 4 2 2" xfId="7595" xr:uid="{CCA032B1-F034-4D53-B55C-CF2B5070C523}"/>
    <cellStyle name="_Data_Konsolidierungsbeträge 4 3" xfId="6115" xr:uid="{5EB64F66-CB4A-47DE-92A9-1A86EE4D0077}"/>
    <cellStyle name="_Data_Konsolidierungsbeträge 4 3 2" xfId="7766" xr:uid="{0880572A-F753-4BF3-8B54-D8A75732EDA9}"/>
    <cellStyle name="_Data_Konsolidierungsbeträge 4 4" xfId="6236" xr:uid="{B75ECEA8-2EF4-40B8-B657-DC3AD94876C4}"/>
    <cellStyle name="_Data_Konsolidierungsbeträge 4 4 2" xfId="7883" xr:uid="{5F2DB9FF-0327-4BF6-9465-5D418915E143}"/>
    <cellStyle name="_Data_Konsolidierungsbeträge 4 5" xfId="6635" xr:uid="{B4D46E8F-351F-4E97-AA99-B006BBA6FCDB}"/>
    <cellStyle name="_Data_Konsolidierungsbeträge 5" xfId="5051" xr:uid="{69B89D4E-E2B4-4F64-8D47-E1301EE47888}"/>
    <cellStyle name="_Data_Konsolidierungsbeträge 5 2" xfId="6727" xr:uid="{FBE95E48-42EA-4541-8123-8971686443FE}"/>
    <cellStyle name="_Data_Konsolidierungsbeträge 6" xfId="5573" xr:uid="{09BCB2A1-2BD7-4950-8919-12D247461341}"/>
    <cellStyle name="_Data_Konsolidierungsbeträge 6 2" xfId="7236" xr:uid="{4ED3BD70-5C60-462D-B0A8-AF4B7FE9235F}"/>
    <cellStyle name="_Data_Konsolidierungsbeträge 7" xfId="5569" xr:uid="{0647C6CE-A637-4894-AD53-C14A14899A7D}"/>
    <cellStyle name="_Data_Konsolidierungsbeträge 7 2" xfId="7232" xr:uid="{9ADDC24F-6B20-4C42-8E24-1784744A9DE7}"/>
    <cellStyle name="_Data_Konsolidierungsbeträge 8" xfId="5057" xr:uid="{E9DB1CCA-0563-4978-9898-627F9EB54DCD}"/>
    <cellStyle name="_Data_Konsolidierungsbeträge 8 2" xfId="6732" xr:uid="{348C6CE2-A3BC-4916-AF7A-8772B578B3FF}"/>
    <cellStyle name="_Data_Konsolidierungsbeträge 9" xfId="5465" xr:uid="{05DA4F2D-47AF-4BEE-A869-EB6B8A4E71F5}"/>
    <cellStyle name="_Data_Konsolidierungsbeträge 9 2" xfId="7129" xr:uid="{D26561EF-7F86-4D4A-B7BD-7115537ACFC3}"/>
    <cellStyle name="_DEC BOD Backup" xfId="481" xr:uid="{BF80459A-4162-4571-B85F-D7D35C46C877}"/>
    <cellStyle name="_Downside scenarios-041209 v3 for CS" xfId="482" xr:uid="{EB66A9BD-7703-486E-9765-4B4261E83131}"/>
    <cellStyle name="_Draft reporting v1" xfId="483" xr:uid="{9FAEA903-21FA-4E6D-8549-8DC645094914}"/>
    <cellStyle name="_dt 1" xfId="484" xr:uid="{D4A94063-E9AB-4413-A344-753773708181}"/>
    <cellStyle name="_EQ unit 2005 - mthly" xfId="485" xr:uid="{1C5A65E6-9457-4203-BBF3-E99F48C9DEC2}"/>
    <cellStyle name="_EQ unit 2005 - mthly_Brand Rebuilding " xfId="486" xr:uid="{A728F3EF-08DD-4BA5-B4B9-A000B551E430}"/>
    <cellStyle name="_EQ unit 2005 - mthly_NonEss Expenses" xfId="487" xr:uid="{B6F33ACE-2838-4A1E-8985-4B6A2B52177E}"/>
    <cellStyle name="_Euro" xfId="488" xr:uid="{A1EA1E3F-3EF2-42F2-AEC2-FDFC93423BD3}"/>
    <cellStyle name="_FEB_06 P&amp;L" xfId="489" xr:uid="{2DEB9950-1FBD-486E-BF24-02FAD73618C6}"/>
    <cellStyle name="_Fidji - LBO Model 2.1" xfId="490" xr:uid="{8987F9A4-3F8E-4D1F-BACE-778F83364CDF}"/>
    <cellStyle name="_Fidji - LBO Model 2.2" xfId="491" xr:uid="{3C4651F6-8C40-4E75-9286-B10F0F49D795}"/>
    <cellStyle name="_George - LBO Model 3.1" xfId="492" xr:uid="{12513940-E13F-4386-A93A-AE5A8DA8F8A3}"/>
    <cellStyle name="_gerresheimer_currentv5" xfId="493" xr:uid="{E4830614-1AAA-4CDD-8F15-8DB3EB5D9E09}"/>
    <cellStyle name="_Gia -phan cap thoat nuoc" xfId="494" xr:uid="{5D9E6887-0B1E-4BB4-9781-82DB70B1A51A}"/>
    <cellStyle name="_HC" xfId="495" xr:uid="{735B8AD9-50DE-4DEC-B0B0-449F545BB6FA}"/>
    <cellStyle name="_HC_2010 Revised CF Plan Bottom Up" xfId="496" xr:uid="{61D75B0A-40BD-45C7-9C44-1B6446CF8CCC}"/>
    <cellStyle name="_HC_5 YR Plan" xfId="497" xr:uid="{E0B1ABE6-74FB-4BE0-89DA-23301E463377}"/>
    <cellStyle name="_HC_AL New midpoint scenario 1.2B" xfId="498" xr:uid="{AFBC2E3F-3BC0-44CD-A5B8-7DB487A601D3}"/>
    <cellStyle name="_HC_Clean Scenario 1 3B" xfId="499" xr:uid="{1EC45DA8-4F8F-4D7B-AEDC-941007381053}"/>
    <cellStyle name="_HC_EXOR Package July 1" xfId="500" xr:uid="{FE9959B0-C0DD-412C-A248-1441F5BBD6EC}"/>
    <cellStyle name="_HC_Leverage Ratio s3" xfId="501" xr:uid="{1CD26B81-0166-4F50-B58B-585EFF8C4CA9}"/>
    <cellStyle name="_HC_Monthly Summary" xfId="502" xr:uid="{1A8BF53E-3A2E-4F6A-A316-99687014C7F8}"/>
    <cellStyle name="_Header" xfId="503" xr:uid="{0F250EB7-7B6A-4C2D-BC75-AB0FD5DA66E5}"/>
    <cellStyle name="_Header_021202External Sales 2000_2001_DA_feste Werte" xfId="504" xr:uid="{CE0DFD6A-65E5-4D11-908A-3BCD43AEC959}"/>
    <cellStyle name="_Header_Balance Sheet_restl. Eurowährungsl._Gruppe" xfId="505" xr:uid="{67142591-1756-4273-9D12-94456A97E54A}"/>
    <cellStyle name="_Header_Konsolidierungsbeträge" xfId="506" xr:uid="{F655AD66-3D6F-46FE-9A0A-F676FFEAFB25}"/>
    <cellStyle name="_Heading" xfId="507" xr:uid="{AB9A47DD-E666-49B1-9652-B811E9601A85}"/>
    <cellStyle name="_Heading_prestemp" xfId="508" xr:uid="{8994CCB3-ED96-4445-9458-1801445525D3}"/>
    <cellStyle name="_Heading_prestemp_2010 Revised CF Plan Bottom Up" xfId="509" xr:uid="{69C576CB-E946-4CBA-8B53-7191192EBB0A}"/>
    <cellStyle name="_Heading_prestemp_AL New midpoint scenario 1.2B" xfId="510" xr:uid="{CBCC525E-3614-4389-AE57-8A729E60A0A5}"/>
    <cellStyle name="_Heading_prestemp_Book1" xfId="511" xr:uid="{5D76CF81-2EE9-4B09-A29E-DEA41E4F40C9}"/>
    <cellStyle name="_Heading_prestemp_Clean Scenario 1 3B" xfId="512" xr:uid="{2694E0F7-1F6C-4FFD-B582-CC0B06CA0C73}"/>
    <cellStyle name="_Heading_prestemp_Draft reporting v4 031709" xfId="513" xr:uid="{8F3509A2-84CC-4B1A-AF9C-C3B15AF9F232}"/>
    <cellStyle name="_Heading_prestemp_Draft reporting v6 031909" xfId="514" xr:uid="{F0020B2D-1A57-4040-B834-9CEF2D3D2F4D}"/>
    <cellStyle name="_Heading_prestemp_Draft reporting v7 032509" xfId="515" xr:uid="{865AAD0B-B77F-4C77-B3D2-774599A8F14F}"/>
    <cellStyle name="_Heading_prestemp_EXOR Package July 1" xfId="516" xr:uid="{B9ED24CF-3F69-44B6-B815-28CC02DFE35E}"/>
    <cellStyle name="_Heading_prestemp_Leverage Ratio s3" xfId="517" xr:uid="{F6030260-9A5B-4F8B-9CD6-9B34580694D5}"/>
    <cellStyle name="_Heading_prestemp_Monthly Summary" xfId="518" xr:uid="{30110E28-1901-4837-AE60-E5C2D4E878FF}"/>
    <cellStyle name="_Highlight" xfId="519" xr:uid="{3A85A6AC-66E8-442A-B43D-A0138F515317}"/>
    <cellStyle name="_IC Loan Global 080630_CWCA (3)" xfId="520" xr:uid="{360FADC4-AA5D-4FEF-B832-A6C2BBA19A3B}"/>
    <cellStyle name="_IC Loan Global 080630_CWCA (3)_2010 Revised CF Plan Bottom Up" xfId="521" xr:uid="{177E385B-1548-4564-ABCD-2E9111504E9B}"/>
    <cellStyle name="_IC Loan Global 080630_CWCA (3)_5 YR Plan" xfId="522" xr:uid="{E40853A2-B691-41E6-AD66-9CB71BE53935}"/>
    <cellStyle name="_IC Loan Global 080630_CWCA (3)_AL New midpoint scenario 1.2B" xfId="523" xr:uid="{0DF2B178-A4CF-4191-B5AA-37DE503610E9}"/>
    <cellStyle name="_IC Loan Global 080630_CWCA (3)_Clean Scenario 1 3B" xfId="524" xr:uid="{B7304DA7-4173-4506-8DDA-21A2B3609E70}"/>
    <cellStyle name="_IC Loan Global 080630_CWCA (3)_EXOR Package July 1" xfId="525" xr:uid="{F96FED4B-9B92-489A-BD11-7621EAB3B8B6}"/>
    <cellStyle name="_IC Loan Global 080630_CWCA (3)_Leverage Ratio s3" xfId="526" xr:uid="{23F4D857-4039-4B21-A890-4AE7B9C940F1}"/>
    <cellStyle name="_IC Loan Global 080630_CWCA (3)_Monthly Summary" xfId="527" xr:uid="{C2F3F2ED-86B3-465A-BA15-22673ADE548B}"/>
    <cellStyle name="_Jan_06 P&amp;L" xfId="528" xr:uid="{59550C42-F709-4B5B-9112-B9FC68D17328}"/>
    <cellStyle name="_JapanAprOTLK" xfId="529" xr:uid="{4DF897D0-AB99-49F9-BF8D-536BC455467B}"/>
    <cellStyle name="_JapanAprOTLK_Brand Rebuilding " xfId="530" xr:uid="{40653EAB-4229-4938-99FE-A13C3CF0D279}"/>
    <cellStyle name="_JapanAprOTLK_NonEss Expenses" xfId="531" xr:uid="{664AB08A-4646-4EAC-A93B-02DE2ADA55BB}"/>
    <cellStyle name="_Johncom Operating Model" xfId="532" xr:uid="{03CC31EA-DEF6-41F4-94B0-D6BC1D310781}"/>
    <cellStyle name="_JohnCon Standalone LBO Model.March 2006" xfId="533" xr:uid="{D9943EE2-5281-421D-9455-EF3079486EB1}"/>
    <cellStyle name="_JV Model2" xfId="534" xr:uid="{4D3F7A65-8E48-4CB3-9E9E-82E6CCCB7515}"/>
    <cellStyle name="_kl lap dat" xfId="535" xr:uid="{ECFD2104-0A0B-48BE-B5E7-570502CCF327}"/>
    <cellStyle name="_KT (2)" xfId="536" xr:uid="{336B8526-51D7-45CB-8FCD-11827CC9B5B7}"/>
    <cellStyle name="_KT (2)_1" xfId="537" xr:uid="{998EBA6D-3395-4041-94DA-CBDE6AC159D1}"/>
    <cellStyle name="_KT (2)_2" xfId="538" xr:uid="{7686A6A8-93AF-479F-A1B0-C1664A62D608}"/>
    <cellStyle name="_KT (2)_2_TG-TH" xfId="539" xr:uid="{94726C7E-AAA3-4352-AAB6-E3E2EACB44BF}"/>
    <cellStyle name="_KT (2)_2_TG-TH_Book1" xfId="540" xr:uid="{B34A9C55-DDE4-444A-90DA-E88FAC0E8939}"/>
    <cellStyle name="_KT (2)_3" xfId="541" xr:uid="{EC1AAC16-F733-441C-BD20-0ACE94EFB6B9}"/>
    <cellStyle name="_KT (2)_3_TG-TH" xfId="542" xr:uid="{8A51AEAD-320A-443F-A876-F8FA9504DBBB}"/>
    <cellStyle name="_KT (2)_3_TG-TH_PERSONAL" xfId="543" xr:uid="{ED42D21A-F6CE-45C7-A615-0301868E0193}"/>
    <cellStyle name="_KT (2)_3_TG-TH_PERSONAL_Book1" xfId="544" xr:uid="{BC18CC38-5533-49D2-A86B-FBA05AD25ACF}"/>
    <cellStyle name="_KT (2)_3_TG-TH_PERSONAL_Tong hop KHCB 2001" xfId="545" xr:uid="{CA374C51-D276-40A5-81D7-C380C6FD980A}"/>
    <cellStyle name="_KT (2)_4" xfId="546" xr:uid="{028A8BB0-96D7-40EF-AE7F-1F391130C7BA}"/>
    <cellStyle name="_KT (2)_4_Book1" xfId="547" xr:uid="{8EE1D523-C3F2-4BC4-881D-8B7E6F76BCF8}"/>
    <cellStyle name="_KT (2)_4_TG-TH" xfId="548" xr:uid="{3A1A2599-8B3C-4D30-9A79-E70867F0BF2A}"/>
    <cellStyle name="_KT (2)_5" xfId="549" xr:uid="{08AE97C9-77C0-4317-ABF1-F2C7608E6D60}"/>
    <cellStyle name="_KT (2)_5_Book1" xfId="550" xr:uid="{52EE72D3-16D2-4D0C-9208-DCF7CE435E85}"/>
    <cellStyle name="_KT (2)_PERSONAL" xfId="551" xr:uid="{B8593EAD-67AB-4092-8CD3-51ADA59E71BC}"/>
    <cellStyle name="_KT (2)_PERSONAL_Book1" xfId="552" xr:uid="{34EAF323-D73B-45AE-8EB8-9F22DD6CD841}"/>
    <cellStyle name="_KT (2)_PERSONAL_Tong hop KHCB 2001" xfId="553" xr:uid="{20BAEB59-9FF3-4BD8-BDEB-8F00A1F67E99}"/>
    <cellStyle name="_KT (2)_TG-TH" xfId="554" xr:uid="{2D1F1214-9476-4F9A-8904-29D2B466919A}"/>
    <cellStyle name="_KT_TG" xfId="555" xr:uid="{04328218-545B-4B32-AA57-F917405E7456}"/>
    <cellStyle name="_KT_TG_1" xfId="556" xr:uid="{1662E937-D784-4D72-9559-ABC3EB219E50}"/>
    <cellStyle name="_KT_TG_1_Book1" xfId="557" xr:uid="{A3BEC9B8-3790-44E0-BD09-62750D4C0278}"/>
    <cellStyle name="_KT_TG_2" xfId="558" xr:uid="{675BCBD4-B010-42C9-8860-DF69F8C5A213}"/>
    <cellStyle name="_KT_TG_2_Book1" xfId="559" xr:uid="{4BD43425-73E1-4141-A670-2E3A410E7916}"/>
    <cellStyle name="_KT_TG_3" xfId="560" xr:uid="{0268D8C6-73FD-410F-B591-4A7974039613}"/>
    <cellStyle name="_KT_TG_4" xfId="561" xr:uid="{69B5A356-170B-4989-8805-8196B0FB9992}"/>
    <cellStyle name="_Mercury - WACC  Beta pages v4" xfId="562" xr:uid="{1364FA90-7C79-436E-9FEB-22942FD11248}"/>
    <cellStyle name="_Mercury - WACC  Beta pages v6" xfId="563" xr:uid="{23F20717-28E0-4AD8-B6E5-965DFEA942D0}"/>
    <cellStyle name="_MOH_2006" xfId="564" xr:uid="{DE54E7D9-DED7-4FE6-B628-944E87877310}"/>
    <cellStyle name="_Monthly Earnings Estimate_Jan and Feb 2009 Pre EBITDA 031009 v1" xfId="565" xr:uid="{8E0E7662-4E02-425D-8880-B23D459B6E59}"/>
    <cellStyle name="_Monthly Earnings Estimate_Mar 2009 Pre EBITDA 031609 v1" xfId="566" xr:uid="{FFEC1CED-2063-4F2D-8656-78A72697D501}"/>
    <cellStyle name="_Monthly Updated Earnings Estimate_0309 (6)" xfId="567" xr:uid="{E0736F73-A274-4FD5-BE00-68E991121D6E}"/>
    <cellStyle name="_MTU Diesel LBO Model" xfId="568" xr:uid="{1B52376D-8DCF-461C-9E7C-729707BCF9F5}"/>
    <cellStyle name="_Multiple" xfId="569" xr:uid="{319802FD-EC69-45E6-BD07-9F375D4D97F6}"/>
    <cellStyle name="_Multiple_Availability v2" xfId="570" xr:uid="{7DD466CE-0643-4CA3-AC52-9942A36E0664}"/>
    <cellStyle name="_Multiple_CSC - revised version 27 october" xfId="571" xr:uid="{21339418-BBA2-4045-822D-1BFBAE6B6CC0}"/>
    <cellStyle name="_Multiple_George - LBO Model 3.1" xfId="572" xr:uid="{57849131-EA75-4012-9468-D8BED24C9C9B}"/>
    <cellStyle name="_Multiple_Marks 2-21-02 v4" xfId="573" xr:uid="{87883277-DE56-43E8-9CE3-B9DE5F59CA8E}"/>
    <cellStyle name="_Multiple_Mervyn's Rent Info" xfId="574" xr:uid="{24AAB825-0F28-456D-A449-5DAA9518C7EB}"/>
    <cellStyle name="_Multiple_Novartis-Roche 0805 v2" xfId="575" xr:uid="{0983F1D0-E7D0-4F3A-9E4B-FA1EE4DE3153}"/>
    <cellStyle name="_Multiple_Prepayment Penalties" xfId="576" xr:uid="{F19649AA-49AB-43EA-AE0D-6B5C406371EC}"/>
    <cellStyle name="_Multiple_Project Regal Portfolio Valuation Model - Eileen'strial" xfId="577" xr:uid="{4BA3C4BC-1C54-45C1-A528-1CEA1666B4AC}"/>
    <cellStyle name="_Multiple_wacc bb final" xfId="578" xr:uid="{7074311F-7360-4B26-94B2-24CC1DA8DD31}"/>
    <cellStyle name="_Multiple_wacc bb final_George - LBO Model 3.1" xfId="579" xr:uid="{E46B6A49-36F4-402C-8588-E189AEA9F914}"/>
    <cellStyle name="_MultipleSpace" xfId="580" xr:uid="{49E7F1EA-C121-4E77-BA96-0521D8F5BA7B}"/>
    <cellStyle name="_MultipleSpace_CSC - revised version 27 october" xfId="581" xr:uid="{C77B8B5F-C869-471A-A87E-026D4B5557AB}"/>
    <cellStyle name="_MultipleSpace_George - LBO Model 3.1" xfId="582" xr:uid="{502F0022-02F8-485D-B8F9-664307F2F70D}"/>
    <cellStyle name="_MultipleSpace_George - LBO Model 3.1_Casino LBO Model - 28 June" xfId="583" xr:uid="{8C5006B0-F6DC-43AC-9F46-A8E9EBED7105}"/>
    <cellStyle name="_MultipleSpace_Marks 2-21-02 v4" xfId="584" xr:uid="{70521365-7F57-497F-A5D4-083F5A4B6C4B}"/>
    <cellStyle name="_MultipleSpace_Mervyn's Rent Info" xfId="585" xr:uid="{B68FD668-5E4C-461B-9545-74B1AD60163E}"/>
    <cellStyle name="_MultipleSpace_Novartis-Roche 0805 v2" xfId="586" xr:uid="{2807FFA4-F162-44AF-A0F0-AF889DB1608F}"/>
    <cellStyle name="_MultipleSpace_Prepayment Penalties" xfId="587" xr:uid="{C17B1FE2-9416-419E-8834-E0D3640B7CA4}"/>
    <cellStyle name="_MultipleSpace_Project Regal Portfolio Valuation Model - Eileen'strial" xfId="588" xr:uid="{32254B00-200C-4423-8CAA-17A26FF27ACF}"/>
    <cellStyle name="_MultipleSpace_wacc bb final" xfId="589" xr:uid="{DE9E929F-D73F-4A60-A470-E8B4D843E179}"/>
    <cellStyle name="_MultipleSpace_wacc bb final_George - LBO Model 3.1" xfId="590" xr:uid="{BDD83557-AFEF-4BD6-BBC8-5170E5AEADF6}"/>
    <cellStyle name="_NoData" xfId="591" xr:uid="{4D82BB31-AF6B-489F-894B-D3499923664C}"/>
    <cellStyle name="_NonEss Expenses" xfId="592" xr:uid="{0D4FA2BA-CCF0-4611-B467-367C4E1C7233}"/>
    <cellStyle name="_Number0" xfId="593" xr:uid="{C98BDEF0-F667-4AC3-964C-740189836DE2}"/>
    <cellStyle name="_Opex_Jan-06_sp" xfId="594" xr:uid="{413A9E98-3B37-431B-A346-752B519C77C0}"/>
    <cellStyle name="_P&amp;L 2009 with RIFS" xfId="595" xr:uid="{699909CB-5AEF-4194-A3D5-109A6463382E}"/>
    <cellStyle name="_P&amp;L-SU(6+6)" xfId="596" xr:uid="{98C15174-352A-4253-AEF6-DD46DCA1855D}"/>
    <cellStyle name="_P&amp;L-SU(6+6)_Brand Rebuilding Asia" xfId="597" xr:uid="{CB7DFCAF-6B9D-4F62-9505-5E63DD343E1E}"/>
    <cellStyle name="_P&amp;L-SU(6+6)_NonEss Expenses" xfId="598" xr:uid="{4C91CA9E-D885-4BC3-A407-7B34B783D15F}"/>
    <cellStyle name="_Packages-2005(v1)" xfId="599" xr:uid="{6DB15EA6-2B6A-4242-A0DC-21FBB7B79837}"/>
    <cellStyle name="_Pay as you Can logic for LBO" xfId="600" xr:uid="{0D3D48CB-FCEE-4411-A02C-C733EC3285DD}"/>
    <cellStyle name="_Percent" xfId="601" xr:uid="{6021437C-298A-431F-B63B-270979968246}"/>
    <cellStyle name="_Percent_Availability v2" xfId="602" xr:uid="{E6FEAFD6-AD16-488D-B315-DA72903D66E5}"/>
    <cellStyle name="_Percent_Casino LBO Model - 28 June" xfId="603" xr:uid="{5AC0C979-29DC-4E60-8659-B2DDAC112095}"/>
    <cellStyle name="_Percent_CASINO LBO Model - April 21" xfId="604" xr:uid="{37FF6B29-68B1-426A-AAB8-AB218B0B7167}"/>
    <cellStyle name="_Percent_George - LBO Model 3.1" xfId="605" xr:uid="{B36371F7-FF62-44D8-8935-15A0A2A208EC}"/>
    <cellStyle name="_Percent_George - LBO Model 3.1_Casino LBO Model - 28 June" xfId="606" xr:uid="{D5B1D3DA-DFD1-4EA7-9923-5A5BFF32ADC3}"/>
    <cellStyle name="_Percent_George - LBO Model 3.1_Generale de Sante 27 Nov 06" xfId="607" xr:uid="{1BE49F90-F4A2-42AB-A655-826039F2D596}"/>
    <cellStyle name="_Percent_SG - LBO Model - April 20 (Asset sale)" xfId="608" xr:uid="{2B5F0194-3A3F-4E2D-9A4A-C1EE6DE09D7B}"/>
    <cellStyle name="_Percent_Tarkett (Vestar) LBO Model v 2.0" xfId="609" xr:uid="{0AF9D41E-F330-4EA8-BEE7-24F0E6CAD1A9}"/>
    <cellStyle name="_Percent_temp templates2" xfId="610" xr:uid="{210C99CC-8424-4C3D-A634-4241872FE691}"/>
    <cellStyle name="_PercentSpace" xfId="611" xr:uid="{2256B66F-DC09-4C74-A1D8-02B4A761B7C0}"/>
    <cellStyle name="_PercentSpace_George - LBO Model 3.1" xfId="612" xr:uid="{FCC1B2F7-7824-4EBD-8803-91F252CC8F5D}"/>
    <cellStyle name="_PercentSpace_Novartis-Roche 0805 v2" xfId="613" xr:uid="{8A53408A-B57D-42A8-920A-25B28C7DFDBC}"/>
    <cellStyle name="_PercentSpace_wacc bb final" xfId="614" xr:uid="{7A75B596-7CEF-4FED-BD5C-B0F8641C05DB}"/>
    <cellStyle name="_PercentSpace_wacc bb final_George - LBO Model 3.1" xfId="615" xr:uid="{872A50C9-5AA1-44A5-97D9-2B7D44E668EA}"/>
    <cellStyle name="_PERSONAL" xfId="616" xr:uid="{9F91798E-C9C0-4DF6-8BE8-74C5D496B09D}"/>
    <cellStyle name="_PERSONAL_Book1" xfId="617" xr:uid="{37310342-CC2F-4338-A369-80FEB9FFC9E3}"/>
    <cellStyle name="_PERSONAL_Tong hop KHCB 2001" xfId="618" xr:uid="{FD064676-1CC3-481D-8C59-68FF70116533}"/>
    <cellStyle name="_PRD(Input)" xfId="619" xr:uid="{986C4272-9335-48D0-B50F-46C00FACFB93}"/>
    <cellStyle name="_PREasia" xfId="620" xr:uid="{49CD9D66-44EA-463D-96BB-E5043D24E9C9}"/>
    <cellStyle name="_PREasia_SEA - Thailand" xfId="621" xr:uid="{DE6ABE8E-3AB9-4443-9F85-AD0F16B1423F}"/>
    <cellStyle name="_Prepayment Penalties" xfId="622" xr:uid="{150DB0CA-F900-4605-B7D5-8D06E0230816}"/>
    <cellStyle name="_PROD-FU" xfId="623" xr:uid="{3AEBF8A0-C550-4318-900F-D105A7F44E05}"/>
    <cellStyle name="_Q1_06 P&amp;L" xfId="624" xr:uid="{907EE934-7B9B-4900-886D-ACB8D97A24DA}"/>
    <cellStyle name="_Q4_1ormal_Q496 SBU" xfId="625" xr:uid="{3C3B25AC-8AE3-4EF4-994C-C15FDEF26A12}"/>
    <cellStyle name="_Q408 Restructure Employees India 0812" xfId="626" xr:uid="{496F7733-EB64-4090-A576-013157B59544}"/>
    <cellStyle name="_Ref NOA_2006" xfId="627" xr:uid="{0A67BDD0-067E-49BB-B7BD-B503AF3275C7}"/>
    <cellStyle name="_Revised Market Sheets-Asia" xfId="628" xr:uid="{8B25B611-7364-467F-9DD0-FEE545E6FDBE}"/>
    <cellStyle name="_Revised Market Sheets-Asia_Brand Rebuilding " xfId="629" xr:uid="{5F32E25B-464F-4951-95C3-9E5E17021654}"/>
    <cellStyle name="_Revised Market Sheets-Asia_NonEss Expenses" xfId="630" xr:uid="{C7C09BD8-9970-4840-A080-D48010A5A913}"/>
    <cellStyle name="_RiskOppo" xfId="631" xr:uid="{C12C7A92-F152-422A-AA5B-B34660536F7B}"/>
    <cellStyle name="_RiskOppo_Brand Rebuilding " xfId="632" xr:uid="{23B8E629-CDA5-488D-98A2-DD8C44E5CE8C}"/>
    <cellStyle name="_RiskOppo_NonEss Expenses" xfId="633" xr:uid="{ED1041F4-46F6-4182-BD39-484289BA2787}"/>
    <cellStyle name="_Row1" xfId="634" xr:uid="{6777AF8B-5062-4078-89F4-44B425B412C2}"/>
    <cellStyle name="_Row1_021202External Sales 2000_2001_DA_feste Werte" xfId="635" xr:uid="{DAFCF0D5-C195-472A-A2B2-05239E508751}"/>
    <cellStyle name="_Row1_Balance Sheet_restl. Eurowährungsl._Gruppe" xfId="636" xr:uid="{CF3C467A-E8AF-446D-9372-994DB2B444BF}"/>
    <cellStyle name="_Row1_Konsolidierungsbeträge" xfId="637" xr:uid="{872971F5-54A0-4C1F-82E1-A81FBF2F4E78}"/>
    <cellStyle name="_Row10" xfId="638" xr:uid="{4E955156-E881-4028-9A2F-1EB43253F119}"/>
    <cellStyle name="_Row2" xfId="639" xr:uid="{E8A2BC00-9137-43E1-9C65-17D700D7AF4C}"/>
    <cellStyle name="_Row2_021202External Sales 2000_2001_DA_feste Werte" xfId="640" xr:uid="{E8CA2FBE-FD5C-4237-8942-C1DFE394CE86}"/>
    <cellStyle name="_Row2_Balance Sheet_restl. Eurowährungsl._Gruppe" xfId="641" xr:uid="{6909C88F-9AAC-480B-84C3-095CA55375A4}"/>
    <cellStyle name="_Row2_Konsolidierungsbeträge" xfId="642" xr:uid="{E5258838-BBE3-498F-B702-5249C073ADC2}"/>
    <cellStyle name="_Row3" xfId="643" xr:uid="{1477276C-DB6A-43A9-BEBA-6521DEC44A19}"/>
    <cellStyle name="_Row3_021202External Sales 2000_2001_DA_feste Werte" xfId="644" xr:uid="{D1324C0F-6B93-4622-86CB-90922CD2A6C2}"/>
    <cellStyle name="_Row3_Balance Sheet_restl. Eurowährungsl._Gruppe" xfId="645" xr:uid="{001A8976-5980-4D21-817B-BC0ACF29CA6D}"/>
    <cellStyle name="_Row3_Konsolidierungsbeträge" xfId="646" xr:uid="{502C295C-92FD-4E1D-8671-C4625DA07F77}"/>
    <cellStyle name="_Row4" xfId="647" xr:uid="{0317E30A-6C32-4ACB-9D35-E84FD3FE9A05}"/>
    <cellStyle name="_Row4_021202External Sales 2000_2001_DA_feste Werte" xfId="648" xr:uid="{B92EB4E0-3A32-43B7-8F9A-DE3093112B40}"/>
    <cellStyle name="_Row4_Balance Sheet_restl. Eurowährungsl._Gruppe" xfId="649" xr:uid="{B4E8D241-F301-4D63-91D8-AB434ECFB40D}"/>
    <cellStyle name="_Row4_Konsolidierungsbeträge" xfId="650" xr:uid="{5E2B04D1-5C37-49A3-8D7B-68D5D6F2F655}"/>
    <cellStyle name="_Row5" xfId="651" xr:uid="{11B7CF6F-AE2F-4DF5-835D-E16DCF5041DB}"/>
    <cellStyle name="_Row5_021202External Sales 2000_2001_DA_feste Werte" xfId="652" xr:uid="{6941D59B-D02F-4792-A9B9-90C871B74D78}"/>
    <cellStyle name="_Row5_Balance Sheet_restl. Eurowährungsl._Gruppe" xfId="653" xr:uid="{5EF7F274-707D-4386-BBD6-ABEA9BABB7CA}"/>
    <cellStyle name="_Row5_Konsolidierungsbeträge" xfId="654" xr:uid="{28C31399-2E8B-4504-ADAE-B26B341BE377}"/>
    <cellStyle name="_Row6" xfId="655" xr:uid="{3E7B5B63-D548-403F-9158-9646CEE5BC24}"/>
    <cellStyle name="_Row6_021202External Sales 2000_2001_DA_feste Werte" xfId="656" xr:uid="{516CEEB9-1D20-4105-AA3C-782ED60AE2A7}"/>
    <cellStyle name="_Row6_Balance Sheet_restl. Eurowährungsl._Gruppe" xfId="657" xr:uid="{2F18EE41-8F64-41A7-9960-7CCC5990ED3B}"/>
    <cellStyle name="_Row6_Konsolidierungsbeträge" xfId="658" xr:uid="{2AA07F3C-5DE9-4F72-9F37-53C4BEF5EAAF}"/>
    <cellStyle name="_Row7" xfId="659" xr:uid="{AAD4E2B8-57B6-4872-87E4-CB2B32086BFE}"/>
    <cellStyle name="_Row7_021202External Sales 2000_2001_DA_feste Werte" xfId="660" xr:uid="{71225C9C-6E79-4EA5-B909-0E746389C1C2}"/>
    <cellStyle name="_Row7_Balance Sheet_restl. Eurowährungsl._Gruppe" xfId="661" xr:uid="{532CC5A9-9294-4927-A3A0-3C1F4035754B}"/>
    <cellStyle name="_Row7_Konsolidierungsbeträge" xfId="662" xr:uid="{9A4556D8-538E-4F14-ABB0-EAD7484EC47A}"/>
    <cellStyle name="_Row8" xfId="663" xr:uid="{C7298CDB-F8E7-429D-8346-9FB3543E7B96}"/>
    <cellStyle name="_Row8_021202External Sales 2000_2001_DA_feste Werte" xfId="664" xr:uid="{3F0F99A1-21D2-47C4-9DA1-61B69210BD07}"/>
    <cellStyle name="_Row8_Balance Sheet_restl. Eurowährungsl._Gruppe" xfId="665" xr:uid="{303639C6-F194-4B95-961A-F35A15CBB8D0}"/>
    <cellStyle name="_Row8_Konsolidierungsbeträge" xfId="666" xr:uid="{7F291F51-A2CD-48BD-AA35-B5B04894CB18}"/>
    <cellStyle name="_RowHead" xfId="667" xr:uid="{3A291F68-CB73-4266-B6F2-E9E9F3CDD10E}"/>
    <cellStyle name="_RS#3_Asia Con" xfId="668" xr:uid="{083926F9-96C9-4BD5-BD69-535778407E5C}"/>
    <cellStyle name="_RV - BS rpt - US_CPM Test 7 - asof 102808" xfId="669" xr:uid="{CA709FD5-2856-4C51-B3DE-CD028F8EBFB5}"/>
    <cellStyle name="_Saarc_VC_Cogs" xfId="670" xr:uid="{0E6131E7-C88A-46CD-871F-320921323E12}"/>
    <cellStyle name="_Saarc_VC_Sales" xfId="671" xr:uid="{F03DC53F-50C9-4441-AEEA-FA678951BFE6}"/>
    <cellStyle name="_Saarc_VC_Units" xfId="672" xr:uid="{E49D336B-C486-41FF-B7F2-A56758EF84BC}"/>
    <cellStyle name="_SG - LBO Model - April 20 (Asset sale)" xfId="673" xr:uid="{FCA5687E-C139-4DE4-966A-BA7E319933E9}"/>
    <cellStyle name="_Sheet1" xfId="674" xr:uid="{8A79A620-FDF5-42B6-90B0-459FE24D0D33}"/>
    <cellStyle name="_Sheet1_Cat NOA_2006" xfId="675" xr:uid="{E34A1DAE-F21A-488A-9F89-F5A57A7FAA45}"/>
    <cellStyle name="_Sheet1_HC Details" xfId="676" xr:uid="{947F9799-5A59-4DB9-9D52-12F4E582CF50}"/>
    <cellStyle name="_Sheet1_HC Deta_x0012_Normal_Sheet1_P_x0015_Normal_Sheet1_Reserve" xfId="677" xr:uid="{BF1C2559-88B9-4E58-B118-3EBF13A54D3B}"/>
    <cellStyle name="_Sheet1_Jan_06 P&amp;L" xfId="678" xr:uid="{DBF9844D-AF5D-4CE9-9A1B-867C6AA41B78}"/>
    <cellStyle name="_Sheet1_Reserve" xfId="679" xr:uid="{EFCB8664-94ED-4870-A4F8-FC2A40C865E8}"/>
    <cellStyle name="_Sheet2" xfId="680" xr:uid="{20EB3A90-E19B-4397-8E59-2649875BF519}"/>
    <cellStyle name="_Sheet3" xfId="681" xr:uid="{7B0B0E0D-630B-4436-9F84-9F90BDE27C2B}"/>
    <cellStyle name="_Sheet38" xfId="682" xr:uid="{B0283B1B-B470-4D86-9847-D8D279D1549B}"/>
    <cellStyle name="_Sheet39" xfId="683" xr:uid="{6610E2C8-7846-40DD-AF77-2552E9B18716}"/>
    <cellStyle name="_Sheet40" xfId="684" xr:uid="{2E53F14F-1102-4739-9656-0C5A047B78DD}"/>
    <cellStyle name="_Sheet41" xfId="685" xr:uid="{79ED648D-C333-4CE6-8EC6-E37B8466D026}"/>
    <cellStyle name="_SPTQ2ACT" xfId="686" xr:uid="{B1D23AD1-5BA7-4493-9A08-EBA345C02C93}"/>
    <cellStyle name="_SubHeading" xfId="687" xr:uid="{F4E59FE6-F389-45F7-8F06-70BC5288D73C}"/>
    <cellStyle name="_SubHeading_Financials &amp; Valuation v16 Indigo" xfId="688" xr:uid="{9897B9C7-4C13-487F-8B28-83551B4141DE}"/>
    <cellStyle name="_SubHeading_prestemp" xfId="689" xr:uid="{12EDB964-B850-4CC9-9A83-0DFFD7FBBC3A}"/>
    <cellStyle name="_SubHeading_prestemp_2010 Revised CF Plan Bottom Up" xfId="690" xr:uid="{C6881782-0B2F-468D-B168-C1275D510F5E}"/>
    <cellStyle name="_SubHeading_prestemp_AL New midpoint scenario 1.2B" xfId="691" xr:uid="{535B5E2E-8F9C-48E7-A533-B6861A09832A}"/>
    <cellStyle name="_SubHeading_prestemp_Book1" xfId="692" xr:uid="{2BF9743A-DB25-490C-B784-5E490FCA6E2D}"/>
    <cellStyle name="_SubHeading_prestemp_Clean Scenario 1 3B" xfId="693" xr:uid="{B8D2D74F-9250-4488-A86E-FA669ECB771D}"/>
    <cellStyle name="_SubHeading_prestemp_Draft reporting v4 031709" xfId="694" xr:uid="{11D0C048-6256-42B2-9977-E2C716409FBC}"/>
    <cellStyle name="_SubHeading_prestemp_Draft reporting v6 031909" xfId="695" xr:uid="{5D237D84-29BB-4610-ADBF-97A82F5F081B}"/>
    <cellStyle name="_SubHeading_prestemp_Draft reporting v7 032509" xfId="696" xr:uid="{BEA3361D-F41F-4DAB-9674-AD17953CDAA4}"/>
    <cellStyle name="_SubHeading_prestemp_EXOR Package July 1" xfId="697" xr:uid="{02B81E9D-ECFF-4F71-AEBD-9F3262F6B775}"/>
    <cellStyle name="_SubHeading_prestemp_Leverage Ratio s3" xfId="698" xr:uid="{6247819E-0606-4837-B112-1F871EFB008C}"/>
    <cellStyle name="_SubHeading_prestemp_Monthly Summary" xfId="699" xr:uid="{E06A8008-BCF1-487D-883E-3CC448A7638A}"/>
    <cellStyle name="_SuperHead" xfId="700" xr:uid="{8AB98B28-EED5-481F-A24A-E3D6A6926684}"/>
    <cellStyle name="_Table" xfId="701" xr:uid="{3F2DC28F-1CE7-405A-AFE0-ABBC789DA1D0}"/>
    <cellStyle name="_Table 10" xfId="5167" xr:uid="{8D94EB9D-DAE8-4663-A028-0C65D0486B04}"/>
    <cellStyle name="_Table 10 2" xfId="6841" xr:uid="{5202629E-22F0-4559-9096-F338EADC660F}"/>
    <cellStyle name="_Table 11" xfId="6123" xr:uid="{AA5DCDEB-D12E-4523-9C4A-6B5DEFC9198E}"/>
    <cellStyle name="_Table 11 2" xfId="7773" xr:uid="{061A7295-F958-42BD-AADF-A622C88E1859}"/>
    <cellStyle name="_Table 12" xfId="5585" xr:uid="{2F1B1C03-370B-473E-83A6-BFFE7209A3CB}"/>
    <cellStyle name="_Table 12 2" xfId="7246" xr:uid="{931E5446-CCEB-4A77-ACB2-2947520399C0}"/>
    <cellStyle name="_Table 13" xfId="6126" xr:uid="{DB59499C-0F85-4C72-B6C9-F66955EB9FE5}"/>
    <cellStyle name="_Table 13 2" xfId="7776" xr:uid="{1568B58D-72BB-4F22-A89E-3A79EC8A2608}"/>
    <cellStyle name="_Table 14" xfId="6109" xr:uid="{CB25E2D2-87C7-4FD1-9472-097BD3DC0DDF}"/>
    <cellStyle name="_Table 14 2" xfId="7760" xr:uid="{42DB0E04-306E-4EB0-A411-3321AB1D1E9A}"/>
    <cellStyle name="_Table 15" xfId="6340" xr:uid="{36C72344-82B8-491B-A416-5012D2A27DB4}"/>
    <cellStyle name="_Table 2" xfId="702" xr:uid="{06050855-D3C4-445F-91D0-EEF507517E7E}"/>
    <cellStyle name="_Table 2 10" xfId="6178" xr:uid="{E4BC65D2-1092-4A7F-AB26-A46B7422DDBF}"/>
    <cellStyle name="_Table 2 10 2" xfId="7825" xr:uid="{1F6D2C74-D55D-40F9-B7E0-69EE2384FA9D}"/>
    <cellStyle name="_Table 2 11" xfId="6185" xr:uid="{4C0BDB95-BF1D-4BD7-8351-5A65508EB14A}"/>
    <cellStyle name="_Table 2 11 2" xfId="7832" xr:uid="{F6DC9D4B-FD04-4B08-A8BA-128865584044}"/>
    <cellStyle name="_Table 2 12" xfId="6175" xr:uid="{386182D4-DF7B-4205-90BC-AC92475068A8}"/>
    <cellStyle name="_Table 2 12 2" xfId="7822" xr:uid="{2ABE2F5A-05D3-4147-9176-E2D5D5FFFD4B}"/>
    <cellStyle name="_Table 2 13" xfId="5957" xr:uid="{13B246FD-F7BC-4971-AF7F-67057A50EB27}"/>
    <cellStyle name="_Table 2 13 2" xfId="7610" xr:uid="{1AC41FFD-B41D-47E5-A649-C5C0FB7FA685}"/>
    <cellStyle name="_Table 2 14" xfId="6341" xr:uid="{455E1658-5288-4008-8127-C5ACBF3F0D2A}"/>
    <cellStyle name="_Table 2 2" xfId="5508" xr:uid="{EFDE1955-0CE5-4578-AB0D-F784BE409053}"/>
    <cellStyle name="_Table 2 2 2" xfId="7172" xr:uid="{CFEFFB1B-BB38-4B80-81A8-3380E17CE323}"/>
    <cellStyle name="_Table 2 3" xfId="5090" xr:uid="{57C605D6-A26A-45EF-AD1F-FCD9C6CDBA56}"/>
    <cellStyle name="_Table 2 3 2" xfId="6764" xr:uid="{2995B8C7-0862-47C7-8EE7-CB16FC326C34}"/>
    <cellStyle name="_Table 2 4" xfId="5474" xr:uid="{7244C723-8845-444C-8993-975631A45B94}"/>
    <cellStyle name="_Table 2 4 2" xfId="7138" xr:uid="{1873B300-191D-49A3-9872-A1F3F65EA120}"/>
    <cellStyle name="_Table 2 5" xfId="5096" xr:uid="{40E231A7-4FB5-4E6A-BC47-391C6B669CBE}"/>
    <cellStyle name="_Table 2 5 2" xfId="6770" xr:uid="{D15B4948-DA8C-4C18-8CA6-DF7ABD3A4351}"/>
    <cellStyle name="_Table 2 6" xfId="5382" xr:uid="{39DDFE69-05C7-4837-B7EB-266629FA5C9B}"/>
    <cellStyle name="_Table 2 6 2" xfId="7047" xr:uid="{9E77AA9C-6407-4B40-B512-ED3B134C10B8}"/>
    <cellStyle name="_Table 2 7" xfId="5133" xr:uid="{0E9F2B43-0EF6-4575-8238-590C55264395}"/>
    <cellStyle name="_Table 2 7 2" xfId="6807" xr:uid="{F4BE9413-1712-4FA1-BF82-396B7C73BAB7}"/>
    <cellStyle name="_Table 2 8" xfId="5306" xr:uid="{F52BEBDD-C61B-4723-958B-CFCBF5A99D07}"/>
    <cellStyle name="_Table 2 8 2" xfId="6972" xr:uid="{2D001EDE-D7BF-4269-A65E-D136074E1297}"/>
    <cellStyle name="_Table 2 9" xfId="5168" xr:uid="{D12BDDBF-1E36-4075-AB60-4C2BFD13CD01}"/>
    <cellStyle name="_Table 2 9 2" xfId="6842" xr:uid="{D7ECA95D-FC48-4331-9331-FCEF354ADB15}"/>
    <cellStyle name="_Table 3" xfId="5509" xr:uid="{D4252C6C-AC19-497B-9852-8E3141269DC3}"/>
    <cellStyle name="_Table 3 2" xfId="7173" xr:uid="{0F658C5A-68A0-4F86-B540-BD60DE64366A}"/>
    <cellStyle name="_Table 4" xfId="5089" xr:uid="{CCB4C3AB-2226-4CA6-BEAB-B4D4008065E4}"/>
    <cellStyle name="_Table 4 2" xfId="6763" xr:uid="{4C86E080-FBA4-4455-B987-471BACC7CEE4}"/>
    <cellStyle name="_Table 5" xfId="5475" xr:uid="{F826184F-F664-44BE-9ECB-2F68D7CC577E}"/>
    <cellStyle name="_Table 5 2" xfId="7139" xr:uid="{5C0AC095-0A00-4390-BBDE-E9E22BB0631B}"/>
    <cellStyle name="_Table 6" xfId="5095" xr:uid="{814208A6-BF0D-4E48-8F2C-F0A0CD4FD77A}"/>
    <cellStyle name="_Table 6 2" xfId="6769" xr:uid="{D758CF19-C1AB-4FB1-9172-7B28BE07D3E0}"/>
    <cellStyle name="_Table 7" xfId="5383" xr:uid="{F0E48BA0-FADA-4327-8171-C072D4CCBCA8}"/>
    <cellStyle name="_Table 7 2" xfId="7048" xr:uid="{48FD3520-E68B-4CB1-981D-57C0E6C82D9F}"/>
    <cellStyle name="_Table 8" xfId="5132" xr:uid="{1B1B2E7A-7220-453C-A7D4-3A9B1EDBFCDF}"/>
    <cellStyle name="_Table 8 2" xfId="6806" xr:uid="{71C7E708-880C-4750-99B0-2DEB4EEABA86}"/>
    <cellStyle name="_Table 9" xfId="5307" xr:uid="{FB9BBF7B-E378-45E7-BBCD-AEC9BF2B74D9}"/>
    <cellStyle name="_Table 9 2" xfId="6973" xr:uid="{F149BFDE-FC32-4A21-BA07-63CA5D807892}"/>
    <cellStyle name="_Table_5 YR Plan" xfId="703" xr:uid="{68C6905B-49E1-4447-A55F-FAB638A055EA}"/>
    <cellStyle name="_Table_5 YR Plan 10" xfId="5169" xr:uid="{8E3740DB-CA48-474F-8154-8BF2EA073635}"/>
    <cellStyle name="_Table_5 YR Plan 10 2" xfId="6843" xr:uid="{D48B63EF-CAF2-406A-86B8-0F090E293EBE}"/>
    <cellStyle name="_Table_5 YR Plan 11" xfId="5273" xr:uid="{B85067E4-9ADD-4F36-9D13-2028B523EDE3}"/>
    <cellStyle name="_Table_5 YR Plan 11 2" xfId="6940" xr:uid="{31A96CED-8463-4049-AB4D-A339479F0741}"/>
    <cellStyle name="_Table_5 YR Plan 12" xfId="5174" xr:uid="{5D1EFE6E-3301-4443-9C94-2EBDCF8F1AC9}"/>
    <cellStyle name="_Table_5 YR Plan 12 2" xfId="6848" xr:uid="{F2312514-5482-48B4-B3B8-DF4A0E3E7C3E}"/>
    <cellStyle name="_Table_5 YR Plan 13" xfId="5082" xr:uid="{32855090-1A2D-45DF-9C2E-24105F79CD9F}"/>
    <cellStyle name="_Table_5 YR Plan 13 2" xfId="6756" xr:uid="{85810C81-797A-4C2B-9844-1531C89A2854}"/>
    <cellStyle name="_Table_5 YR Plan 14" xfId="6110" xr:uid="{D21FAA0E-F4D1-46BC-B76F-95D1CE9D1E0A}"/>
    <cellStyle name="_Table_5 YR Plan 14 2" xfId="7761" xr:uid="{8B66E921-E12F-47AC-927E-8689D363C097}"/>
    <cellStyle name="_Table_5 YR Plan 15" xfId="6342" xr:uid="{A4078D88-DEB1-449A-8129-202E897576D5}"/>
    <cellStyle name="_Table_5 YR Plan 2" xfId="704" xr:uid="{147C3BE4-82FB-4CE6-A307-7BB7A1E6FD2D}"/>
    <cellStyle name="_Table_5 YR Plan 2 10" xfId="5271" xr:uid="{CF7F4D0A-28AD-42DF-AE82-3C62C9E08339}"/>
    <cellStyle name="_Table_5 YR Plan 2 10 2" xfId="6938" xr:uid="{D242AF5B-663D-44BA-BA2C-114DB20B32C3}"/>
    <cellStyle name="_Table_5 YR Plan 2 11" xfId="5580" xr:uid="{C670C57C-1C84-47ED-BBE8-439B4E6D1504}"/>
    <cellStyle name="_Table_5 YR Plan 2 11 2" xfId="7241" xr:uid="{71EF47FA-E9C0-423A-AAA0-07EA087BE2B7}"/>
    <cellStyle name="_Table_5 YR Plan 2 12" xfId="5070" xr:uid="{71FE5DEF-C967-4B7F-B0F8-E5CC8EAB53AC}"/>
    <cellStyle name="_Table_5 YR Plan 2 12 2" xfId="6744" xr:uid="{ADBA3B7E-4F0A-4356-B5A9-6719ABD85FDF}"/>
    <cellStyle name="_Table_5 YR Plan 2 13" xfId="5188" xr:uid="{437ADB9E-D686-4E32-BFA0-58950C8DA264}"/>
    <cellStyle name="_Table_5 YR Plan 2 13 2" xfId="6862" xr:uid="{C52A3042-3719-4F12-A4E3-434974EEFA9D}"/>
    <cellStyle name="_Table_5 YR Plan 2 14" xfId="6343" xr:uid="{6A304FF8-1C59-49B1-8D5A-52E8C77AF998}"/>
    <cellStyle name="_Table_5 YR Plan 2 2" xfId="5506" xr:uid="{3638EE0B-F20E-4DFD-9A27-796C22E023BD}"/>
    <cellStyle name="_Table_5 YR Plan 2 2 2" xfId="7170" xr:uid="{28B810AC-4122-4571-945D-1DFAAA5ED168}"/>
    <cellStyle name="_Table_5 YR Plan 2 3" xfId="5092" xr:uid="{3F61058A-DA18-414A-8FDF-C00E77ADEEE8}"/>
    <cellStyle name="_Table_5 YR Plan 2 3 2" xfId="6766" xr:uid="{6E05EB7B-D3D3-4019-9F01-F810A3BE58B2}"/>
    <cellStyle name="_Table_5 YR Plan 2 4" xfId="5472" xr:uid="{F104B810-9620-4A45-9445-831CFAC62734}"/>
    <cellStyle name="_Table_5 YR Plan 2 4 2" xfId="7136" xr:uid="{24D2719A-E436-4ABE-8E3A-283C426352BB}"/>
    <cellStyle name="_Table_5 YR Plan 2 5" xfId="5098" xr:uid="{7EE74C85-2417-4822-9009-FF8895AB96BD}"/>
    <cellStyle name="_Table_5 YR Plan 2 5 2" xfId="6772" xr:uid="{B5464F25-F685-47A9-BC1D-4FBB2525017D}"/>
    <cellStyle name="_Table_5 YR Plan 2 6" xfId="5380" xr:uid="{0C6D7250-39A6-439F-A553-A6C2331AADD7}"/>
    <cellStyle name="_Table_5 YR Plan 2 6 2" xfId="7045" xr:uid="{14D7D224-5E6B-4DD5-B22A-179A4824FE8D}"/>
    <cellStyle name="_Table_5 YR Plan 2 7" xfId="5135" xr:uid="{AE93BE45-3703-474E-AB1E-1A1A6DAE80C0}"/>
    <cellStyle name="_Table_5 YR Plan 2 7 2" xfId="6809" xr:uid="{A509AE70-DA40-4C81-8B1A-360201DDE35F}"/>
    <cellStyle name="_Table_5 YR Plan 2 8" xfId="5304" xr:uid="{E2EEB9B0-07DF-45AE-8A09-41AA6735361F}"/>
    <cellStyle name="_Table_5 YR Plan 2 8 2" xfId="6970" xr:uid="{EDB734AD-D723-4C2F-A698-B0855A06CC6C}"/>
    <cellStyle name="_Table_5 YR Plan 2 9" xfId="5170" xr:uid="{D11BDED3-80AA-450F-8C9C-CF582A843C39}"/>
    <cellStyle name="_Table_5 YR Plan 2 9 2" xfId="6844" xr:uid="{90A38AB8-9586-43A5-9DF3-1E33088C25D1}"/>
    <cellStyle name="_Table_5 YR Plan 3" xfId="5507" xr:uid="{11382D34-5BC7-4652-9918-61E511A613F3}"/>
    <cellStyle name="_Table_5 YR Plan 3 2" xfId="7171" xr:uid="{14392993-7D5A-43D8-8541-274505E472D7}"/>
    <cellStyle name="_Table_5 YR Plan 4" xfId="5091" xr:uid="{E3B0D8FF-EAFB-4D3B-95D3-AD07CE2D0A56}"/>
    <cellStyle name="_Table_5 YR Plan 4 2" xfId="6765" xr:uid="{B683A5FF-2435-44A5-8362-C9E2E13FF0E9}"/>
    <cellStyle name="_Table_5 YR Plan 5" xfId="5473" xr:uid="{82E90D76-90A1-4B95-B042-21E05E273593}"/>
    <cellStyle name="_Table_5 YR Plan 5 2" xfId="7137" xr:uid="{8FE33BAD-5413-41CB-B3F7-67B620357915}"/>
    <cellStyle name="_Table_5 YR Plan 6" xfId="5097" xr:uid="{4FAC3448-A122-4DA4-878D-204EE4582154}"/>
    <cellStyle name="_Table_5 YR Plan 6 2" xfId="6771" xr:uid="{31887AF9-ABB5-4B67-B911-D06D3E1AF7BF}"/>
    <cellStyle name="_Table_5 YR Plan 7" xfId="5381" xr:uid="{2C0F39FB-618A-457A-ACE3-DDC6A2486E0A}"/>
    <cellStyle name="_Table_5 YR Plan 7 2" xfId="7046" xr:uid="{8D38CF12-3ADD-49AA-9D69-FD3E3F55F92E}"/>
    <cellStyle name="_Table_5 YR Plan 8" xfId="5134" xr:uid="{BDADAB85-B8F2-4077-9F07-96E2B5B7B8AE}"/>
    <cellStyle name="_Table_5 YR Plan 8 2" xfId="6808" xr:uid="{B069C229-3ACE-4839-875A-9FC426388AF0}"/>
    <cellStyle name="_Table_5 YR Plan 9" xfId="5305" xr:uid="{D23C067F-3428-467F-A42A-5A9B9DDEAC5F}"/>
    <cellStyle name="_Table_5 YR Plan 9 2" xfId="6971" xr:uid="{B0D48272-2E14-472D-B7E5-803949CBA6C6}"/>
    <cellStyle name="_Table_margin improvement shell" xfId="705" xr:uid="{43B30E4F-96F4-4059-8A16-73E26637DF67}"/>
    <cellStyle name="_Table_margin improvement shell 10" xfId="6124" xr:uid="{2D6398F3-0D43-48BE-B9BC-4AE91E2ECE0E}"/>
    <cellStyle name="_Table_margin improvement shell 10 2" xfId="7774" xr:uid="{5BBE1638-B36C-436F-AC95-8E949CA77CDD}"/>
    <cellStyle name="_Table_margin improvement shell 11" xfId="6092" xr:uid="{61261015-9FE8-486E-889C-09E607619F21}"/>
    <cellStyle name="_Table_margin improvement shell 11 2" xfId="7744" xr:uid="{E138EC7C-19C2-422E-8C0A-65460D03234F}"/>
    <cellStyle name="_Table_margin improvement shell 12" xfId="6201" xr:uid="{737C2FC6-67F2-40E7-A012-E78D33C839A7}"/>
    <cellStyle name="_Table_margin improvement shell 12 2" xfId="7848" xr:uid="{049FA9DF-625B-4F8A-BF25-9DA803A39B92}"/>
    <cellStyle name="_Table_margin improvement shell 13" xfId="4961" xr:uid="{EA146338-80F8-44BB-B9F3-52B70C8A5C98}"/>
    <cellStyle name="_Table_margin improvement shell 13 2" xfId="6641" xr:uid="{7F51D394-DE9A-4D5B-9E16-E6804EAF8183}"/>
    <cellStyle name="_Table_margin improvement shell 14" xfId="6344" xr:uid="{C2466021-188A-434A-B58F-E1C8E7ABAD80}"/>
    <cellStyle name="_Table_margin improvement shell 2" xfId="5505" xr:uid="{BA79B67F-FDDE-438D-8B6D-0B7DE7201B8E}"/>
    <cellStyle name="_Table_margin improvement shell 2 2" xfId="7169" xr:uid="{D70EC343-8F94-4E62-8DCE-1D2939F39DED}"/>
    <cellStyle name="_Table_margin improvement shell 3" xfId="5093" xr:uid="{50CD2F8A-1550-4EAA-98F0-876D26C8DC64}"/>
    <cellStyle name="_Table_margin improvement shell 3 2" xfId="6767" xr:uid="{81490AD1-26B3-45CE-8C4D-95B3BFE5968A}"/>
    <cellStyle name="_Table_margin improvement shell 4" xfId="5471" xr:uid="{BE5B574D-4821-4AF2-A676-47272481D088}"/>
    <cellStyle name="_Table_margin improvement shell 4 2" xfId="7135" xr:uid="{0BAD330B-A5FB-418E-B5D1-2F6290D4FC43}"/>
    <cellStyle name="_Table_margin improvement shell 5" xfId="5099" xr:uid="{03D4B23A-ECC0-4383-A405-823C3E5D1E0F}"/>
    <cellStyle name="_Table_margin improvement shell 5 2" xfId="6773" xr:uid="{F9C4D394-3F61-4297-9202-3A8165F045AC}"/>
    <cellStyle name="_Table_margin improvement shell 6" xfId="5379" xr:uid="{FDC82AE5-5016-4C8B-A497-F09B95F279E4}"/>
    <cellStyle name="_Table_margin improvement shell 6 2" xfId="7044" xr:uid="{C5C34FD3-6384-4EB4-8E20-9FC223E02FE9}"/>
    <cellStyle name="_Table_margin improvement shell 7" xfId="5136" xr:uid="{D69AE3B5-036F-4F0D-B617-F438551E26EE}"/>
    <cellStyle name="_Table_margin improvement shell 7 2" xfId="6810" xr:uid="{1E129FF1-0AB0-4355-91A2-4F1FD12B8B5D}"/>
    <cellStyle name="_Table_margin improvement shell 8" xfId="5303" xr:uid="{3C62D675-2DC4-4F37-87C9-DA143E9C5F72}"/>
    <cellStyle name="_Table_margin improvement shell 8 2" xfId="6969" xr:uid="{F0F24712-44D8-4541-B9F7-E188C12A2C67}"/>
    <cellStyle name="_Table_margin improvement shell 9" xfId="5171" xr:uid="{53F67258-A27F-4AE8-A702-ED5B14B065A1}"/>
    <cellStyle name="_Table_margin improvement shell 9 2" xfId="6845" xr:uid="{8211562B-7151-4FC6-A251-95BEAB377E3B}"/>
    <cellStyle name="_Table_MTU Diesel LBO Model" xfId="706" xr:uid="{2458E666-B90A-41C8-91D8-EB6BF6CF7759}"/>
    <cellStyle name="_Table_MTU Diesel LBO Model 10" xfId="6177" xr:uid="{29F58E2C-3BED-495C-9CC6-BFE771638DEF}"/>
    <cellStyle name="_Table_MTU Diesel LBO Model 10 2" xfId="7824" xr:uid="{C7BEAA9E-1A33-4B47-9E47-6F2E8D7138EB}"/>
    <cellStyle name="_Table_MTU Diesel LBO Model 11" xfId="6184" xr:uid="{D86524CD-E900-4E78-9003-A07A114896FB}"/>
    <cellStyle name="_Table_MTU Diesel LBO Model 11 2" xfId="7831" xr:uid="{6FF9790F-85E6-4937-AE08-D9586D0E66F8}"/>
    <cellStyle name="_Table_MTU Diesel LBO Model 12" xfId="5259" xr:uid="{8B0E70E7-5FF2-4DB0-BB24-FF3D7AAC24C6}"/>
    <cellStyle name="_Table_MTU Diesel LBO Model 12 2" xfId="6926" xr:uid="{8872B1B8-315E-4755-92CB-A9B0F013F0D8}"/>
    <cellStyle name="_Table_MTU Diesel LBO Model 13" xfId="5190" xr:uid="{FFCA186C-CB0F-4902-87EA-120EA8ACDE00}"/>
    <cellStyle name="_Table_MTU Diesel LBO Model 13 2" xfId="6864" xr:uid="{BD6B25ED-EEE3-4740-A47E-21207AE422EF}"/>
    <cellStyle name="_Table_MTU Diesel LBO Model 14" xfId="6345" xr:uid="{59CE6546-D39C-4CCF-B9D5-2AAB68C57503}"/>
    <cellStyle name="_Table_MTU Diesel LBO Model 2" xfId="5504" xr:uid="{90D65F38-1268-43E5-9687-95D086395B25}"/>
    <cellStyle name="_Table_MTU Diesel LBO Model 2 2" xfId="7168" xr:uid="{3AD9D2F7-C505-4560-86CC-A82746140945}"/>
    <cellStyle name="_Table_MTU Diesel LBO Model 3" xfId="5094" xr:uid="{BF92D7D5-BA38-4E78-AD72-D93F3F864B73}"/>
    <cellStyle name="_Table_MTU Diesel LBO Model 3 2" xfId="6768" xr:uid="{6BDD7477-1CF5-42D7-B2AA-64108AC134BD}"/>
    <cellStyle name="_Table_MTU Diesel LBO Model 4" xfId="5470" xr:uid="{155D6C2F-7B46-46A4-B6BE-56759D49A70E}"/>
    <cellStyle name="_Table_MTU Diesel LBO Model 4 2" xfId="7134" xr:uid="{4CDB9144-9DE2-4CB0-9228-5BDF7ED6DE52}"/>
    <cellStyle name="_Table_MTU Diesel LBO Model 5" xfId="5100" xr:uid="{3E58FE3A-EAF9-42B4-8268-F63C307F1E96}"/>
    <cellStyle name="_Table_MTU Diesel LBO Model 5 2" xfId="6774" xr:uid="{4247242F-F04A-4F2B-98CC-B54701B8F73D}"/>
    <cellStyle name="_Table_MTU Diesel LBO Model 6" xfId="5378" xr:uid="{1E1C57BF-B687-4A41-89B8-1D5CE061E24E}"/>
    <cellStyle name="_Table_MTU Diesel LBO Model 6 2" xfId="7043" xr:uid="{A792F7A3-D80A-44D8-9BFB-C88BCD72DA31}"/>
    <cellStyle name="_Table_MTU Diesel LBO Model 7" xfId="5137" xr:uid="{DF47DE9A-19F8-42AA-8A01-54A15638D3C3}"/>
    <cellStyle name="_Table_MTU Diesel LBO Model 7 2" xfId="6811" xr:uid="{9EB4D03F-3910-41F7-817F-ACB9D144DCDF}"/>
    <cellStyle name="_Table_MTU Diesel LBO Model 8" xfId="5302" xr:uid="{FD9630DD-2431-4334-80D2-11A6908F2EB9}"/>
    <cellStyle name="_Table_MTU Diesel LBO Model 8 2" xfId="6968" xr:uid="{F88763CE-8EED-4CDD-B33F-108FA2794C57}"/>
    <cellStyle name="_Table_MTU Diesel LBO Model 9" xfId="5172" xr:uid="{D66BA026-DEC5-4C30-9BF7-ADA5F6D9D021}"/>
    <cellStyle name="_Table_MTU Diesel LBO Model 9 2" xfId="6846" xr:uid="{37D7CA7A-2B85-4D66-A4A0-D1F1EF1EEF83}"/>
    <cellStyle name="_TableHead" xfId="707" xr:uid="{B74CB88B-068A-44BD-A419-FA05B7F95C61}"/>
    <cellStyle name="_TableHead_margin improvement shell" xfId="708" xr:uid="{0769F01F-4081-4C46-A116-F706CC429035}"/>
    <cellStyle name="_TableHead_MTU Diesel LBO Model" xfId="709" xr:uid="{E78A49AF-59DD-42C8-9500-AE2F7AA29EE1}"/>
    <cellStyle name="_TableRowHead" xfId="710" xr:uid="{82EBE6A5-226F-4730-9509-6517E958DF67}"/>
    <cellStyle name="_TableSuperHead" xfId="711" xr:uid="{7A9D5FBF-CDD8-4B04-B147-4D506DED342B}"/>
    <cellStyle name="_TableSuperHead_CSC - revised version 27 october" xfId="712" xr:uid="{15B835CD-14A8-4AA3-B942-DB912DC4B60C}"/>
    <cellStyle name="_Targets7" xfId="713" xr:uid="{38AE8F12-2E14-4FAF-A149-55E303C57CB9}"/>
    <cellStyle name="_Tarkett (Vestar) LBO Model v 2.0" xfId="714" xr:uid="{CEB94633-9A5E-4D18-838A-1A38A0E982CB}"/>
    <cellStyle name="-_Tarkett (Vestar) LBO Model v 2.0" xfId="715" xr:uid="{F2F0F2BE-7E3D-44C5-B644-D1F03E7DB09B}"/>
    <cellStyle name="_TG-TH" xfId="716" xr:uid="{BD1A5FD4-8286-4BED-9635-E7546DBB5BA8}"/>
    <cellStyle name="_TG-TH_1" xfId="717" xr:uid="{D4C8E3AC-6E0E-4CED-8440-3F6EF048B63F}"/>
    <cellStyle name="_TG-TH_1_Book1" xfId="718" xr:uid="{A3D1C0D3-55BA-4EEB-9BEA-89CCC1E32429}"/>
    <cellStyle name="_TG-TH_2" xfId="719" xr:uid="{93CDB3BA-0CC2-4670-9A01-3E67B9988C5A}"/>
    <cellStyle name="_TG-TH_2_Book1" xfId="720" xr:uid="{D663025C-DCF0-463C-8BB0-5F0D4E75F7EC}"/>
    <cellStyle name="_TG-TH_3" xfId="721" xr:uid="{CE608BA5-FBFC-4FB4-BDA8-42A561AAA9EA}"/>
    <cellStyle name="_TG-TH_4" xfId="722" xr:uid="{93403DEA-9B01-47FA-ABCC-F1BD28AFDA72}"/>
    <cellStyle name="_Valuation Model v4" xfId="723" xr:uid="{2216F549-4BA4-481D-9653-B9ABB63EADA1}"/>
    <cellStyle name="_VC_DSO" xfId="724" xr:uid="{EE013D3E-9E21-4114-B0DE-FF0501A5B5E8}"/>
    <cellStyle name="_VNU Operating Model V4" xfId="725" xr:uid="{437A569A-48BE-4969-A20B-7181F80091BC}"/>
    <cellStyle name="_Yhi_MinInt" xfId="726" xr:uid="{E4807D90-25E8-4E9A-BC68-95C389ABE824}"/>
    <cellStyle name="_Yhi_MinInt_Brand Rebuilding " xfId="727" xr:uid="{47D035DE-0AFC-430D-B6C2-8FFC56114980}"/>
    <cellStyle name="_Yhi_MinInt_NonEss Expenses" xfId="728" xr:uid="{B617924B-DF04-480F-929C-F3A0C44DF93B}"/>
    <cellStyle name="~1" xfId="729" xr:uid="{15891589-F6DC-4525-AF3E-91BAAD5C25FB}"/>
    <cellStyle name="’Ê‰Ý [0.00]_GE 3 MINIMUM" xfId="730" xr:uid="{17E39663-79F6-440B-9A5E-1F5D34F0762B}"/>
    <cellStyle name="’Ê‰Ý_GE 3 MINIMUM" xfId="731" xr:uid="{FAC7B6FC-44DA-4764-975F-B0BA186DA690}"/>
    <cellStyle name="¢" xfId="732" xr:uid="{366D7072-543C-4514-915D-3742A0B8EF39}"/>
    <cellStyle name="¢_RHM LBO Core v2" xfId="733" xr:uid="{5B19D56F-EFEC-4CD4-B423-080DBD6DAF40}"/>
    <cellStyle name="¢_temp templates2" xfId="734" xr:uid="{BAE2E9EE-4A8B-462A-823F-3A358B36B920}"/>
    <cellStyle name="£ BP" xfId="735" xr:uid="{62E5FCA2-9997-43DB-BE30-E6BBC03495A0}"/>
    <cellStyle name="¥ JY" xfId="736" xr:uid="{94F516BB-5F4E-42D4-98A6-7BBE0D15F49C}"/>
    <cellStyle name="=C:\WINNT35\SYSTEM32\COMMAND.COM" xfId="737" xr:uid="{D03D3D00-A6F9-4558-AD59-616822B556C4}"/>
    <cellStyle name="‡" xfId="738" xr:uid="{0DA394F4-243B-4EE9-923F-16196F7D434D}"/>
    <cellStyle name="‡_5 YR Plan" xfId="739" xr:uid="{4616E6E4-5F0E-4831-B4BC-FDD9EAE8DF91}"/>
    <cellStyle name="•W€_GE 3 MINIMUM" xfId="740" xr:uid="{76B6D019-3402-48E0-96EB-BB1561AD0F30}"/>
    <cellStyle name="•W_’·Šú‰p•¶" xfId="741" xr:uid="{1822E836-A981-4C70-8400-A147F909C062}"/>
    <cellStyle name="W_STDFOR" xfId="742" xr:uid="{81EF470E-52DE-4495-8233-F26B7AF2561D}"/>
    <cellStyle name="0" xfId="743" xr:uid="{7E2CCFD4-15D5-4B75-90A7-D8E451EF1FF3}"/>
    <cellStyle name="0%" xfId="744" xr:uid="{C92AE8A6-1EE1-469C-86A1-58C8A5FE0044}"/>
    <cellStyle name="0,0_x000a__x000a_NA_x000a__x000a_" xfId="745" xr:uid="{9EEDAC11-6DAF-4599-91E0-9F56EA890A83}"/>
    <cellStyle name="0,0_x000d__x000a_NA_x000d__x000a_" xfId="746" xr:uid="{F4EEBF70-6E7F-4F4E-8230-7E1F7DBBCAB8}"/>
    <cellStyle name="0,0_x000d__x000a_NA_x000d__x000a_ 2" xfId="747" xr:uid="{B55AB17B-AE2E-454A-85B3-7DCB79A30592}"/>
    <cellStyle name="0.0" xfId="748" xr:uid="{EB4D3C84-DBD9-4111-939F-D76C0AB7903C}"/>
    <cellStyle name="0.0 x" xfId="749" xr:uid="{3D48ADC7-978D-41B2-A271-55B3A9F1C86C}"/>
    <cellStyle name="0.0%" xfId="750" xr:uid="{858DC300-EDC1-4923-B432-C0C6F47A1D3B}"/>
    <cellStyle name="0.0_Casino LBO Model - 28 June" xfId="751" xr:uid="{D5A364C5-DB19-4710-AE3F-F315EC05AF59}"/>
    <cellStyle name="0.00" xfId="752" xr:uid="{BAD93185-798B-4C96-BF2E-2FE8BADBA142}"/>
    <cellStyle name="0.00%" xfId="753" xr:uid="{22F4C772-7CB2-4C20-B5C9-CE2B37111D03}"/>
    <cellStyle name="0.0x" xfId="754" xr:uid="{3DB7B11A-7772-4A99-A9E7-2F31AA54D2A0}"/>
    <cellStyle name="0_05FinRX-1" xfId="755" xr:uid="{09A3E757-74E6-49EB-AE80-5BC2B15C611A}"/>
    <cellStyle name="0_05FinRX-1_Brand Rebuilding Asia" xfId="756" xr:uid="{17FDF08E-6E4D-4581-BEAD-0BFF9E405162}"/>
    <cellStyle name="0_05FinRX-1_Brand Rebuilding Asia_Book1" xfId="757" xr:uid="{8B5CF53C-3B64-446F-A65A-BD1119C1BF14}"/>
    <cellStyle name="0_05FinRX-1_Brand Rebuilding Asia_Draft reporting v4 031709" xfId="758" xr:uid="{55A4E464-AA8E-4582-82E7-6812150E3954}"/>
    <cellStyle name="0_05FinRX-1_Brand Rebuilding Asia_Draft reporting v6 031909" xfId="759" xr:uid="{A25E7458-2E53-4D14-8F87-7F7E78055615}"/>
    <cellStyle name="0_05FinRX-1_Brand Rebuilding Asia_Draft reporting v7 032509" xfId="760" xr:uid="{EFE1C824-C679-4D15-B23E-12646BD56C36}"/>
    <cellStyle name="0_05FinRX-1_NonEss Expenses" xfId="761" xr:uid="{410FB073-40EF-4ED4-884B-882AA92A7184}"/>
    <cellStyle name="0_05FinRX-1_NonEss Expenses_Book1" xfId="762" xr:uid="{9B05E600-4F1D-4871-BB30-6F7C70FF2BF0}"/>
    <cellStyle name="0_05FinRX-1_NonEss Expenses_Draft reporting v4 031709" xfId="763" xr:uid="{ABD11C5D-BC44-4690-BDC5-201D47B857DA}"/>
    <cellStyle name="0_05FinRX-1_NonEss Expenses_Draft reporting v6 031909" xfId="764" xr:uid="{A96B89FE-5C63-438B-AFFF-1CCB5B7307AC}"/>
    <cellStyle name="0_05FinRX-1_NonEss Expenses_Draft reporting v7 032509" xfId="765" xr:uid="{406AADDE-6D15-4673-A2E7-5FEF228B4768}"/>
    <cellStyle name="0_05FinVC" xfId="766" xr:uid="{971897D0-AD9C-4059-A29A-3D3DDCF77A3A}"/>
    <cellStyle name="0_05FinVC_05FinSU-HK(v.7)-value" xfId="767" xr:uid="{9FABADC3-1690-4E77-A08D-6F5D79C3A7EF}"/>
    <cellStyle name="0_05FinVC_05FinSU-HK(v.7)-value_Brand Rebuilding Asia" xfId="768" xr:uid="{AEF3C66A-94B3-4393-B4C1-A57855C4DEA8}"/>
    <cellStyle name="0_05FinVC_05FinSU-HK(v.7)-value_Brand Rebuilding Asia_Book1" xfId="769" xr:uid="{9CE3B2DC-9251-4C3C-846E-6B2F76C30E3E}"/>
    <cellStyle name="0_05FinVC_05FinSU-HK(v.7)-value_Brand Rebuilding Asia_Draft reporting v4 031709" xfId="770" xr:uid="{33063DB9-33EF-4E33-8371-FC8A0BDD77C6}"/>
    <cellStyle name="0_05FinVC_05FinSU-HK(v.7)-value_Brand Rebuilding Asia_Draft reporting v6 031909" xfId="771" xr:uid="{10398AE7-303D-42D5-A9C8-AD73AD9CD1DF}"/>
    <cellStyle name="0_05FinVC_05FinSU-HK(v.7)-value_Brand Rebuilding Asia_Draft reporting v7 032509" xfId="772" xr:uid="{C87145CD-3D80-435E-ABA1-DA381641F29C}"/>
    <cellStyle name="0_05FinVC_05FinSU-HK(v.7)-value_NonEss Expenses" xfId="773" xr:uid="{BE2023E8-0EA1-430C-9E5F-A5EB4B20F951}"/>
    <cellStyle name="0_05FinVC_05FinSU-HK(v.7)-value_NonEss Expenses_Book1" xfId="774" xr:uid="{8F1CE3DC-A41A-473E-851D-5837E1AF32D1}"/>
    <cellStyle name="0_05FinVC_05FinSU-HK(v.7)-value_NonEss Expenses_Draft reporting v4 031709" xfId="775" xr:uid="{20FC9A30-3E6C-4E42-A9F2-97AD6E19514C}"/>
    <cellStyle name="0_05FinVC_05FinSU-HK(v.7)-value_NonEss Expenses_Draft reporting v6 031909" xfId="776" xr:uid="{3A27EF84-A299-42D3-B456-CC4812595DD8}"/>
    <cellStyle name="0_05FinVC_05FinSU-HK(v.7)-value_NonEss Expenses_Draft reporting v7 032509" xfId="777" xr:uid="{8BAF4AC4-93A8-4E80-A808-28C95485A77D}"/>
    <cellStyle name="0_05FinVC_Brand Rebuilding Asia" xfId="778" xr:uid="{83A1679F-41E7-48C4-BCA9-AEEF38725C6B}"/>
    <cellStyle name="0_05FinVC_Brand Rebuilding Asia_Book1" xfId="779" xr:uid="{D339232D-1727-4BA7-83EB-860C68D7EF8C}"/>
    <cellStyle name="0_05FinVC_Brand Rebuilding Asia_Draft reporting v4 031709" xfId="780" xr:uid="{81E6822A-7473-4CA0-8FE2-3D86E512A4C1}"/>
    <cellStyle name="0_05FinVC_Brand Rebuilding Asia_Draft reporting v6 031909" xfId="781" xr:uid="{9980F938-3D9C-4474-BCBD-FD7DBB7C9207}"/>
    <cellStyle name="0_05FinVC_Brand Rebuilding Asia_Draft reporting v7 032509" xfId="782" xr:uid="{D76628D8-A606-484A-B081-787D46329127}"/>
    <cellStyle name="0_05FinVC_CSH" xfId="783" xr:uid="{328F77F0-A40F-436F-B3B7-1AEB1A8256B7}"/>
    <cellStyle name="0_05FinVC_CSH_Brand Rebuilding Asia" xfId="784" xr:uid="{D900D606-2ABF-4772-ABA5-EF18011EF038}"/>
    <cellStyle name="0_05FinVC_CSH_Brand Rebuilding Asia_Book1" xfId="785" xr:uid="{97B57AB0-6E86-420A-B3AA-62E5A11E3B67}"/>
    <cellStyle name="0_05FinVC_CSH_Brand Rebuilding Asia_Draft reporting v4 031709" xfId="786" xr:uid="{3D3E08CC-ABF2-4CB1-BAC4-AE4963E12DCE}"/>
    <cellStyle name="0_05FinVC_CSH_Brand Rebuilding Asia_Draft reporting v6 031909" xfId="787" xr:uid="{77FE9632-A842-4AB7-9BFE-68EE889812C7}"/>
    <cellStyle name="0_05FinVC_CSH_Brand Rebuilding Asia_Draft reporting v7 032509" xfId="788" xr:uid="{66B9EAFF-3152-4D0F-AC63-3BB6DA324CD3}"/>
    <cellStyle name="0_05FinVC_CSH_NonEss Expenses" xfId="789" xr:uid="{66E3908F-BAC2-4D26-B7E7-4E18729811E5}"/>
    <cellStyle name="0_05FinVC_CSH_NonEss Expenses_Book1" xfId="790" xr:uid="{F5910A97-19CA-4E36-8558-13236650AE78}"/>
    <cellStyle name="0_05FinVC_CSH_NonEss Expenses_Draft reporting v4 031709" xfId="791" xr:uid="{179BB0DE-F0E7-401D-9C80-46C1BBA840AD}"/>
    <cellStyle name="0_05FinVC_CSH_NonEss Expenses_Draft reporting v6 031909" xfId="792" xr:uid="{5A33C5B4-890D-48B2-9F2A-D12B94EC935F}"/>
    <cellStyle name="0_05FinVC_CSH_NonEss Expenses_Draft reporting v7 032509" xfId="793" xr:uid="{1141378F-E850-4436-BFF9-08A343240422}"/>
    <cellStyle name="0_05FinVC_GCH" xfId="794" xr:uid="{A0CE22C1-57B2-4E8A-85CE-6BB10D7697C7}"/>
    <cellStyle name="0_05FinVC_GCH_Book1" xfId="795" xr:uid="{026913C2-F2D1-47A1-BAFC-F95AA93B961B}"/>
    <cellStyle name="0_05FinVC_GCH_Brand Rebuilding " xfId="796" xr:uid="{EB141D7C-A75C-4C93-89AE-67D205804533}"/>
    <cellStyle name="0_05FinVC_GCH_Brand Rebuilding _Book1" xfId="797" xr:uid="{E22C4F76-043D-43D5-B09E-7611188EA1CA}"/>
    <cellStyle name="0_05FinVC_GCH_Brand Rebuilding _Draft reporting v4 031709" xfId="798" xr:uid="{58513DA5-E9E2-4C20-A5BA-DCDBE377DBF8}"/>
    <cellStyle name="0_05FinVC_GCH_Brand Rebuilding _Draft reporting v6 031909" xfId="799" xr:uid="{33E1E5A4-5CE5-4D66-A93A-A6FEE50D9DF6}"/>
    <cellStyle name="0_05FinVC_GCH_Brand Rebuilding _Draft reporting v7 032509" xfId="800" xr:uid="{56AFFC90-D026-4003-ACF3-B4D49FBFC664}"/>
    <cellStyle name="0_05FinVC_GCH_Draft reporting v4 031709" xfId="801" xr:uid="{A0B5A930-FEE8-44E7-8045-4E4B683A711F}"/>
    <cellStyle name="0_05FinVC_GCH_Draft reporting v6 031909" xfId="802" xr:uid="{16BAC814-ECF6-4608-AE46-7202A41827D4}"/>
    <cellStyle name="0_05FinVC_GCH_Draft reporting v7 032509" xfId="803" xr:uid="{08D3AA06-628E-4976-A7C5-CA16BBC49CAD}"/>
    <cellStyle name="0_05FinVC_GCH_NonEss Expenses" xfId="804" xr:uid="{FDDDBB8C-5703-4963-93FF-82AA783BFDCA}"/>
    <cellStyle name="0_05FinVC_GCH_NonEss Expenses_Book1" xfId="805" xr:uid="{09915143-718E-476D-91E7-01C1FB2F2436}"/>
    <cellStyle name="0_05FinVC_GCH_NonEss Expenses_Draft reporting v4 031709" xfId="806" xr:uid="{C76C2905-7A00-44F8-88F5-974BE97AEED5}"/>
    <cellStyle name="0_05FinVC_GCH_NonEss Expenses_Draft reporting v6 031909" xfId="807" xr:uid="{A5047D37-97AC-4ED3-9C97-28B3DC4A5DCF}"/>
    <cellStyle name="0_05FinVC_GCH_NonEss Expenses_Draft reporting v7 032509" xfId="808" xr:uid="{7B00FB23-E996-469D-8727-999E866C5680}"/>
    <cellStyle name="0_05FinVC_NonEss Expenses" xfId="809" xr:uid="{E792B0A0-E593-4898-8DBF-84B077FF9895}"/>
    <cellStyle name="0_05FinVC_NonEss Expenses_Book1" xfId="810" xr:uid="{75524633-C5EA-4A76-A82A-6DCBF1002FF5}"/>
    <cellStyle name="0_05FinVC_NonEss Expenses_Draft reporting v4 031709" xfId="811" xr:uid="{5343BE56-ECD9-4303-9765-AE04F371876F}"/>
    <cellStyle name="0_05FinVC_NonEss Expenses_Draft reporting v6 031909" xfId="812" xr:uid="{31338DE2-9C43-4509-8C09-EFDAF20908C1}"/>
    <cellStyle name="0_05FinVC_NonEss Expenses_Draft reporting v7 032509" xfId="813" xr:uid="{748BA31B-A5C0-4ECA-8E2B-AA799F1CA772}"/>
    <cellStyle name="0_06FinSU" xfId="814" xr:uid="{90F78624-AEA3-40C2-84B8-5D78D6517BFD}"/>
    <cellStyle name="0_06FinSU_Book1" xfId="815" xr:uid="{D7EAACDF-40D1-47B5-A08D-F25CCFAC350D}"/>
    <cellStyle name="0_06FinSU_Brand Rebuilding " xfId="816" xr:uid="{58C66150-A04F-4C35-AEE4-CC08FD289AB4}"/>
    <cellStyle name="0_06FinSU_Brand Rebuilding _Book1" xfId="817" xr:uid="{AEC5B6E9-33A8-4F60-A4E5-9C66DF9BD4A7}"/>
    <cellStyle name="0_06FinSU_Brand Rebuilding _Draft reporting v4 031709" xfId="818" xr:uid="{20EC4F46-87D9-4588-AA2E-8812669B3E77}"/>
    <cellStyle name="0_06FinSU_Brand Rebuilding _Draft reporting v6 031909" xfId="819" xr:uid="{D3F3CFA1-2A63-4EBF-BB0F-C9352CE66101}"/>
    <cellStyle name="0_06FinSU_Brand Rebuilding _Draft reporting v7 032509" xfId="820" xr:uid="{F76E9C78-F6FA-4FB2-B2AF-48B6AC1A66D1}"/>
    <cellStyle name="0_06FinSU_Draft reporting v4 031709" xfId="821" xr:uid="{192652D6-D911-4334-97BC-CD4FC11DE9AA}"/>
    <cellStyle name="0_06FinSU_Draft reporting v6 031909" xfId="822" xr:uid="{535C8B42-E8B3-468A-8D91-F52529E41F44}"/>
    <cellStyle name="0_06FinSU_Draft reporting v7 032509" xfId="823" xr:uid="{1ABD37AC-CD27-4F72-AA7D-C2BA4E828C05}"/>
    <cellStyle name="0_06FinSU_NonEss Expenses" xfId="824" xr:uid="{616503CA-F2DD-4698-A902-D991A141CB56}"/>
    <cellStyle name="0_06FinSU_NonEss Expenses_Book1" xfId="825" xr:uid="{1DED0D8F-6BCA-4239-9DA5-309860450F9F}"/>
    <cellStyle name="0_06FinSU_NonEss Expenses_Draft reporting v4 031709" xfId="826" xr:uid="{F70EA5AA-C781-4D08-B4EB-1539FDEEDA7A}"/>
    <cellStyle name="0_06FinSU_NonEss Expenses_Draft reporting v6 031909" xfId="827" xr:uid="{D78273E3-1AEE-443C-B35D-B5FD72B1240D}"/>
    <cellStyle name="0_06FinSU_NonEss Expenses_Draft reporting v7 032509" xfId="828" xr:uid="{F76C1B85-3444-4ECA-B390-8374EA5FD265}"/>
    <cellStyle name="0_06FinVC" xfId="829" xr:uid="{BD03D16E-2661-4A45-B346-AEB6C3791FB8}"/>
    <cellStyle name="0_06FinVC_Brand Rebuilding Asia" xfId="830" xr:uid="{4F62C96F-F1EF-4F21-B30A-E2F840CD15D4}"/>
    <cellStyle name="0_06FinVC_Brand Rebuilding Asia_Book1" xfId="831" xr:uid="{A27041F3-8FF0-45F8-8DC7-59FF91E955D3}"/>
    <cellStyle name="0_06FinVC_Brand Rebuilding Asia_Draft reporting v4 031709" xfId="832" xr:uid="{0BB2CDD9-D8E4-4159-8C3D-D67A9C9BC8C9}"/>
    <cellStyle name="0_06FinVC_Brand Rebuilding Asia_Draft reporting v6 031909" xfId="833" xr:uid="{D2577CF1-E26E-498D-BBD8-6D41DED3A997}"/>
    <cellStyle name="0_06FinVC_Brand Rebuilding Asia_Draft reporting v7 032509" xfId="834" xr:uid="{3573F39F-3FD0-4DFE-9158-EF58FA6B908D}"/>
    <cellStyle name="0_06FinVC_NonEss Expenses" xfId="835" xr:uid="{5185D5FE-B3A3-4E20-8A6D-76EC3F77D9A2}"/>
    <cellStyle name="0_06FinVC_NonEss Expenses_Book1" xfId="836" xr:uid="{FF7DAFBE-EF40-4D35-97ED-A1E8ED7DC56F}"/>
    <cellStyle name="0_06FinVC_NonEss Expenses_Draft reporting v4 031709" xfId="837" xr:uid="{A0B220C5-124B-460D-A300-CFEB65F60121}"/>
    <cellStyle name="0_06FinVC_NonEss Expenses_Draft reporting v6 031909" xfId="838" xr:uid="{09B59E4E-5290-491E-A520-993018B75432}"/>
    <cellStyle name="0_06FinVC_NonEss Expenses_Draft reporting v7 032509" xfId="839" xr:uid="{74BE86E8-167C-4D9E-A51B-149207A3AC77}"/>
    <cellStyle name="0_2005 Headcount Plan Submission-EMEA" xfId="840" xr:uid="{8F5FBEDB-A56C-48C2-BE97-2343C326CF0B}"/>
    <cellStyle name="0_2005OP&amp;6+6(RX)-7mths" xfId="841" xr:uid="{512E280A-0A05-4EF5-A4C4-698BAAAA5D3F}"/>
    <cellStyle name="0_2005OP&amp;6+6(RX)-7mths_05FinSU-HK(v.7)-value" xfId="842" xr:uid="{46248CA5-F59B-48D7-9B4B-0D435A5DB2AD}"/>
    <cellStyle name="0_2005OP&amp;6+6(RX)-7mths_05FinSU-HK(v.7)-value_Brand Rebuilding Asia" xfId="843" xr:uid="{5B56ECE3-AEA1-4234-B3AD-58B5BA2C6BD5}"/>
    <cellStyle name="0_2005OP&amp;6+6(RX)-7mths_05FinSU-HK(v.7)-value_Brand Rebuilding Asia_Book1" xfId="844" xr:uid="{7F330A0F-E2FC-4501-B875-CF3439659E2B}"/>
    <cellStyle name="0_2005OP&amp;6+6(RX)-7mths_05FinSU-HK(v.7)-value_Brand Rebuilding Asia_Draft reporting v4 031709" xfId="845" xr:uid="{6B9379CB-FA08-464D-9D07-80680C054370}"/>
    <cellStyle name="0_2005OP&amp;6+6(RX)-7mths_05FinSU-HK(v.7)-value_Brand Rebuilding Asia_Draft reporting v6 031909" xfId="846" xr:uid="{C15C552C-7FEB-439A-B332-81D5CAD7080E}"/>
    <cellStyle name="0_2005OP&amp;6+6(RX)-7mths_05FinSU-HK(v.7)-value_Brand Rebuilding Asia_Draft reporting v7 032509" xfId="847" xr:uid="{26F8E897-7900-46C2-89FD-162AC11FEC2E}"/>
    <cellStyle name="0_2005OP&amp;6+6(RX)-7mths_05FinSU-HK(v.7)-value_NonEss Expenses" xfId="848" xr:uid="{A98FD7C3-BB2E-4535-9153-DEFE9FD7CB86}"/>
    <cellStyle name="0_2005OP&amp;6+6(RX)-7mths_05FinSU-HK(v.7)-value_NonEss Expenses_Book1" xfId="849" xr:uid="{52D449A6-A774-4D59-AFF1-AF453681929D}"/>
    <cellStyle name="0_2005OP&amp;6+6(RX)-7mths_05FinSU-HK(v.7)-value_NonEss Expenses_Draft reporting v4 031709" xfId="850" xr:uid="{862B3BBE-0EDA-4716-9A11-2905A928E77E}"/>
    <cellStyle name="0_2005OP&amp;6+6(RX)-7mths_05FinSU-HK(v.7)-value_NonEss Expenses_Draft reporting v6 031909" xfId="851" xr:uid="{26706A22-7871-4400-A76F-DE26356B8CD3}"/>
    <cellStyle name="0_2005OP&amp;6+6(RX)-7mths_05FinSU-HK(v.7)-value_NonEss Expenses_Draft reporting v7 032509" xfId="852" xr:uid="{20CB26F9-15AC-42ED-96AE-D75337BB219F}"/>
    <cellStyle name="0_2005OP&amp;6+6(RX)-7mths_Brand Rebuilding Asia" xfId="853" xr:uid="{0C733CEC-7D60-4854-81CD-DF0B397087A0}"/>
    <cellStyle name="0_2005OP&amp;6+6(RX)-7mths_Brand Rebuilding Asia_Book1" xfId="854" xr:uid="{8FE37696-6AAD-4401-B343-B3D2C6FC23C5}"/>
    <cellStyle name="0_2005OP&amp;6+6(RX)-7mths_Brand Rebuilding Asia_Draft reporting v4 031709" xfId="855" xr:uid="{C5E68831-B9AC-4B55-B293-289FDF9DEE2F}"/>
    <cellStyle name="0_2005OP&amp;6+6(RX)-7mths_Brand Rebuilding Asia_Draft reporting v6 031909" xfId="856" xr:uid="{DD3F0BB8-7B36-4DA4-8AF8-71D112B56F6E}"/>
    <cellStyle name="0_2005OP&amp;6+6(RX)-7mths_Brand Rebuilding Asia_Draft reporting v7 032509" xfId="857" xr:uid="{4D210719-44C0-464A-8912-0CF96678B046}"/>
    <cellStyle name="0_2005OP&amp;6+6(RX)-7mths_CSH" xfId="858" xr:uid="{506F79A9-BFCD-412F-9CDE-E0DC12CDC0A5}"/>
    <cellStyle name="0_2005OP&amp;6+6(RX)-7mths_CSH_Brand Rebuilding Asia" xfId="859" xr:uid="{5265A616-312C-4DF8-9ACE-3FFE2BE3D051}"/>
    <cellStyle name="0_2005OP&amp;6+6(RX)-7mths_CSH_Brand Rebuilding Asia_Book1" xfId="860" xr:uid="{B5775C13-BAFC-4D87-9B71-D9B78EB926DC}"/>
    <cellStyle name="0_2005OP&amp;6+6(RX)-7mths_CSH_Brand Rebuilding Asia_Draft reporting v4 031709" xfId="861" xr:uid="{D148989B-6BF0-425D-9C90-4BBDDE5A97CB}"/>
    <cellStyle name="0_2005OP&amp;6+6(RX)-7mths_CSH_Brand Rebuilding Asia_Draft reporting v6 031909" xfId="862" xr:uid="{36625421-5488-46D5-AE24-3455E906D1BD}"/>
    <cellStyle name="0_2005OP&amp;6+6(RX)-7mths_CSH_Brand Rebuilding Asia_Draft reporting v7 032509" xfId="863" xr:uid="{5A6D1500-608A-4610-A865-7D18F0AA97B1}"/>
    <cellStyle name="0_2005OP&amp;6+6(RX)-7mths_CSH_NonEss Expenses" xfId="864" xr:uid="{0A8C7B25-0076-415F-9F38-E27BC77C0DBD}"/>
    <cellStyle name="0_2005OP&amp;6+6(RX)-7mths_CSH_NonEss Expenses_Book1" xfId="865" xr:uid="{CBCAD5F4-4FE1-44B7-937E-5C8DA95EB8DC}"/>
    <cellStyle name="0_2005OP&amp;6+6(RX)-7mths_CSH_NonEss Expenses_Draft reporting v4 031709" xfId="866" xr:uid="{15C21BCD-B235-482E-9853-C98D8C8EB868}"/>
    <cellStyle name="0_2005OP&amp;6+6(RX)-7mths_CSH_NonEss Expenses_Draft reporting v6 031909" xfId="867" xr:uid="{E93C7773-0F40-432B-B6D5-CC9B9C28AD2B}"/>
    <cellStyle name="0_2005OP&amp;6+6(RX)-7mths_CSH_NonEss Expenses_Draft reporting v7 032509" xfId="868" xr:uid="{DE9063AE-1DDA-42CE-95AA-FDADF0EA2330}"/>
    <cellStyle name="0_2005OP&amp;6+6(RX)-7mths_GCH" xfId="869" xr:uid="{F078B440-E30E-42F1-82D8-4BD72A0DB3C1}"/>
    <cellStyle name="0_2005OP&amp;6+6(RX)-7mths_GCH_Book1" xfId="870" xr:uid="{7F6F2697-97BC-462A-A659-0C67EC7B8E60}"/>
    <cellStyle name="0_2005OP&amp;6+6(RX)-7mths_GCH_Brand Rebuilding " xfId="871" xr:uid="{1281822A-02B3-4D0D-882D-1DD28C67FF39}"/>
    <cellStyle name="0_2005OP&amp;6+6(RX)-7mths_GCH_Brand Rebuilding _Book1" xfId="872" xr:uid="{8566AB3D-0530-42EA-BF9D-5926C32650B9}"/>
    <cellStyle name="0_2005OP&amp;6+6(RX)-7mths_GCH_Brand Rebuilding _Draft reporting v4 031709" xfId="873" xr:uid="{7EEC930B-C229-4B56-93B8-71486BD0D330}"/>
    <cellStyle name="0_2005OP&amp;6+6(RX)-7mths_GCH_Brand Rebuilding _Draft reporting v6 031909" xfId="874" xr:uid="{544A603F-BBB1-477F-911E-8C362B13C506}"/>
    <cellStyle name="0_2005OP&amp;6+6(RX)-7mths_GCH_Brand Rebuilding _Draft reporting v7 032509" xfId="875" xr:uid="{4B2D274E-7D74-405A-B1AA-72DD128A8C32}"/>
    <cellStyle name="0_2005OP&amp;6+6(RX)-7mths_GCH_Draft reporting v4 031709" xfId="876" xr:uid="{1CBC38B7-964E-4130-A3CD-856A9F647E99}"/>
    <cellStyle name="0_2005OP&amp;6+6(RX)-7mths_GCH_Draft reporting v6 031909" xfId="877" xr:uid="{B486A81B-9B4A-4112-A7A5-8A94F1E23218}"/>
    <cellStyle name="0_2005OP&amp;6+6(RX)-7mths_GCH_Draft reporting v7 032509" xfId="878" xr:uid="{F87E1C8E-E6D3-4553-A663-A6342A705FD2}"/>
    <cellStyle name="0_2005OP&amp;6+6(RX)-7mths_GCH_NonEss Expenses" xfId="879" xr:uid="{8C095CDE-DC7C-4836-9346-D4D22578C67F}"/>
    <cellStyle name="0_2005OP&amp;6+6(RX)-7mths_GCH_NonEss Expenses_Book1" xfId="880" xr:uid="{B9166320-43E7-4354-AB91-7A7A4039E04C}"/>
    <cellStyle name="0_2005OP&amp;6+6(RX)-7mths_GCH_NonEss Expenses_Draft reporting v4 031709" xfId="881" xr:uid="{CC6FDDBF-6888-4CEE-9ACD-AB762BF376C9}"/>
    <cellStyle name="0_2005OP&amp;6+6(RX)-7mths_GCH_NonEss Expenses_Draft reporting v6 031909" xfId="882" xr:uid="{8BC5EECA-E13B-429E-9DFE-D7AF833D711A}"/>
    <cellStyle name="0_2005OP&amp;6+6(RX)-7mths_GCH_NonEss Expenses_Draft reporting v7 032509" xfId="883" xr:uid="{4BE97113-2302-43B6-B720-8C99D5157F5C}"/>
    <cellStyle name="0_2005OP&amp;6+6(RX)-7mths_NonEss Expenses" xfId="884" xr:uid="{8826581D-48F8-478C-AF0F-E89864E17BC8}"/>
    <cellStyle name="0_2005OP&amp;6+6(RX)-7mths_NonEss Expenses_Book1" xfId="885" xr:uid="{DB5CBA9E-5EB7-47B3-BAD0-E29F20CEA8CE}"/>
    <cellStyle name="0_2005OP&amp;6+6(RX)-7mths_NonEss Expenses_Draft reporting v4 031709" xfId="886" xr:uid="{24BA286A-FBC1-41D2-9767-48094D253042}"/>
    <cellStyle name="0_2005OP&amp;6+6(RX)-7mths_NonEss Expenses_Draft reporting v6 031909" xfId="887" xr:uid="{D8F62A83-7263-4FC1-9D14-55FE916E1A56}"/>
    <cellStyle name="0_2005OP&amp;6+6(RX)-7mths_NonEss Expenses_Draft reporting v7 032509" xfId="888" xr:uid="{3AEE62E6-2E0E-46B3-A5B7-7BA1638D2A61}"/>
    <cellStyle name="0_Asia 2005 HC Plan final" xfId="889" xr:uid="{BEDAF8AF-D5EA-48DB-8F07-790D01657FEC}"/>
    <cellStyle name="0_Asia 2005 HC Plan final_Book1" xfId="890" xr:uid="{213A7B07-610C-4541-8C6A-C5E3F75B0C06}"/>
    <cellStyle name="0_Asia 2005 HC Plan final_Draft reporting v4 031709" xfId="891" xr:uid="{274B6E9A-96AB-40C8-BB43-781F4D9D1AAA}"/>
    <cellStyle name="0_Asia 2005 HC Plan final_Draft reporting v6 031909" xfId="892" xr:uid="{D0616D59-14D8-4D60-8DF4-B9E6FCEE4326}"/>
    <cellStyle name="0_Asia 2005 HC Plan final_Draft reporting v7 032509" xfId="893" xr:uid="{013AEB2A-B419-434F-9C93-50046FC0CAFF}"/>
    <cellStyle name="0_Brand Rebuilding Asia" xfId="894" xr:uid="{7C7092AB-EB10-40D2-A9B8-1F8BAE9ED5AC}"/>
    <cellStyle name="0_Brand Rebuilding Asia_Book1" xfId="895" xr:uid="{8F0728D0-97B7-4FF5-B9CB-7160C4E669F5}"/>
    <cellStyle name="0_Brand Rebuilding Asia_Draft reporting v4 031709" xfId="896" xr:uid="{39562BC3-C7EA-48ED-BC10-D0589E1959BB}"/>
    <cellStyle name="0_Brand Rebuilding Asia_Draft reporting v6 031909" xfId="897" xr:uid="{C49000FD-2F4B-4035-978D-AE07AB127A84}"/>
    <cellStyle name="0_Brand Rebuilding Asia_Draft reporting v7 032509" xfId="898" xr:uid="{6F4539C0-6B70-4874-8837-3419A8177D46}"/>
    <cellStyle name="0_Bullet model 122" xfId="899" xr:uid="{0AC18288-9899-4A83-98D5-614ADDA79F1B}"/>
    <cellStyle name="0_Bullet model 122_Casino LBO Model - 28 June" xfId="900" xr:uid="{4AAFFF49-0A83-414E-88E9-1B5CAD05EBA5}"/>
    <cellStyle name="0_Bullet model 122_CASINO LBO Model - April 21" xfId="901" xr:uid="{F00DF0B8-21D0-4716-9267-654C070604D6}"/>
    <cellStyle name="0_Bullet model 122_SG - LBO Model - April 20 (Asset sale)" xfId="902" xr:uid="{5B5A37C3-FEE9-4A70-8644-A9430E7FAA62}"/>
    <cellStyle name="0_Bullet model 122_Tarkett (Vestar) LBO Model v 2.0" xfId="903" xr:uid="{3B72C5B8-C546-41DC-8CCB-881E61BFC79D}"/>
    <cellStyle name="0_Bullet model 122_temp templates2" xfId="904" xr:uid="{2608A2F9-DB05-4656-8CEC-93428DE4F52D}"/>
    <cellStyle name="0_Cat NOA_2006" xfId="905" xr:uid="{FC5C886D-8131-454B-AF8B-500D328803AC}"/>
    <cellStyle name="0_Checking - cty" xfId="906" xr:uid="{6FE37117-601E-42F7-9634-CC0971CBFB86}"/>
    <cellStyle name="0_Checking - cty_Book1" xfId="907" xr:uid="{C9947689-616A-4DAC-9628-9976D14AAA13}"/>
    <cellStyle name="0_Checking - cty_Brand Rebuilding " xfId="908" xr:uid="{35F7C0C7-9CF5-44BC-802F-54A6483CCA74}"/>
    <cellStyle name="0_Checking - cty_Brand Rebuilding _Book1" xfId="909" xr:uid="{64EB7439-CF53-4D7E-BC5C-E756623811FA}"/>
    <cellStyle name="0_Checking - cty_Brand Rebuilding _Draft reporting v4 031709" xfId="910" xr:uid="{8A1B1344-6ADB-4B93-A0FF-BC6B1BBF6197}"/>
    <cellStyle name="0_Checking - cty_Brand Rebuilding _Draft reporting v6 031909" xfId="911" xr:uid="{8AB79231-9A96-43B4-B566-5BCF07F3AAD3}"/>
    <cellStyle name="0_Checking - cty_Brand Rebuilding _Draft reporting v7 032509" xfId="912" xr:uid="{E3C7EA59-596C-448A-8E0B-4BE35E9E53FD}"/>
    <cellStyle name="0_Checking - cty_Draft reporting v4 031709" xfId="913" xr:uid="{2F4B4EEA-8137-4347-9D98-3B6AD47C371B}"/>
    <cellStyle name="0_Checking - cty_Draft reporting v6 031909" xfId="914" xr:uid="{E7BBCF83-29BE-4708-8A18-4777FABD2726}"/>
    <cellStyle name="0_Checking - cty_Draft reporting v7 032509" xfId="915" xr:uid="{1D6A160F-3DFC-4D44-8C97-304BB08CD926}"/>
    <cellStyle name="0_Checking - cty_NonEss Expenses" xfId="916" xr:uid="{EA0B24AF-E4B9-46F4-9278-849EA1731AE8}"/>
    <cellStyle name="0_Checking - cty_NonEss Expenses_Book1" xfId="917" xr:uid="{3381FE15-B141-48F1-9685-223965308AA2}"/>
    <cellStyle name="0_Checking - cty_NonEss Expenses_Draft reporting v4 031709" xfId="918" xr:uid="{45AA0FCD-3301-4CBD-B649-9AB743318280}"/>
    <cellStyle name="0_Checking - cty_NonEss Expenses_Draft reporting v6 031909" xfId="919" xr:uid="{0CE5DFB0-6924-4451-8D76-A4467A939C6F}"/>
    <cellStyle name="0_Checking - cty_NonEss Expenses_Draft reporting v7 032509" xfId="920" xr:uid="{8E13F68F-9502-4A92-8429-B11DAC3CC8B4}"/>
    <cellStyle name="0_COGS_STD" xfId="921" xr:uid="{DE56390B-B5B4-442A-80BC-80FF8344D9E1}"/>
    <cellStyle name="0_COGS_STD_Book1" xfId="922" xr:uid="{7DEA0D72-7960-448A-A1C0-3219393D727E}"/>
    <cellStyle name="0_COGS_STD_Draft reporting v4 031709" xfId="923" xr:uid="{743A8207-7008-41BB-A434-26F153E7FEDB}"/>
    <cellStyle name="0_COGS_STD_Draft reporting v6 031909" xfId="924" xr:uid="{FE782183-7122-45F6-87BB-97D60D5A8433}"/>
    <cellStyle name="0_COGS_STD_Draft reporting v7 032509" xfId="925" xr:uid="{BD88107D-9D2E-490D-9FBB-4CBD1E86AC4C}"/>
    <cellStyle name="0_EQ unit 2005 - mthly" xfId="926" xr:uid="{219D4172-919D-4703-9E37-D8BAC121AF58}"/>
    <cellStyle name="0_EQ unit 2005 - mthly_Book1" xfId="927" xr:uid="{C00FC763-9734-4AD9-99DA-E843D3004C3A}"/>
    <cellStyle name="0_EQ unit 2005 - mthly_Brand Rebuilding " xfId="928" xr:uid="{2BEC6389-67EE-4CF6-9ABD-92BEBD0A1B96}"/>
    <cellStyle name="0_EQ unit 2005 - mthly_Brand Rebuilding _Book1" xfId="929" xr:uid="{351E7945-F909-45E6-B052-72DFEDAA7C8B}"/>
    <cellStyle name="0_EQ unit 2005 - mthly_Brand Rebuilding _Draft reporting v4 031709" xfId="930" xr:uid="{D46088E1-E94D-497A-A9AF-580379349516}"/>
    <cellStyle name="0_EQ unit 2005 - mthly_Brand Rebuilding _Draft reporting v6 031909" xfId="931" xr:uid="{1AFAF44F-5D12-46F8-A7A4-2FA71E2FAEE8}"/>
    <cellStyle name="0_EQ unit 2005 - mthly_Brand Rebuilding _Draft reporting v7 032509" xfId="932" xr:uid="{D2BCCCDD-EFA5-4F41-83E5-7EEA74F512E9}"/>
    <cellStyle name="0_EQ unit 2005 - mthly_Draft reporting v4 031709" xfId="933" xr:uid="{717D7F30-FB2F-4FE4-8EBA-D20B3E0F967E}"/>
    <cellStyle name="0_EQ unit 2005 - mthly_Draft reporting v6 031909" xfId="934" xr:uid="{7369BA51-69C4-4873-A41C-82248A558861}"/>
    <cellStyle name="0_EQ unit 2005 - mthly_Draft reporting v7 032509" xfId="935" xr:uid="{687FFDB4-67D0-4D78-A0C2-F3364653EDCC}"/>
    <cellStyle name="0_EQ unit 2005 - mthly_NonEss Expenses" xfId="936" xr:uid="{03181061-FFEC-4456-B42A-A1203E326233}"/>
    <cellStyle name="0_EQ unit 2005 - mthly_NonEss Expenses_Book1" xfId="937" xr:uid="{D412C509-DF61-456D-A7B8-8196030EE1A2}"/>
    <cellStyle name="0_EQ unit 2005 - mthly_NonEss Expenses_Draft reporting v4 031709" xfId="938" xr:uid="{24D97C0A-BA6B-4D4C-9C7F-330A65A14B65}"/>
    <cellStyle name="0_EQ unit 2005 - mthly_NonEss Expenses_Draft reporting v6 031909" xfId="939" xr:uid="{413141CD-2077-414A-9349-A2C5075FDAD2}"/>
    <cellStyle name="0_EQ unit 2005 - mthly_NonEss Expenses_Draft reporting v7 032509" xfId="940" xr:uid="{68DA9EC7-D2C0-42A0-9A96-2704EFD389A1}"/>
    <cellStyle name="0_FEB_06 P&amp;L" xfId="941" xr:uid="{3696F5FC-AFF5-4CE4-B219-19F4C43F3E5F}"/>
    <cellStyle name="0_FEB_06 P&amp;L_Book1" xfId="942" xr:uid="{A02ADFAD-3D7A-46CF-A536-D8BBB46F1F0C}"/>
    <cellStyle name="0_FEB_06 P&amp;L_Draft reporting v4 031709" xfId="943" xr:uid="{177904DD-224A-47B5-8DBB-D1E9EE9A7221}"/>
    <cellStyle name="0_FEB_06 P&amp;L_Draft reporting v6 031909" xfId="944" xr:uid="{209810C4-4BE2-460F-9200-A39B510A545B}"/>
    <cellStyle name="0_FEB_06 P&amp;L_Draft reporting v7 032509" xfId="945" xr:uid="{687103EA-1309-4E44-944D-1CA392CDD700}"/>
    <cellStyle name="0_Grandvision_LBO2" xfId="946" xr:uid="{894D4889-31B4-4A0D-9311-E21103FEA3AE}"/>
    <cellStyle name="0_Jan_06 P&amp;L" xfId="947" xr:uid="{03D1AEA5-CF5F-4A88-99E6-F79C426A816F}"/>
    <cellStyle name="0_Jan_06 P&amp;L_Book1" xfId="948" xr:uid="{D0384F01-2B84-4CC0-A4E5-5B2658B7F7CA}"/>
    <cellStyle name="0_Jan_06 P&amp;L_Draft reporting v4 031709" xfId="949" xr:uid="{BF635C25-773C-4450-95B3-9361BDE11BE3}"/>
    <cellStyle name="0_Jan_06 P&amp;L_Draft reporting v6 031909" xfId="950" xr:uid="{EC69B6F0-716F-44E2-A2A9-76C60CBFF79B}"/>
    <cellStyle name="0_Jan_06 P&amp;L_Draft reporting v7 032509" xfId="951" xr:uid="{2B6A1713-6C22-4392-97A6-E7B4612B47A2}"/>
    <cellStyle name="0_JapanAprOTLK" xfId="952" xr:uid="{4E3B7445-AE7E-434B-A5FC-3D15D2FA4554}"/>
    <cellStyle name="0_JapanAprOTLK_Book1" xfId="953" xr:uid="{8CE529FD-7F8B-40B4-988E-4638473DB557}"/>
    <cellStyle name="0_JapanAprOTLK_Brand Rebuilding " xfId="954" xr:uid="{71941B7F-E07B-4BED-826E-5335E47CD53A}"/>
    <cellStyle name="0_JapanAprOTLK_Brand Rebuilding _Book1" xfId="955" xr:uid="{E8CFEC7C-3AB3-4B71-B7D2-38BDC59266C2}"/>
    <cellStyle name="0_JapanAprOTLK_Brand Rebuilding _Draft reporting v4 031709" xfId="956" xr:uid="{18DA8959-B336-462B-9F6B-656A410DE711}"/>
    <cellStyle name="0_JapanAprOTLK_Brand Rebuilding _Draft reporting v6 031909" xfId="957" xr:uid="{4943F0C4-8A9E-4344-819B-1F7C9AA7C7BE}"/>
    <cellStyle name="0_JapanAprOTLK_Brand Rebuilding _Draft reporting v7 032509" xfId="958" xr:uid="{9A550D9B-5DCE-4B5F-8F3B-4A831128F716}"/>
    <cellStyle name="0_JapanAprOTLK_Draft reporting v4 031709" xfId="959" xr:uid="{98EF6C4E-C312-4FDA-80E4-43221863BF6E}"/>
    <cellStyle name="0_JapanAprOTLK_Draft reporting v6 031909" xfId="960" xr:uid="{C0D0ED28-4975-4435-AE2B-9F1985983412}"/>
    <cellStyle name="0_JapanAprOTLK_Draft reporting v7 032509" xfId="961" xr:uid="{D7C37A11-ADDD-4062-A095-DE21B3528F46}"/>
    <cellStyle name="0_JapanAprOTLK_NonEss Expenses" xfId="962" xr:uid="{07F82137-57EA-4429-8099-6EC6DF4F75D3}"/>
    <cellStyle name="0_JapanAprOTLK_NonEss Expenses_Book1" xfId="963" xr:uid="{B9D5CB1B-FA26-4683-B2E0-D07DE07BF273}"/>
    <cellStyle name="0_JapanAprOTLK_NonEss Expenses_Draft reporting v4 031709" xfId="964" xr:uid="{97D482C6-25DF-46DB-B2AA-57EB219F2D3F}"/>
    <cellStyle name="0_JapanAprOTLK_NonEss Expenses_Draft reporting v6 031909" xfId="965" xr:uid="{BE041527-C127-4610-89C9-A41D9F3FCB3A}"/>
    <cellStyle name="0_JapanAprOTLK_NonEss Expenses_Draft reporting v7 032509" xfId="966" xr:uid="{0BD0C8CA-D122-45CD-A143-AD13EABF2F65}"/>
    <cellStyle name="0_MOH_2006" xfId="967" xr:uid="{F562C3EC-95BF-4FF3-A3B6-CA07D7CED2E5}"/>
    <cellStyle name="0_NonEss Expenses" xfId="968" xr:uid="{EC3CF92C-DB6E-4049-AAF9-58D4FB306F5E}"/>
    <cellStyle name="0_NonEss Expenses_Book1" xfId="969" xr:uid="{8ECD4009-7802-4F62-8259-163BD4497FFF}"/>
    <cellStyle name="0_NonEss Expenses_Draft reporting v4 031709" xfId="970" xr:uid="{3D410FAC-CA83-4EF7-87E4-829D83FAACBD}"/>
    <cellStyle name="0_NonEss Expenses_Draft reporting v6 031909" xfId="971" xr:uid="{642F2D51-9A71-43C1-8142-4FEEE33B459F}"/>
    <cellStyle name="0_NonEss Expenses_Draft reporting v7 032509" xfId="972" xr:uid="{3AC34261-BC89-476F-A29B-610E3B09B043}"/>
    <cellStyle name="0_Opex_Jan-06_sp" xfId="973" xr:uid="{A8F80089-687E-4179-89B2-573E071DBCC3}"/>
    <cellStyle name="0_P&amp;L-SU(6+6)" xfId="974" xr:uid="{5483DED5-98E8-4EDE-A8B9-85CAD2F0574A}"/>
    <cellStyle name="0_P&amp;L-SU(6+6)_Brand Rebuilding Asia" xfId="975" xr:uid="{DB5D1AFA-D880-44B6-94FF-CD3D12DE258D}"/>
    <cellStyle name="0_P&amp;L-SU(6+6)_Brand Rebuilding Asia_Book1" xfId="976" xr:uid="{80D23304-F45C-4EF7-AFD3-CFA973891C89}"/>
    <cellStyle name="0_P&amp;L-SU(6+6)_Brand Rebuilding Asia_Draft reporting v4 031709" xfId="977" xr:uid="{6D7E014B-AC9A-480A-A2A6-5F9E6C8B2515}"/>
    <cellStyle name="0_P&amp;L-SU(6+6)_Brand Rebuilding Asia_Draft reporting v6 031909" xfId="978" xr:uid="{A5384C07-6D03-4045-835E-50AE48127C92}"/>
    <cellStyle name="0_P&amp;L-SU(6+6)_Brand Rebuilding Asia_Draft reporting v7 032509" xfId="979" xr:uid="{B3A7384D-779F-4D4A-BD47-8068DAF96D7F}"/>
    <cellStyle name="0_P&amp;L-SU(6+6)_NonEss Expenses" xfId="980" xr:uid="{3AD64FC1-E9D2-467F-A2ED-214726D42E24}"/>
    <cellStyle name="0_P&amp;L-SU(6+6)_NonEss Expenses_Book1" xfId="981" xr:uid="{0AF9C822-633F-45FF-9AD7-6E34BB866420}"/>
    <cellStyle name="0_P&amp;L-SU(6+6)_NonEss Expenses_Draft reporting v4 031709" xfId="982" xr:uid="{04272F40-73F4-473F-8D7D-F6B4900096CB}"/>
    <cellStyle name="0_P&amp;L-SU(6+6)_NonEss Expenses_Draft reporting v6 031909" xfId="983" xr:uid="{631BD45D-3EB4-404A-9C95-8352A6487964}"/>
    <cellStyle name="0_P&amp;L-SU(6+6)_NonEss Expenses_Draft reporting v7 032509" xfId="984" xr:uid="{15F68D07-E31F-4BAF-A076-46471E5E71D7}"/>
    <cellStyle name="0_Packages-2005(v1)" xfId="985" xr:uid="{17880D2B-FDB7-4FF7-8526-EDD79E23B446}"/>
    <cellStyle name="0_Packages-2005(v1)_Book1" xfId="986" xr:uid="{546E1AAD-9060-4748-B25D-FE7A16E43C36}"/>
    <cellStyle name="0_Packages-2005(v1)_Draft reporting v4 031709" xfId="987" xr:uid="{2FA942B2-D735-436C-B412-C11D37B9A647}"/>
    <cellStyle name="0_Packages-2005(v1)_Draft reporting v6 031909" xfId="988" xr:uid="{FEA3E928-7D03-49AD-8DD8-6087AB94E3DE}"/>
    <cellStyle name="0_Packages-2005(v1)_Draft reporting v7 032509" xfId="989" xr:uid="{2F07C888-FD1F-4B60-A81E-29AFED2968C6}"/>
    <cellStyle name="0_PRD(Input)" xfId="990" xr:uid="{5DDEFF78-F132-4034-8DCB-ECB3EDD18AFB}"/>
    <cellStyle name="0_PRD(Input)_Book1" xfId="991" xr:uid="{BCB6D868-93E9-4DE4-9BE2-F43789DFBD85}"/>
    <cellStyle name="0_PRD(Input)_Draft reporting v4 031709" xfId="992" xr:uid="{3A047B91-404B-4DC6-A333-C03EF39B1360}"/>
    <cellStyle name="0_PRD(Input)_Draft reporting v6 031909" xfId="993" xr:uid="{9EC5FFFF-671F-4F9A-9D51-A2D93E5A3DD3}"/>
    <cellStyle name="0_PRD(Input)_Draft reporting v7 032509" xfId="994" xr:uid="{1887975C-26C2-4AA8-8CB8-2EA7D7742444}"/>
    <cellStyle name="0_PREasia" xfId="995" xr:uid="{BEB6B966-D28D-49B7-B701-8616D895CC0D}"/>
    <cellStyle name="0_PREasia_Book1" xfId="996" xr:uid="{88B78F2E-EDB1-4FC7-8BEA-100897C70A33}"/>
    <cellStyle name="0_PREasia_Draft reporting v4 031709" xfId="997" xr:uid="{5009A337-7FF8-4D1D-A7D5-7C009C75B6D3}"/>
    <cellStyle name="0_PREasia_Draft reporting v6 031909" xfId="998" xr:uid="{C8ED6341-62D1-4378-BA06-A0685713A31A}"/>
    <cellStyle name="0_PREasia_Draft reporting v7 032509" xfId="999" xr:uid="{EADE033C-1C28-441C-A874-D0A90F77304F}"/>
    <cellStyle name="0_PREasia_SEA - Thailand" xfId="1000" xr:uid="{6AC12419-AAF7-4E92-97F3-2D52A9A0117A}"/>
    <cellStyle name="0_PREasia_SEA - Thailand_Book1" xfId="1001" xr:uid="{80BA0ADC-A265-492F-B489-FD7271276315}"/>
    <cellStyle name="0_PREasia_SEA - Thailand_Draft reporting v4 031709" xfId="1002" xr:uid="{4E6F8086-DB50-4F0E-BAF7-499F85053AB5}"/>
    <cellStyle name="0_PREasia_SEA - Thailand_Draft reporting v6 031909" xfId="1003" xr:uid="{CAC884A2-A200-44C0-B9B5-D00EFCCB5A12}"/>
    <cellStyle name="0_PREasia_SEA - Thailand_Draft reporting v7 032509" xfId="1004" xr:uid="{08459C05-E555-4621-ADE9-DDF8BF20E730}"/>
    <cellStyle name="0_PROD-FU" xfId="1005" xr:uid="{B7A1BCFD-CC96-4FF6-9795-B490D90C073E}"/>
    <cellStyle name="0_PROD-FU_Book1" xfId="1006" xr:uid="{B257FD8F-25F1-476D-86C0-5BC4E5B5C3E0}"/>
    <cellStyle name="0_PROD-FU_Draft reporting v4 031709" xfId="1007" xr:uid="{368B4A38-6205-4C5C-83DD-6C3A0B8D99E9}"/>
    <cellStyle name="0_PROD-FU_Draft reporting v6 031909" xfId="1008" xr:uid="{28BF0690-6A2C-4310-87C6-8130975280C1}"/>
    <cellStyle name="0_PROD-FU_Draft reporting v7 032509" xfId="1009" xr:uid="{D8A70EFE-FF34-4EB9-BE08-69206D1A7297}"/>
    <cellStyle name="0_Proforma Model 100701 v.5" xfId="1010" xr:uid="{D272467E-3AD2-47CA-8B61-BBA503A58E28}"/>
    <cellStyle name="0_Q1_06 P&amp;L" xfId="1011" xr:uid="{84E14ED0-10C8-4834-BC90-C741866DBC2D}"/>
    <cellStyle name="0_Q1_06 P&amp;L_Book1" xfId="1012" xr:uid="{BAF3AAE3-9406-4831-A94C-B1F233F40C72}"/>
    <cellStyle name="0_Q1_06 P&amp;L_Draft reporting v4 031709" xfId="1013" xr:uid="{45EDB6EA-4B7B-4CEF-8284-C042DD366C4C}"/>
    <cellStyle name="0_Q1_06 P&amp;L_Draft reporting v6 031909" xfId="1014" xr:uid="{5C03A930-58F2-492E-84F3-0875230896E9}"/>
    <cellStyle name="0_Q1_06 P&amp;L_Draft reporting v7 032509" xfId="1015" xr:uid="{5A775E9A-D230-4605-BD49-27051E8339A8}"/>
    <cellStyle name="0_Ref NOA_2006" xfId="1016" xr:uid="{A0E1F199-10B3-4FA3-B164-CBA44958AFA1}"/>
    <cellStyle name="0_Revised Market Sheets-Asia" xfId="1017" xr:uid="{D1FE76B6-3258-4A43-A029-6351A94F3C57}"/>
    <cellStyle name="0_Revised Market Sheets-Asia_Book1" xfId="1018" xr:uid="{CD4B2763-F222-4C59-BD54-797FE5ECEFDB}"/>
    <cellStyle name="0_Revised Market Sheets-Asia_Brand Rebuilding " xfId="1019" xr:uid="{92DA21FD-5822-46BE-8945-B5109EC29791}"/>
    <cellStyle name="0_Revised Market Sheets-Asia_Brand Rebuilding _Book1" xfId="1020" xr:uid="{4B331E8F-14B0-485B-9536-3A14839BE8AF}"/>
    <cellStyle name="0_Revised Market Sheets-Asia_Brand Rebuilding _Draft reporting v4 031709" xfId="1021" xr:uid="{9EF02B45-42E9-4D1C-9220-B4EDF983FCA3}"/>
    <cellStyle name="0_Revised Market Sheets-Asia_Brand Rebuilding _Draft reporting v6 031909" xfId="1022" xr:uid="{95A86DF8-7E28-4AF9-8550-CBAB4FD3A737}"/>
    <cellStyle name="0_Revised Market Sheets-Asia_Brand Rebuilding _Draft reporting v7 032509" xfId="1023" xr:uid="{21E62A57-6EC7-4D85-9741-8429A8A09D29}"/>
    <cellStyle name="0_Revised Market Sheets-Asia_Draft reporting v4 031709" xfId="1024" xr:uid="{0782C175-9173-4962-ADAE-4E8ECB90E0C2}"/>
    <cellStyle name="0_Revised Market Sheets-Asia_Draft reporting v6 031909" xfId="1025" xr:uid="{102BC650-DDD5-4DF3-B245-461591ED394D}"/>
    <cellStyle name="0_Revised Market Sheets-Asia_Draft reporting v7 032509" xfId="1026" xr:uid="{A9353248-F0A2-45A6-9BDA-C88DE6B3AB6E}"/>
    <cellStyle name="0_Revised Market Sheets-Asia_NonEss Expenses" xfId="1027" xr:uid="{FDF9D2DA-CEE5-47BF-B6C6-B0C9E6548150}"/>
    <cellStyle name="0_Revised Market Sheets-Asia_NonEss Expenses_Book1" xfId="1028" xr:uid="{3F04AB23-B858-4FE8-9BB4-3E6A58B6528C}"/>
    <cellStyle name="0_Revised Market Sheets-Asia_NonEss Expenses_Draft reporting v4 031709" xfId="1029" xr:uid="{CF6B28A9-D7EC-4A13-8DB7-18F1F1674D93}"/>
    <cellStyle name="0_Revised Market Sheets-Asia_NonEss Expenses_Draft reporting v6 031909" xfId="1030" xr:uid="{74C49E21-AEAE-4493-8CB2-2A7E7F65D632}"/>
    <cellStyle name="0_Revised Market Sheets-Asia_NonEss Expenses_Draft reporting v7 032509" xfId="1031" xr:uid="{85D48D0B-D7FE-4E85-A07A-490E6F22B89C}"/>
    <cellStyle name="0_RiskOppo" xfId="1032" xr:uid="{A82352A9-D5BC-40DB-9DE7-EACD63F5A0D0}"/>
    <cellStyle name="0_RiskOppo_Book1" xfId="1033" xr:uid="{0F2BB47F-E45E-44A2-B205-87263C4FBFFA}"/>
    <cellStyle name="0_RiskOppo_Brand Rebuilding " xfId="1034" xr:uid="{FBD03DD4-13C1-4B0D-BF1E-BE7E64755260}"/>
    <cellStyle name="0_RiskOppo_Brand Rebuilding _Book1" xfId="1035" xr:uid="{DE3F5874-1D00-4FCD-A903-BA50264FAF6D}"/>
    <cellStyle name="0_RiskOppo_Brand Rebuilding _Draft reporting v4 031709" xfId="1036" xr:uid="{D26DA10C-0007-478E-9F2E-0EAB889BDC2E}"/>
    <cellStyle name="0_RiskOppo_Brand Rebuilding _Draft reporting v6 031909" xfId="1037" xr:uid="{4AAB2E23-A59D-4CB3-9FD3-2D2FB69E9F8C}"/>
    <cellStyle name="0_RiskOppo_Brand Rebuilding _Draft reporting v7 032509" xfId="1038" xr:uid="{06AF0AED-A968-41BC-9EAE-67ADE76BA372}"/>
    <cellStyle name="0_RiskOppo_Draft reporting v4 031709" xfId="1039" xr:uid="{50F22907-534F-4404-AADC-42D4773D178D}"/>
    <cellStyle name="0_RiskOppo_Draft reporting v6 031909" xfId="1040" xr:uid="{CEE943ED-8A11-4967-9616-0E3C76A49B6E}"/>
    <cellStyle name="0_RiskOppo_Draft reporting v7 032509" xfId="1041" xr:uid="{8CEEA138-721F-4FAA-86E8-4C55125DCC34}"/>
    <cellStyle name="0_RiskOppo_NonEss Expenses" xfId="1042" xr:uid="{11A5D26E-65EF-4AAC-B102-FAA79D2506CB}"/>
    <cellStyle name="0_RiskOppo_NonEss Expenses_Book1" xfId="1043" xr:uid="{FAF94A53-5EDB-4484-AC29-89F6239F86ED}"/>
    <cellStyle name="0_RiskOppo_NonEss Expenses_Draft reporting v4 031709" xfId="1044" xr:uid="{46B2840E-A8D3-462B-97DE-A361A37C4F7E}"/>
    <cellStyle name="0_RiskOppo_NonEss Expenses_Draft reporting v6 031909" xfId="1045" xr:uid="{6D6CAB68-C616-4C00-B85C-DDF5430252E5}"/>
    <cellStyle name="0_RiskOppo_NonEss Expenses_Draft reporting v7 032509" xfId="1046" xr:uid="{E6A719E4-8EDB-41A3-A4C6-775728EEEB43}"/>
    <cellStyle name="0_Saarc_VC_Cogs" xfId="1047" xr:uid="{B9CA7A69-883A-4937-B702-D275ED93ECDF}"/>
    <cellStyle name="0_Saarc_VC_Sales" xfId="1048" xr:uid="{B001B5B8-02F0-407C-9D97-494B9324BAB6}"/>
    <cellStyle name="0_Saarc_VC_Units" xfId="1049" xr:uid="{DAFE1CC1-9800-49CD-970F-805CB833045A}"/>
    <cellStyle name="0_Sheet1" xfId="1050" xr:uid="{2E0AEB18-DEA3-4E8E-A8FE-B5BA5EF286F2}"/>
    <cellStyle name="0_Sheet1_Cat NOA_2006" xfId="1051" xr:uid="{59E71587-A3F4-40DA-9198-C2A116BF0EF0}"/>
    <cellStyle name="0_Sheet1_Cat NOA_2006_Book1" xfId="1052" xr:uid="{8BFDCFDF-D5A1-4614-9596-45D89AD7851B}"/>
    <cellStyle name="0_Sheet1_Cat NOA_2006_Draft reporting v4 031709" xfId="1053" xr:uid="{49097A68-A379-420A-BB1E-26B5B0B65581}"/>
    <cellStyle name="0_Sheet1_Cat NOA_2006_Draft reporting v6 031909" xfId="1054" xr:uid="{74A0A03E-06A0-439A-BD15-CEBA79455DC2}"/>
    <cellStyle name="0_Sheet1_Cat NOA_2006_Draft reporting v7 032509" xfId="1055" xr:uid="{03662F9D-2115-4909-B58F-3451B2910B7B}"/>
    <cellStyle name="0_Sheet1_Jan_06 P&amp;L" xfId="1056" xr:uid="{55FAF4B2-E445-483F-A5A8-8B6F748417FA}"/>
    <cellStyle name="0_Sheet2" xfId="1057" xr:uid="{CF71C3C5-BAA4-4BFE-B7DF-2CE2CDA346CC}"/>
    <cellStyle name="0_Sheet3" xfId="1058" xr:uid="{24B8C62D-5994-488A-B777-C032CF87E1E4}"/>
    <cellStyle name="0_Sheet38" xfId="1059" xr:uid="{6813BA18-FA44-4C7D-84AF-470E3A1C7651}"/>
    <cellStyle name="0_Sheet39" xfId="1060" xr:uid="{7F0EAC41-A93B-4797-ADD5-CF756A576F58}"/>
    <cellStyle name="0_Sheet40" xfId="1061" xr:uid="{9D1C1D74-BBC3-4CC9-802E-BDF12A5D75CE}"/>
    <cellStyle name="0_Sheet41" xfId="1062" xr:uid="{DD39371A-99D7-4CB3-8DAC-8B0CCA172F8E}"/>
    <cellStyle name="0_VC_DSO" xfId="1063" xr:uid="{7FBB99CD-712F-4348-875B-DED74DD5DC00}"/>
    <cellStyle name="0_Yhi_MinInt" xfId="1064" xr:uid="{34D5EFA0-EB34-4EE4-92FC-8C0A6533F605}"/>
    <cellStyle name="0_Yhi_MinInt_Book1" xfId="1065" xr:uid="{65AE1755-6378-4FAD-A41E-953D4BAE3188}"/>
    <cellStyle name="0_Yhi_MinInt_Brand Rebuilding " xfId="1066" xr:uid="{915C16EF-92CB-471B-B2B5-F5653BD4B8C9}"/>
    <cellStyle name="0_Yhi_MinInt_Brand Rebuilding _Book1" xfId="1067" xr:uid="{A838ED76-DC87-438E-93BA-DE812AA85776}"/>
    <cellStyle name="0_Yhi_MinInt_Brand Rebuilding _Draft reporting v4 031709" xfId="1068" xr:uid="{032A9E41-A811-4903-B45E-77840A89C104}"/>
    <cellStyle name="0_Yhi_MinInt_Brand Rebuilding _Draft reporting v6 031909" xfId="1069" xr:uid="{81961366-BFFE-47A5-8665-059A06DFD2F7}"/>
    <cellStyle name="0_Yhi_MinInt_Brand Rebuilding _Draft reporting v7 032509" xfId="1070" xr:uid="{451C6875-68A8-44D1-8E4C-3D172B18207C}"/>
    <cellStyle name="0_Yhi_MinInt_Draft reporting v4 031709" xfId="1071" xr:uid="{93F5B6BC-8D39-4520-85C6-154617060ED0}"/>
    <cellStyle name="0_Yhi_MinInt_Draft reporting v6 031909" xfId="1072" xr:uid="{2F454BDD-5AE4-46E9-BFA6-BB5340A116C4}"/>
    <cellStyle name="0_Yhi_MinInt_Draft reporting v7 032509" xfId="1073" xr:uid="{8A41F1CB-6AD3-46B7-AC12-71D7A0D67104}"/>
    <cellStyle name="0_Yhi_MinInt_NonEss Expenses" xfId="1074" xr:uid="{68265704-6194-4A6D-A6C8-7F380162D527}"/>
    <cellStyle name="0_Yhi_MinInt_NonEss Expenses_Book1" xfId="1075" xr:uid="{0A9B0303-9BD7-410B-A6B4-6A69382E2AE7}"/>
    <cellStyle name="0_Yhi_MinInt_NonEss Expenses_Draft reporting v4 031709" xfId="1076" xr:uid="{C8E297C4-66AD-40A9-A704-D4C5AB26C4FA}"/>
    <cellStyle name="0_Yhi_MinInt_NonEss Expenses_Draft reporting v6 031909" xfId="1077" xr:uid="{B5FEA262-E5D0-4908-BC1A-A20CF5032E8E}"/>
    <cellStyle name="0_Yhi_MinInt_NonEss Expenses_Draft reporting v7 032509" xfId="1078" xr:uid="{D3E78961-FC7E-49CA-9BC1-F9C8193DDD46}"/>
    <cellStyle name="0000" xfId="1079" xr:uid="{0B8F1FE3-0D8A-4E54-BF4E-9273144FEC69}"/>
    <cellStyle name="0x" xfId="1080" xr:uid="{1D0436F6-5B8B-4E84-B32F-C9C4DC42CE03}"/>
    <cellStyle name="1" xfId="1081" xr:uid="{3E5D1317-A185-43D6-A6FC-F40F56197185}"/>
    <cellStyle name="1 Decimal % ()" xfId="1082" xr:uid="{42F441D0-9750-414A-9FA1-72AA409D904F}"/>
    <cellStyle name="1 UPDATE" xfId="1083" xr:uid="{95052EA8-E004-4447-A8EE-86CC4C085843}"/>
    <cellStyle name="1,comma" xfId="1084" xr:uid="{C793C5D9-DC2A-4055-B2E1-1F81B3C38332}"/>
    <cellStyle name="1_Reserve" xfId="1085" xr:uid="{E6457F8C-201B-4206-AE98-071C86B6FF5A}"/>
    <cellStyle name="1000-sep (2 dec)_Backbone Cost Talkline Internet, Festnetz and Combined" xfId="1086" xr:uid="{283AA49A-B4B0-4E97-B1FC-9ABE8EF393A2}"/>
    <cellStyle name="196W50" xfId="1087" xr:uid="{CF0E660A-7AF8-48B5-AD0C-E8A57830AE2C}"/>
    <cellStyle name="¹éºÐÀ²_±âÅ¸" xfId="1088" xr:uid="{D93D7D82-6E64-4CFC-8024-632D23BB6E28}"/>
    <cellStyle name="2" xfId="1089" xr:uid="{130A0AB6-CB15-43D8-934D-9F15CBBC995A}"/>
    <cellStyle name="20% - Accent1 2" xfId="1090" xr:uid="{8FCFFEFC-E735-4F2E-AC2D-FA4D06461074}"/>
    <cellStyle name="20% - Accent2 2" xfId="1091" xr:uid="{6EE1C203-39CC-4766-8964-6DB0A4F18503}"/>
    <cellStyle name="20% - Accent3 2" xfId="1092" xr:uid="{CDB1D698-EF91-428A-BBEF-3BF206A17D72}"/>
    <cellStyle name="20% - Accent4 2" xfId="1093" xr:uid="{39A684BB-2582-4563-86B2-65859CF48B35}"/>
    <cellStyle name="20% - Accent5 2" xfId="1094" xr:uid="{0EADBE79-DB08-4F65-9CB4-543322BFFAC5}"/>
    <cellStyle name="20% - Accent6 2" xfId="1095" xr:uid="{B5BA05D3-986C-44C6-9E63-93A512C98E24}"/>
    <cellStyle name="20% - Akzent1" xfId="1096" xr:uid="{4ED313D3-5A03-4218-AA05-8B800C228F9A}"/>
    <cellStyle name="20% - Akzent2" xfId="1097" xr:uid="{29D84842-3B3A-4557-B474-58B955D33BEB}"/>
    <cellStyle name="20% - Akzent3" xfId="1098" xr:uid="{52843F37-2191-4D6C-BB00-A928DC50DAC9}"/>
    <cellStyle name="20% - Akzent4" xfId="1099" xr:uid="{FF3F95DF-2587-4BEE-A93A-E1B601956BF4}"/>
    <cellStyle name="20% - Akzent5" xfId="1100" xr:uid="{99CDB4EA-437D-4F42-9E28-1D8E121C0044}"/>
    <cellStyle name="20% - Akzent6" xfId="1101" xr:uid="{B1704A57-5B8E-4B93-9225-F6932EF1E8F7}"/>
    <cellStyle name="20% - הדגשה1" xfId="1102" xr:uid="{499511B1-EC2C-4A1D-B242-8C35B1F7E44C}"/>
    <cellStyle name="20% - הדגשה2" xfId="1103" xr:uid="{F398C42C-2329-4DD3-8D91-17A6D555311A}"/>
    <cellStyle name="20% - הדגשה3" xfId="1104" xr:uid="{B7B0B6D5-372A-4DF1-9516-224DFE694EF4}"/>
    <cellStyle name="20% - הדגשה4" xfId="1105" xr:uid="{243214E9-EF4A-47B5-9AF4-C9A5FCE36C4A}"/>
    <cellStyle name="20% - הדגשה5" xfId="1106" xr:uid="{5F864C1D-52F5-41AD-80FF-12AE2D306DB8}"/>
    <cellStyle name="20% - הדגשה6" xfId="1107" xr:uid="{A71A1596-4E8F-4310-B321-36F9EABF4A47}"/>
    <cellStyle name="296_x000f_Normal_SPTQ1ACTormal_SPTQ2ACT" xfId="1108" xr:uid="{20A09E5C-B932-41B2-A4A0-214576AE28F3}"/>
    <cellStyle name="2ormal_Q2_1" xfId="1109" xr:uid="{BB4FFB3C-F118-4F70-8249-180AC958FDB4}"/>
    <cellStyle name="3" xfId="1110" xr:uid="{74011358-254A-4258-A43D-91D52EBE6D51}"/>
    <cellStyle name="32B12" xfId="1111" xr:uid="{D300E74E-A540-4042-8243-7C048CFD0FC8}"/>
    <cellStyle name="32B12 3" xfId="1112" xr:uid="{C577F41B-427D-4D00-8BE6-F8ECBBF7388D}"/>
    <cellStyle name="38" xfId="1113" xr:uid="{06787409-5641-4247-819D-7073D7F5D450}"/>
    <cellStyle name="38 2" xfId="4809" xr:uid="{9CA31667-0D42-4E28-B720-A86B461E0A32}"/>
    <cellStyle name="38 2 2" xfId="5803" xr:uid="{9E27507E-1EEA-48B9-A1EA-6933FC777A23}"/>
    <cellStyle name="38 2 2 2" xfId="7456" xr:uid="{BBE03380-9015-4A32-B82C-5D35AA6CD0E2}"/>
    <cellStyle name="38 2 3" xfId="6003" xr:uid="{31E4C2F7-2CE5-4526-87D9-9465DA6F4FFE}"/>
    <cellStyle name="38 2 3 2" xfId="7655" xr:uid="{609544B4-E334-4281-B2E6-F321575B8916}"/>
    <cellStyle name="38 2 4" xfId="5035" xr:uid="{64D8233D-9046-4985-8822-2E064ECE7A27}"/>
    <cellStyle name="38 2 4 2" xfId="6712" xr:uid="{1D91DA82-8298-4ED3-9E8C-CC5799A3BEBE}"/>
    <cellStyle name="38 2 5" xfId="5606" xr:uid="{B0AAF71F-7CE9-4BDF-BF97-19AA4D6C4C0B}"/>
    <cellStyle name="38 2 6" xfId="5608" xr:uid="{08BE6A2F-2A28-4708-8D6D-E2B86226E1E4}"/>
    <cellStyle name="38 2 6 2" xfId="7268" xr:uid="{14A3C375-D3A6-4DB3-8CD9-6F06100FF8F0}"/>
    <cellStyle name="38 2 7" xfId="5354" xr:uid="{7E33FF8E-A37C-4C95-ADBC-FAAA2BC6072E}"/>
    <cellStyle name="38 2 7 2" xfId="7019" xr:uid="{CB1A8C88-D9B5-4E93-886C-41F02B55769D}"/>
    <cellStyle name="38 3" xfId="5268" xr:uid="{C794B611-6A8D-4FEE-94AE-A89F262EE0C3}"/>
    <cellStyle name="38 3 2" xfId="6935" xr:uid="{01EE757D-BF9C-49F1-A30D-B03A3A908CF7}"/>
    <cellStyle name="38 4" xfId="6346" xr:uid="{0E562049-6D1E-4AA3-90B3-03646BFE7853}"/>
    <cellStyle name="4" xfId="1114" xr:uid="{5DD404F1-67A7-4B3E-8711-C9D8F2B4B6D9}"/>
    <cellStyle name="4_DuAnKT ngay 11-2-2006" xfId="66" xr:uid="{00000000-0005-0000-0000-000000000000}"/>
    <cellStyle name="40% - Accent1 2" xfId="1115" xr:uid="{5B9C8112-BFFE-4789-8D6B-5FA1FDBCCFB9}"/>
    <cellStyle name="40% - Accent2 2" xfId="1116" xr:uid="{AC5FFF90-4BB4-4D36-BAAC-CF1F21B8E3C8}"/>
    <cellStyle name="40% - Accent3 2" xfId="1117" xr:uid="{498FD1B6-8C65-46F2-8CED-F3EDA02E416E}"/>
    <cellStyle name="40% - Accent4 2" xfId="1118" xr:uid="{D3C90376-69B8-48AB-B723-28BB8B626A42}"/>
    <cellStyle name="40% - Accent5 2" xfId="1119" xr:uid="{153E9670-490D-48BB-BD96-B6C61278CD0B}"/>
    <cellStyle name="40% - Accent6 2" xfId="1120" xr:uid="{C44D5FEA-C88F-49CF-9CD1-19254EE5FB21}"/>
    <cellStyle name="40% - Akzent1" xfId="1121" xr:uid="{89CE1374-F60C-4430-AA2D-314A42D6AC18}"/>
    <cellStyle name="40% - Akzent2" xfId="1122" xr:uid="{D4E47F7D-46E2-4F6A-BA70-AFEEDFC26E51}"/>
    <cellStyle name="40% - Akzent3" xfId="1123" xr:uid="{3775F6A1-A0D5-4FE4-AAB8-89248EA9112A}"/>
    <cellStyle name="40% - Akzent4" xfId="1124" xr:uid="{BD412772-B0FF-4A13-8B3F-84FBE8D987F9}"/>
    <cellStyle name="40% - Akzent5" xfId="1125" xr:uid="{73535B22-A15F-4052-A1C3-10CDF08EC549}"/>
    <cellStyle name="40% - Akzent6" xfId="1126" xr:uid="{009E2696-3122-48A4-B01A-979FC132169E}"/>
    <cellStyle name="40% - הדגשה1" xfId="1127" xr:uid="{1AB4F81B-B520-4DDC-A089-4C6516168EEE}"/>
    <cellStyle name="40% - הדגשה2" xfId="1128" xr:uid="{C5F6F58D-D3DE-43DA-BE40-17B52639575C}"/>
    <cellStyle name="40% - הדגשה3" xfId="1129" xr:uid="{181B84C1-D88B-4B57-ADB0-A0770C1F8D2D}"/>
    <cellStyle name="40% - הדגשה4" xfId="1130" xr:uid="{D2D5DA04-8D78-4612-82E8-45085D7FB8E2}"/>
    <cellStyle name="40% - הדגשה5" xfId="1131" xr:uid="{FB03897A-CB9D-4D1C-8A23-B1BB3BB82CE7}"/>
    <cellStyle name="40% - הדגשה6" xfId="1132" xr:uid="{61FAE373-DCEB-4FC8-8271-7925A381E435}"/>
    <cellStyle name="50" xfId="1133" xr:uid="{93A95B24-A10F-4B68-A85D-9CC5862F805E}"/>
    <cellStyle name="52" xfId="1134" xr:uid="{7C78BF55-1184-4C3A-89D4-CB46251D28AE}"/>
    <cellStyle name="52 2" xfId="1135" xr:uid="{FE07E0C0-F6A7-4A44-A9A6-AC54C831BD9D}"/>
    <cellStyle name="6" xfId="1136" xr:uid="{2786AA4E-D56E-43D8-B6AC-C26060448943}"/>
    <cellStyle name="6 SBU" xfId="1137" xr:uid="{6B8BC65A-17EF-4B1D-9CE9-215738ACE81C}"/>
    <cellStyle name="60% - Accent1 2" xfId="1138" xr:uid="{65D1D910-C694-440E-A1B5-3FCA725B10B7}"/>
    <cellStyle name="60% - Accent2 2" xfId="1139" xr:uid="{31B3BB41-A3B5-47A2-BE4B-7C9A73CAB66B}"/>
    <cellStyle name="60% - Accent3 2" xfId="1140" xr:uid="{938194A5-26D1-47F6-87B7-6DD32E02DAAC}"/>
    <cellStyle name="60% - Accent4 2" xfId="1141" xr:uid="{60EEE078-DC9A-4940-8222-E94049FE1E83}"/>
    <cellStyle name="60% - Accent5 2" xfId="1142" xr:uid="{01317EDC-3C55-4B77-98DE-FC4105B62F26}"/>
    <cellStyle name="60% - Accent6 2" xfId="1143" xr:uid="{82A1A2C2-C8A4-4B76-9DF6-800BA0C98D46}"/>
    <cellStyle name="60% - Akzent1" xfId="1144" xr:uid="{CAA67093-5BB9-441E-9655-975BD8DF3192}"/>
    <cellStyle name="60% - Akzent2" xfId="1145" xr:uid="{D7C3F753-A690-4B66-AD94-A5F9A0C19B73}"/>
    <cellStyle name="60% - Akzent3" xfId="1146" xr:uid="{D0D27DB6-E2A3-41A8-9B56-16E397102A4A}"/>
    <cellStyle name="60% - Akzent4" xfId="1147" xr:uid="{AEC31630-B3F5-4BD4-92BA-DFB9690BABF2}"/>
    <cellStyle name="60% - Akzent5" xfId="1148" xr:uid="{2ED30D74-E3A2-40C9-B187-3BE269DACDCB}"/>
    <cellStyle name="60% - Akzent6" xfId="1149" xr:uid="{CC39EEE0-5D33-49A6-B8D9-125E00A78ED8}"/>
    <cellStyle name="60% - הדגשה1" xfId="1150" xr:uid="{26FE3818-4F1A-4C08-89DA-44E478B0DEFA}"/>
    <cellStyle name="60% - הדגשה2" xfId="1151" xr:uid="{A9064123-1AA9-4ABE-B8BA-80289B19517E}"/>
    <cellStyle name="60% - הדגשה3" xfId="1152" xr:uid="{68F01558-2CBE-4B36-BDD0-026C59E1E36A}"/>
    <cellStyle name="60% - הדגשה4" xfId="1153" xr:uid="{9C41C71F-A065-4038-B1FA-4D288A60CD5C}"/>
    <cellStyle name="60% - הדגשה5" xfId="1154" xr:uid="{30B04183-E140-4111-A1C3-DE03BC9EF41B}"/>
    <cellStyle name="60% - הדגשה6" xfId="1155" xr:uid="{78A22467-A72B-41AD-9C5F-74993356105B}"/>
    <cellStyle name="6W50" xfId="1156" xr:uid="{86A6BDE8-86FE-4F00-A67D-540EAA38E105}"/>
    <cellStyle name="752131" xfId="1157" xr:uid="{23C7F23E-552E-4264-A544-14C89643A7FA}"/>
    <cellStyle name="8ormal_SPTQ2W24" xfId="1158" xr:uid="{1A2D1ADA-E0F6-4393-BC7C-09E2983DEE87}"/>
    <cellStyle name="a" xfId="1159" xr:uid="{13190801-AA3F-4329-A2BC-E3E68A79E680}"/>
    <cellStyle name="ac" xfId="1160" xr:uid="{F267D19D-2779-47E1-918E-AC384B453080}"/>
    <cellStyle name="Accent1 2" xfId="1161" xr:uid="{33EFE285-917C-4BCE-9635-853C48497A4B}"/>
    <cellStyle name="Accent2 2" xfId="1162" xr:uid="{858382FE-0E05-4B95-AAC7-F74C04A26F20}"/>
    <cellStyle name="Accent3 2" xfId="1163" xr:uid="{F6F8E271-49C2-4E20-A47E-822340BDD6E5}"/>
    <cellStyle name="Accent4 2" xfId="1164" xr:uid="{E597C748-CB1C-4B73-8DF1-A1C08733BFEC}"/>
    <cellStyle name="Accent5 2" xfId="1165" xr:uid="{02F80F93-B599-4405-AD76-38E0A83B3C7A}"/>
    <cellStyle name="Accent6 2" xfId="1166" xr:uid="{DAFACF0D-38EF-4487-9DCF-9F4B72B6AB4E}"/>
    <cellStyle name="Accounting underlining" xfId="1167" xr:uid="{0CDF9EE2-C81C-4388-ABBF-2217A8B693E5}"/>
    <cellStyle name="Acctg" xfId="1168" xr:uid="{1B3AFE67-7A81-4610-9360-F5946FE07799}"/>
    <cellStyle name="active" xfId="1169" xr:uid="{57DD8F88-B20E-421E-B643-6FAAE9FD09BD}"/>
    <cellStyle name="Actual" xfId="1170" xr:uid="{E0147B9F-D3E3-431F-B622-8C4B695194A0}"/>
    <cellStyle name="Actual 2" xfId="1171" xr:uid="{5FCE5766-AC78-487C-A7EC-5CDB7655649D}"/>
    <cellStyle name="Actual Date" xfId="1172" xr:uid="{30E2008A-26D1-4F5A-9D29-47B6A7C1EE86}"/>
    <cellStyle name="Add" xfId="1173" xr:uid="{1ADB5DAB-82A9-48C2-99CE-7A3626CC9075}"/>
    <cellStyle name="ÅëÈ­ [0]_      " xfId="1174" xr:uid="{63E7CD90-094C-4759-B0A5-324AC6B37299}"/>
    <cellStyle name="AeE­ [0]_INQUIRY ¿?¾÷AßAø " xfId="1175" xr:uid="{900FE573-8298-4C01-87A5-6BBECDF075AE}"/>
    <cellStyle name="ÅëÈ­ [0]_L601CPT" xfId="1176" xr:uid="{F17D9701-9522-4C98-80F8-0CFED88F57F7}"/>
    <cellStyle name="ÅëÈ­_      " xfId="1177" xr:uid="{61D3B4C2-4198-44F4-9401-B365E280F40B}"/>
    <cellStyle name="AeE­_INQUIRY ¿?¾÷AßAø " xfId="1178" xr:uid="{363FB4B2-FAC8-4CA4-8383-9B47B24FAC31}"/>
    <cellStyle name="ÅëÈ­_L601CPT" xfId="1179" xr:uid="{6DB175C1-251F-492B-9402-DA1A6A9EF8B2}"/>
    <cellStyle name="AFE" xfId="1180" xr:uid="{BF1DEEF8-7C4C-4186-A2DA-0354749FF5D7}"/>
    <cellStyle name="Akzent1" xfId="1181" xr:uid="{47410903-1F20-4683-9F5C-FB13C5844CBF}"/>
    <cellStyle name="Akzent2" xfId="1182" xr:uid="{9F17642D-C917-4D73-8EF2-C1E0DC2D47DE}"/>
    <cellStyle name="Akzent3" xfId="1183" xr:uid="{C98439C5-67B8-4AAE-A55E-11E81124F014}"/>
    <cellStyle name="Akzent4" xfId="1184" xr:uid="{7D669FEA-0AEF-428D-8CAC-F711F5E226C0}"/>
    <cellStyle name="Akzent5" xfId="1185" xr:uid="{60E0D4C5-F446-49C4-8BF1-55B1176E0D07}"/>
    <cellStyle name="Akzent6" xfId="1186" xr:uid="{15A7625A-51FC-49E5-A546-3DB90552E81B}"/>
    <cellStyle name="al" xfId="1187" xr:uid="{BB33F196-38D5-4142-B979-8B3C2D32B166}"/>
    <cellStyle name="a_x0012_Normal_Sheet1_P_x0015_Normal_Sheet1_Reserve" xfId="1188" xr:uid="{531227AA-552A-4886-AD2C-652A29625EE5}"/>
    <cellStyle name="aormaormaormaormaormaormaormaormaorma肨Pmal_TH" xfId="1189" xr:uid="{A90E0688-E1DA-4AB8-95E1-A10032F60E51}"/>
    <cellStyle name="aormaormaormaormaormaormaormaorma肨 maormaormaormaormaormaormaormaormaorma肨Pmal_TH" xfId="1190" xr:uid="{9458D01D-2E31-4231-B11B-9768203E6696}"/>
    <cellStyle name="APPEAR" xfId="1191" xr:uid="{145E0566-5FDE-49A0-8EDF-7C11FBF737EA}"/>
    <cellStyle name="APPEAR 10" xfId="5502" xr:uid="{92F2B2F2-9706-43CD-9BFB-19EDD382CE97}"/>
    <cellStyle name="APPEAR 10 2" xfId="7166" xr:uid="{9716A4DB-E326-4CBB-B413-4B83C4F1B1A3}"/>
    <cellStyle name="APPEAR 11" xfId="5204" xr:uid="{10131D4B-EC6C-4DE0-803B-FAAA0CF2FB81}"/>
    <cellStyle name="APPEAR 11 2" xfId="6875" xr:uid="{47BEA464-7704-42B4-9B2A-98D404E24695}"/>
    <cellStyle name="APPEAR 12" xfId="6170" xr:uid="{FE2364DC-6F8B-4A80-B8C6-6421BCF0A097}"/>
    <cellStyle name="APPEAR 12 2" xfId="7817" xr:uid="{27F9A6CC-0DAC-4193-8729-405BA0484B01}"/>
    <cellStyle name="APPEAR 13" xfId="5221" xr:uid="{AA000095-8B50-4B67-8572-FC98DBD8A002}"/>
    <cellStyle name="APPEAR 13 2" xfId="6892" xr:uid="{709EA96E-9B9F-4827-875C-9CEFFA5B7A06}"/>
    <cellStyle name="APPEAR 14" xfId="6347" xr:uid="{7CA49F47-C7F8-439E-87DC-D9B8D6DA7719}"/>
    <cellStyle name="APPEAR 2" xfId="5327" xr:uid="{E2C439EA-DFD6-4E2E-9223-5EF66BF7C870}"/>
    <cellStyle name="APPEAR 2 2" xfId="6993" xr:uid="{75A95923-9087-4DEE-A9B4-C1196ED4E7C0}"/>
    <cellStyle name="APPEAR 3" xfId="5155" xr:uid="{55449157-2D50-4938-9E2E-C6E3A084BCA6}"/>
    <cellStyle name="APPEAR 3 2" xfId="6829" xr:uid="{618EB870-2B3D-4331-9CC2-7F3597F5DBEF}"/>
    <cellStyle name="APPEAR 4" xfId="5301" xr:uid="{7B085C8E-3251-4A2F-9EC0-B98AC8110112}"/>
    <cellStyle name="APPEAR 4 2" xfId="6967" xr:uid="{1C8A526B-2A53-4073-B67F-B84CB4A7F255}"/>
    <cellStyle name="APPEAR 5" xfId="5173" xr:uid="{C261B781-5AD6-417B-8F15-B03884AF0698}"/>
    <cellStyle name="APPEAR 5 2" xfId="6847" xr:uid="{CE3FBA20-794E-42AC-B654-6B0D37883DE5}"/>
    <cellStyle name="APPEAR 6" xfId="5713" xr:uid="{BA522ADA-1851-4F35-8FAF-4C555D2DD62B}"/>
    <cellStyle name="APPEAR 6 2" xfId="7371" xr:uid="{93441F42-5063-4189-94FE-48CE49F97A6E}"/>
    <cellStyle name="APPEAR 7" xfId="5189" xr:uid="{EB9D7AF4-A0C4-4872-A70F-68D75256B9E5}"/>
    <cellStyle name="APPEAR 7 2" xfId="6863" xr:uid="{B50DC0CC-ED77-4A6F-B02C-5F4A1B3FF023}"/>
    <cellStyle name="APPEAR 8" xfId="5674" xr:uid="{AC3C5C7F-7627-488E-98A1-05031A468E10}"/>
    <cellStyle name="APPEAR 8 2" xfId="7334" xr:uid="{31D5BE1E-C516-4697-812F-7C605A69AEF7}"/>
    <cellStyle name="APPEAR 9" xfId="4976" xr:uid="{1AD74A46-9118-4F5A-98C2-D4DFDDA26375}"/>
    <cellStyle name="APPEAR 9 2" xfId="6656" xr:uid="{7EFFD54A-CE64-4868-8C95-ACD3D0C14468}"/>
    <cellStyle name="args.style" xfId="1192" xr:uid="{A427FC4D-3B45-4972-83F9-0771C13A3B7B}"/>
    <cellStyle name="Arial 10" xfId="1193" xr:uid="{B78C7CB9-E057-4D54-B559-4FD37F65EC41}"/>
    <cellStyle name="Arial 12" xfId="1194" xr:uid="{15D50A21-4E04-4630-9849-58BC98619515}"/>
    <cellStyle name="ArialNormal" xfId="1195" xr:uid="{3B3848A5-958F-4861-8A0D-9AC67CD5DE6D}"/>
    <cellStyle name="ArialNormal 10" xfId="5191" xr:uid="{B2D0FDE9-14F0-4D31-80FE-AA303633041A}"/>
    <cellStyle name="ArialNormal 10 2" xfId="6865" xr:uid="{64C363B8-C8E8-4BDD-984C-20F5FD3438B6}"/>
    <cellStyle name="ArialNormal 11" xfId="6166" xr:uid="{4668866D-594F-4FDB-BFAA-EC015643044F}"/>
    <cellStyle name="ArialNormal 11 2" xfId="7814" xr:uid="{FB4006FC-9FC3-47F1-900E-B29211927153}"/>
    <cellStyle name="ArialNormal 12" xfId="5205" xr:uid="{856E8181-B8FC-478B-9C1A-9BD16581C374}"/>
    <cellStyle name="ArialNormal 12 2" xfId="6876" xr:uid="{AA3B1E26-535C-4BAE-906A-28D286B7A8E5}"/>
    <cellStyle name="ArialNormal 2" xfId="4735" xr:uid="{842A608C-952C-4D1E-B60B-A4C4768AE7D7}"/>
    <cellStyle name="ArialNormal 2 2" xfId="5730" xr:uid="{312822F8-E511-4FAD-ADA6-8F77B047C0D6}"/>
    <cellStyle name="ArialNormal 2 2 2" xfId="7383" xr:uid="{892D01CF-9424-46A6-A0CC-D4B3913DA4F5}"/>
    <cellStyle name="ArialNormal 2 3" xfId="5953" xr:uid="{D61B8707-7ED8-4086-862D-786A5E95F65E}"/>
    <cellStyle name="ArialNormal 2 3 2" xfId="7606" xr:uid="{4B5B5B2A-D3C8-4076-A078-3CB4A7526B4A}"/>
    <cellStyle name="ArialNormal 2 4" xfId="5525" xr:uid="{1B00DE7C-A32B-4E63-8D54-9C6B818D509F}"/>
    <cellStyle name="ArialNormal 2 4 2" xfId="7189" xr:uid="{343A1AD1-CE80-4E4D-8B89-444C75604F86}"/>
    <cellStyle name="ArialNormal 2 5" xfId="6426" xr:uid="{F74920C0-6D4E-45B7-A4FA-ED23701BEA8C}"/>
    <cellStyle name="ArialNormal 3" xfId="4808" xr:uid="{BA0042DB-7B35-4680-8EA5-FD4DD04728CF}"/>
    <cellStyle name="ArialNormal 3 2" xfId="5802" xr:uid="{FF258D5D-973A-42F0-B3AB-F736CEB0B5E1}"/>
    <cellStyle name="ArialNormal 3 2 2" xfId="7455" xr:uid="{41792756-5206-42FF-8DBB-E5D95B7B1A1E}"/>
    <cellStyle name="ArialNormal 3 3" xfId="6002" xr:uid="{6ADF9033-A2BB-495C-BDE0-408E482DB6BF}"/>
    <cellStyle name="ArialNormal 3 3 2" xfId="7654" xr:uid="{9D6CCB25-1B2B-4F63-95E8-6F16AF6B3D46}"/>
    <cellStyle name="ArialNormal 3 4" xfId="5429" xr:uid="{E99A331E-8AD3-4F53-AEBD-486DE962C14D}"/>
    <cellStyle name="ArialNormal 3 4 2" xfId="7093" xr:uid="{5588F4CD-2B21-42A3-8B3A-1B4051149961}"/>
    <cellStyle name="ArialNormal 3 5" xfId="6498" xr:uid="{7CD52DB3-7176-4F68-A539-2A56225F9A54}"/>
    <cellStyle name="ArialNormal 4" xfId="4951" xr:uid="{C0FAB108-4888-414A-9523-1BF9B5EA1185}"/>
    <cellStyle name="ArialNormal 4 2" xfId="5941" xr:uid="{ECB2F056-00A6-4C8F-BFE3-9CA505B5E241}"/>
    <cellStyle name="ArialNormal 4 2 2" xfId="7594" xr:uid="{778F7EFA-361F-47E8-BD4B-A7C46C5F8A87}"/>
    <cellStyle name="ArialNormal 4 3" xfId="6114" xr:uid="{13FCB6CF-FC2C-469E-9CDD-17B5BB6B8199}"/>
    <cellStyle name="ArialNormal 4 3 2" xfId="7765" xr:uid="{81430C4F-170E-484B-98A6-63E34C74B341}"/>
    <cellStyle name="ArialNormal 4 4" xfId="6235" xr:uid="{20E660C7-5028-4905-B468-3253C4C9DE7A}"/>
    <cellStyle name="ArialNormal 4 4 2" xfId="7882" xr:uid="{5EE3FCE1-79B8-440F-BA27-D8716B79C571}"/>
    <cellStyle name="ArialNormal 4 5" xfId="6634" xr:uid="{D972731A-9F14-472E-AEE2-B0BBFCBF7E45}"/>
    <cellStyle name="ArialNormal 5" xfId="5142" xr:uid="{3BF7EC32-956D-4E7D-9139-6D2FDD760C9A}"/>
    <cellStyle name="ArialNormal 5 2" xfId="6816" xr:uid="{D8305EED-BCDA-4548-9427-F9BB248F182A}"/>
    <cellStyle name="ArialNormal 6" xfId="5352" xr:uid="{FF530C77-8109-4F75-A573-730EDC382A84}"/>
    <cellStyle name="ArialNormal 6 2" xfId="7017" xr:uid="{091FF0EE-B705-4043-A964-4941CB7BAFBE}"/>
    <cellStyle name="ArialNormal 7" xfId="5326" xr:uid="{89078F44-F9A0-4CE8-830D-C3EC2F83872D}"/>
    <cellStyle name="ArialNormal 7 2" xfId="6992" xr:uid="{32E739A7-6B9B-4043-B4FF-60FB21888EB9}"/>
    <cellStyle name="ArialNormal 8" xfId="5156" xr:uid="{AD2E994C-E56F-46D7-B248-94807EA04DCF}"/>
    <cellStyle name="ArialNormal 8 2" xfId="6830" xr:uid="{630E4409-FE24-442F-84B4-396F4481D20D}"/>
    <cellStyle name="ArialNormal 9" xfId="5711" xr:uid="{E7181340-96EE-4556-8B9E-BB397CEEBDFA}"/>
    <cellStyle name="ArialNormal 9 2" xfId="7369" xr:uid="{F74CBFFF-BFF9-4455-A045-A757C247B0D6}"/>
    <cellStyle name="Assumptions % 0 dp" xfId="1196" xr:uid="{FE762946-647E-4C76-9FE0-70AD171646E4}"/>
    <cellStyle name="Assumptions % 0 dp 10" xfId="5717" xr:uid="{1B1903EC-A87F-43CF-B1CC-6E78599D8AFB}"/>
    <cellStyle name="Assumptions % 0 dp 11" xfId="6348" xr:uid="{3B81C816-D732-4709-BE43-6126D564921C}"/>
    <cellStyle name="Assumptions % 0 dp 2" xfId="4736" xr:uid="{71BBD0C0-AA24-4E39-828B-70EC6BADB427}"/>
    <cellStyle name="Assumptions % 0 dp 2 2" xfId="5731" xr:uid="{BA06754B-174C-4723-8514-02E40E6FB115}"/>
    <cellStyle name="Assumptions % 0 dp 2 2 2" xfId="7384" xr:uid="{3FEB0867-787B-43BB-BDD7-3DB89A49B600}"/>
    <cellStyle name="Assumptions % 0 dp 2 3" xfId="5564" xr:uid="{08994400-B35E-4264-8CF6-0C76A6B1B8DD}"/>
    <cellStyle name="Assumptions % 0 dp 2 3 2" xfId="7227" xr:uid="{B23070B8-D8C0-44A3-A651-D92333E65F97}"/>
    <cellStyle name="Assumptions % 0 dp 2 4" xfId="6427" xr:uid="{21797EE8-2857-4C28-9F48-E3DA5FDE4438}"/>
    <cellStyle name="Assumptions % 0 dp 3" xfId="4807" xr:uid="{6F882E75-A663-4CDA-A2F8-5342190AA62B}"/>
    <cellStyle name="Assumptions % 0 dp 3 2" xfId="5801" xr:uid="{A6434F46-A280-43A2-8A6A-049B8619A968}"/>
    <cellStyle name="Assumptions % 0 dp 3 2 2" xfId="7454" xr:uid="{A7377189-2985-4E0E-B16C-5AD92911367B}"/>
    <cellStyle name="Assumptions % 0 dp 3 3" xfId="6001" xr:uid="{0A5C59FA-993E-40F9-8134-BE6E3958CC94}"/>
    <cellStyle name="Assumptions % 0 dp 3 3 2" xfId="7653" xr:uid="{144F837B-825F-48CC-94C0-8B11B672FDF8}"/>
    <cellStyle name="Assumptions % 0 dp 3 4" xfId="6151" xr:uid="{186448B5-31A2-4928-9636-58A8BECDB875}"/>
    <cellStyle name="Assumptions % 0 dp 3 4 2" xfId="7801" xr:uid="{96D0C5E6-6D04-4751-A604-CB91064437BD}"/>
    <cellStyle name="Assumptions % 0 dp 3 5" xfId="5637" xr:uid="{C270CB1F-1E51-4400-A05D-8174BFAFE8CB}"/>
    <cellStyle name="Assumptions % 0 dp 3 5 2" xfId="7297" xr:uid="{04B1B495-8D1E-4B73-ACA6-3C288DDF243D}"/>
    <cellStyle name="Assumptions % 0 dp 3 6" xfId="5021" xr:uid="{800BAFBD-43F5-4932-B6DF-6D245C93918D}"/>
    <cellStyle name="Assumptions % 0 dp 3 6 2" xfId="6700" xr:uid="{C1B5B35D-F285-4924-BA00-35D3F9B8D1B8}"/>
    <cellStyle name="Assumptions % 0 dp 3 7" xfId="6279" xr:uid="{0C8188AB-DCA9-4776-8F1D-998F4657D548}"/>
    <cellStyle name="Assumptions % 0 dp 3 7 2" xfId="7926" xr:uid="{235BAA76-74B6-4ACA-9F44-170C4E35C04F}"/>
    <cellStyle name="Assumptions % 0 dp 3 8" xfId="5108" xr:uid="{1B347681-1266-4FAE-B1DA-3BC3A5928D83}"/>
    <cellStyle name="Assumptions % 0 dp 3 8 2" xfId="6782" xr:uid="{9D86B6FF-9520-48BF-84AF-ADE9CA3D550F}"/>
    <cellStyle name="Assumptions % 0 dp 3 9" xfId="6497" xr:uid="{111D2027-650D-427E-817C-071FAAF4C00A}"/>
    <cellStyle name="Assumptions % 0 dp 4" xfId="4950" xr:uid="{FD41CB54-1351-4144-9AFF-40AE5590CABB}"/>
    <cellStyle name="Assumptions % 0 dp 4 2" xfId="5940" xr:uid="{2C4E02B2-9E11-46FE-A31B-DFBB76C62F5E}"/>
    <cellStyle name="Assumptions % 0 dp 4 2 2" xfId="7593" xr:uid="{0D4B47DF-A105-4D4A-8549-B0D1FCB95EE1}"/>
    <cellStyle name="Assumptions % 0 dp 4 3" xfId="6234" xr:uid="{04556856-3089-4EE3-8217-984BEDE2EB7B}"/>
    <cellStyle name="Assumptions % 0 dp 4 3 2" xfId="7881" xr:uid="{B09FF94E-51F7-43D8-A32D-F5B0CF627A78}"/>
    <cellStyle name="Assumptions % 0 dp 4 4" xfId="6633" xr:uid="{E6699FEF-002C-4634-9F73-6F625F6E2038}"/>
    <cellStyle name="Assumptions % 0 dp 5" xfId="5143" xr:uid="{FD8FAE28-8876-43A7-A977-5BB16CE44148}"/>
    <cellStyle name="Assumptions % 0 dp 5 2" xfId="6817" xr:uid="{19096DCF-14F7-4191-8026-222DBCC5AFC1}"/>
    <cellStyle name="Assumptions % 0 dp 6" xfId="5351" xr:uid="{CACF88E6-F5C6-4C98-883D-01F3A2751DC9}"/>
    <cellStyle name="Assumptions % 0 dp 6 2" xfId="7016" xr:uid="{F5647834-99E4-4879-83A7-EC6F81CF95DA}"/>
    <cellStyle name="Assumptions % 0 dp 7" xfId="5325" xr:uid="{181AA35C-8604-4778-A5BA-ED3263860E01}"/>
    <cellStyle name="Assumptions % 0 dp 7 2" xfId="6991" xr:uid="{AD5A0F60-D6A8-4BB7-BF2C-DA4A10CDA1CA}"/>
    <cellStyle name="Assumptions % 0 dp 8" xfId="5157" xr:uid="{3B7EBCEE-A18F-4C6A-A0E6-1E2FB2089A37}"/>
    <cellStyle name="Assumptions % 0 dp 8 2" xfId="6831" xr:uid="{BED97251-D38F-4B15-BB5F-17D5B9BE12FD}"/>
    <cellStyle name="Assumptions % 0 dp 9" xfId="5192" xr:uid="{06A9C9FF-F20F-4E1A-8401-552105E4928F}"/>
    <cellStyle name="Assumptions % 0 dp 9 2" xfId="6866" xr:uid="{FAC3A8A2-A7AC-460A-92AD-FBE6C6C41027}"/>
    <cellStyle name="Assumptions % 1 dp" xfId="1197" xr:uid="{F6028AD1-0A5E-4DD8-9CE0-6DE7DAA20A24}"/>
    <cellStyle name="Assumptions % 1 dp 10" xfId="4977" xr:uid="{5B0B0EDE-DF3A-49CC-8634-7F30DAAAA810}"/>
    <cellStyle name="Assumptions % 1 dp 11" xfId="6349" xr:uid="{DDFF2B54-C1E6-4D92-A04E-D615DFFBC3A0}"/>
    <cellStyle name="Assumptions % 1 dp 2" xfId="4737" xr:uid="{43FD0FF0-F2EC-47E9-A2CD-69E324439C35}"/>
    <cellStyle name="Assumptions % 1 dp 2 2" xfId="5732" xr:uid="{4A899134-4BE3-4E7B-BBCC-BE7676153D1E}"/>
    <cellStyle name="Assumptions % 1 dp 2 2 2" xfId="7385" xr:uid="{04B5AFFF-1F4B-49B3-9FBC-2A9D3CDCD74B}"/>
    <cellStyle name="Assumptions % 1 dp 2 3" xfId="5395" xr:uid="{F970D3E9-B06B-48CB-8E28-4B6EACCC19E7}"/>
    <cellStyle name="Assumptions % 1 dp 2 3 2" xfId="7059" xr:uid="{AECB11DA-58B8-44A7-970C-B53F64927DDE}"/>
    <cellStyle name="Assumptions % 1 dp 2 4" xfId="6428" xr:uid="{F7F69F58-9570-439F-872B-69D8F1D0CEB6}"/>
    <cellStyle name="Assumptions % 1 dp 3" xfId="4806" xr:uid="{32E1D368-F673-4991-B7F0-CE9E01C0421A}"/>
    <cellStyle name="Assumptions % 1 dp 3 2" xfId="5800" xr:uid="{CBBCA91F-F340-45C2-A1A8-27C485D1458C}"/>
    <cellStyle name="Assumptions % 1 dp 3 2 2" xfId="7453" xr:uid="{6B0DEC1E-98A0-41B1-9A83-245A798958B5}"/>
    <cellStyle name="Assumptions % 1 dp 3 3" xfId="6000" xr:uid="{91AE131E-1198-44DC-9669-04E8274E2A0B}"/>
    <cellStyle name="Assumptions % 1 dp 3 3 2" xfId="7652" xr:uid="{E012A2A5-493C-4041-AF82-6A38CFE5257D}"/>
    <cellStyle name="Assumptions % 1 dp 3 4" xfId="6150" xr:uid="{1EA76B25-D1AF-4620-B306-736FDFFF5AF0}"/>
    <cellStyle name="Assumptions % 1 dp 3 4 2" xfId="7800" xr:uid="{10F6177D-F681-4A71-B1B3-5D34CE9794F7}"/>
    <cellStyle name="Assumptions % 1 dp 3 5" xfId="5605" xr:uid="{B93F122B-DD00-46CF-B500-3B1AACD8364C}"/>
    <cellStyle name="Assumptions % 1 dp 3 5 2" xfId="7266" xr:uid="{5C643E9E-B459-4F19-887E-9A4C1C056A2A}"/>
    <cellStyle name="Assumptions % 1 dp 3 6" xfId="5607" xr:uid="{FC47732D-F834-44BB-BE40-7411CDCEB363}"/>
    <cellStyle name="Assumptions % 1 dp 3 6 2" xfId="7267" xr:uid="{A1591015-6068-439B-904E-496A1D074374}"/>
    <cellStyle name="Assumptions % 1 dp 3 7" xfId="6278" xr:uid="{8817A464-CC6D-4F80-8C41-3147C5804514}"/>
    <cellStyle name="Assumptions % 1 dp 3 7 2" xfId="7925" xr:uid="{24CA8EB9-16BF-4F55-B076-4758E579383A}"/>
    <cellStyle name="Assumptions % 1 dp 3 8" xfId="5109" xr:uid="{B981BF17-09C0-4B1B-B9A7-017460531449}"/>
    <cellStyle name="Assumptions % 1 dp 3 8 2" xfId="6783" xr:uid="{A77F811D-37D2-4EAF-A1D7-410BFE873893}"/>
    <cellStyle name="Assumptions % 1 dp 3 9" xfId="6496" xr:uid="{63661681-252C-46B9-86C1-A59697234836}"/>
    <cellStyle name="Assumptions % 1 dp 4" xfId="4949" xr:uid="{B065B68C-70BE-4079-ADA0-C5831002DB09}"/>
    <cellStyle name="Assumptions % 1 dp 4 2" xfId="5939" xr:uid="{05A980DE-709C-457A-BB94-F9209C9D5F01}"/>
    <cellStyle name="Assumptions % 1 dp 4 2 2" xfId="7592" xr:uid="{6734CB15-0E7B-49B7-BA37-310E6C77E45B}"/>
    <cellStyle name="Assumptions % 1 dp 4 3" xfId="6233" xr:uid="{D3F17D31-4538-4ABF-88C0-5EC2679943FD}"/>
    <cellStyle name="Assumptions % 1 dp 4 3 2" xfId="7880" xr:uid="{DCAC7260-4BDA-4AA0-B419-8ECE3D6947BA}"/>
    <cellStyle name="Assumptions % 1 dp 4 4" xfId="6632" xr:uid="{93BCB0E8-7C21-43A6-B8E9-267149F4253A}"/>
    <cellStyle name="Assumptions % 1 dp 5" xfId="5144" xr:uid="{47CF0F35-F9AD-4A75-9CC9-A8180C19F43F}"/>
    <cellStyle name="Assumptions % 1 dp 5 2" xfId="6818" xr:uid="{78840634-0406-4467-B097-BA2161F4986B}"/>
    <cellStyle name="Assumptions % 1 dp 6" xfId="5350" xr:uid="{06867ACA-7B1E-4F22-886C-BA53EE800ADF}"/>
    <cellStyle name="Assumptions % 1 dp 6 2" xfId="7015" xr:uid="{0C89BEBE-3C72-45B5-BE59-10BD15CC4FC0}"/>
    <cellStyle name="Assumptions % 1 dp 7" xfId="5324" xr:uid="{4EC50FC4-71CF-4952-B023-D2096CE911FF}"/>
    <cellStyle name="Assumptions % 1 dp 7 2" xfId="6990" xr:uid="{2F52B584-42EE-4727-9158-227C49C3C0FA}"/>
    <cellStyle name="Assumptions % 1 dp 8" xfId="5158" xr:uid="{9493C16A-9AF7-4B16-82B1-CFF3E3021001}"/>
    <cellStyle name="Assumptions % 1 dp 8 2" xfId="6832" xr:uid="{D7EEB2DB-3841-41DE-9531-141AA6D6C6FD}"/>
    <cellStyle name="Assumptions % 1 dp 9" xfId="5193" xr:uid="{0EB58E44-B498-43F8-B614-BB31D5566992}"/>
    <cellStyle name="Assumptions % 1 dp 9 2" xfId="6867" xr:uid="{CEFD2AC6-FEFF-4508-850E-F44F8069A2C3}"/>
    <cellStyle name="Assumptions % 2 dp" xfId="1198" xr:uid="{4A39F590-38ED-4E18-844F-598EC87A8D9F}"/>
    <cellStyle name="Assumptions % 2 dp 10" xfId="5721" xr:uid="{5CEFD6A1-1171-4070-9888-F53D53C47F70}"/>
    <cellStyle name="Assumptions % 2 dp 11" xfId="6350" xr:uid="{E567049E-085E-4422-BF2E-902E0CA44429}"/>
    <cellStyle name="Assumptions % 2 dp 2" xfId="4738" xr:uid="{4DB34717-054D-4796-8731-296A7B8A4A7D}"/>
    <cellStyle name="Assumptions % 2 dp 2 2" xfId="5733" xr:uid="{2BF915CE-6CF1-4415-B6F7-BCAD432A89C4}"/>
    <cellStyle name="Assumptions % 2 dp 2 2 2" xfId="7386" xr:uid="{2B6FAEBE-B62C-49F3-8D3A-08591546D09B}"/>
    <cellStyle name="Assumptions % 2 dp 2 3" xfId="5526" xr:uid="{A5A4A9CB-ED14-4FA5-BF6D-CFC227E7037C}"/>
    <cellStyle name="Assumptions % 2 dp 2 3 2" xfId="7190" xr:uid="{2AD79024-8BE3-4B4D-851C-DB54CBE3D403}"/>
    <cellStyle name="Assumptions % 2 dp 2 4" xfId="6429" xr:uid="{769F0217-0E08-45C5-9D79-602D2D040B11}"/>
    <cellStyle name="Assumptions % 2 dp 3" xfId="4805" xr:uid="{E0BC63E7-BCE0-4D8D-8BDD-9ACE6D359E68}"/>
    <cellStyle name="Assumptions % 2 dp 3 2" xfId="5799" xr:uid="{DCE92444-204E-41E1-831A-3FD678A83877}"/>
    <cellStyle name="Assumptions % 2 dp 3 2 2" xfId="7452" xr:uid="{1ECC3C1D-28B1-4DA7-9575-0F4A3058CEC8}"/>
    <cellStyle name="Assumptions % 2 dp 3 3" xfId="5999" xr:uid="{1150B650-3F43-42C1-8A06-279F68154312}"/>
    <cellStyle name="Assumptions % 2 dp 3 3 2" xfId="7651" xr:uid="{B15B3B2A-7F62-4265-A161-765347E23C71}"/>
    <cellStyle name="Assumptions % 2 dp 3 4" xfId="6149" xr:uid="{C563DDE3-8A51-4C81-9F00-3AF6F9C26E3B}"/>
    <cellStyle name="Assumptions % 2 dp 3 4 2" xfId="7799" xr:uid="{BAAAF5F5-D74E-4511-BB05-988C88CDFE86}"/>
    <cellStyle name="Assumptions % 2 dp 3 5" xfId="5523" xr:uid="{419EA72A-CF69-4BC9-AAE8-17BB9E6ABC8A}"/>
    <cellStyle name="Assumptions % 2 dp 3 5 2" xfId="7187" xr:uid="{5C19A05E-14BB-4BCA-83E1-427F33DBC531}"/>
    <cellStyle name="Assumptions % 2 dp 3 6" xfId="5066" xr:uid="{5D48886A-4733-4960-AEE5-87EEF386335B}"/>
    <cellStyle name="Assumptions % 2 dp 3 6 2" xfId="6740" xr:uid="{5CB15D5C-C179-4867-813B-6BFD289566CA}"/>
    <cellStyle name="Assumptions % 2 dp 3 7" xfId="6277" xr:uid="{04EF1313-DC26-46D7-9827-DA2A39F14DF5}"/>
    <cellStyle name="Assumptions % 2 dp 3 7 2" xfId="7924" xr:uid="{CDCF3D0D-7FCD-4D79-A459-44C931E6D9B8}"/>
    <cellStyle name="Assumptions % 2 dp 3 8" xfId="5110" xr:uid="{2F77D819-63C6-4230-B413-66473B5C6363}"/>
    <cellStyle name="Assumptions % 2 dp 3 8 2" xfId="6784" xr:uid="{9D13375E-05D8-4587-93C2-46904F2C5E49}"/>
    <cellStyle name="Assumptions % 2 dp 3 9" xfId="6495" xr:uid="{F23D16E8-382D-49BB-AF8A-598A3A83FB08}"/>
    <cellStyle name="Assumptions % 2 dp 4" xfId="4948" xr:uid="{E64B4DCE-ECE9-45FD-AF03-ECEB7CDA364F}"/>
    <cellStyle name="Assumptions % 2 dp 4 2" xfId="5938" xr:uid="{66ABBA08-6E1D-45D5-A27C-EC56D97FF472}"/>
    <cellStyle name="Assumptions % 2 dp 4 2 2" xfId="7591" xr:uid="{C162F2F6-DE3A-4187-B50D-4C7763622C93}"/>
    <cellStyle name="Assumptions % 2 dp 4 3" xfId="6232" xr:uid="{982FDFFC-06F5-408C-8093-1EC8BDC46CD5}"/>
    <cellStyle name="Assumptions % 2 dp 4 3 2" xfId="7879" xr:uid="{B4A4F7E2-7D8D-4584-ADFA-9289C94C86EF}"/>
    <cellStyle name="Assumptions % 2 dp 4 4" xfId="6631" xr:uid="{3E77DFA0-6D04-4233-9452-BA5DD0991602}"/>
    <cellStyle name="Assumptions % 2 dp 5" xfId="5145" xr:uid="{55A61192-0F3F-409B-B5CD-D039909E256A}"/>
    <cellStyle name="Assumptions % 2 dp 5 2" xfId="6819" xr:uid="{836F5F1E-E21A-48F8-8994-0B0DF827B8EA}"/>
    <cellStyle name="Assumptions % 2 dp 6" xfId="5349" xr:uid="{4B31AD9B-BA14-4F7B-A379-5EB1AA3839E1}"/>
    <cellStyle name="Assumptions % 2 dp 6 2" xfId="7014" xr:uid="{7C212370-4DBA-49F6-B3B6-2471D8287A87}"/>
    <cellStyle name="Assumptions % 2 dp 7" xfId="5323" xr:uid="{9BA4A791-BE31-4A23-A0D8-9F098CFFEF6B}"/>
    <cellStyle name="Assumptions % 2 dp 7 2" xfId="6989" xr:uid="{2C2F7D1A-B2EE-4C35-BEEA-D09C13083D4A}"/>
    <cellStyle name="Assumptions % 2 dp 8" xfId="5159" xr:uid="{C45C1531-6D9C-4366-9752-30F38C29940F}"/>
    <cellStyle name="Assumptions % 2 dp 8 2" xfId="6833" xr:uid="{2ABD8E5E-CB30-458D-B3C1-CB2C190FF8A6}"/>
    <cellStyle name="Assumptions % 2 dp 9" xfId="5194" xr:uid="{7E642A0C-A699-4AF6-9CDC-FF2D2381FFE6}"/>
    <cellStyle name="Assumptions % 2 dp 9 2" xfId="6868" xr:uid="{0C9547D0-6AC5-44BE-947B-CD3F91615D11}"/>
    <cellStyle name="Assumptions % 3 dp" xfId="1199" xr:uid="{C6638C10-7B6D-4F62-A006-56BD3CE887BE}"/>
    <cellStyle name="Assumptions % 3 dp 10" xfId="5718" xr:uid="{400D26E0-83F9-4535-9EF6-2A47AB3349D6}"/>
    <cellStyle name="Assumptions % 3 dp 11" xfId="6351" xr:uid="{5EBDEED0-8E09-4EBF-879F-ED2BC5457F7B}"/>
    <cellStyle name="Assumptions % 3 dp 2" xfId="4739" xr:uid="{B499CA04-26A8-4290-A9E8-16B3FEEE7BEA}"/>
    <cellStyle name="Assumptions % 3 dp 2 2" xfId="5734" xr:uid="{1D021B18-E7C0-4973-AB56-8FEBE8EBACF1}"/>
    <cellStyle name="Assumptions % 3 dp 2 2 2" xfId="7387" xr:uid="{60F44B72-3649-4461-BF28-7DDA335F4B6E}"/>
    <cellStyle name="Assumptions % 3 dp 2 3" xfId="5563" xr:uid="{2D66FE9B-66AB-4605-91E6-FD5010753222}"/>
    <cellStyle name="Assumptions % 3 dp 2 3 2" xfId="7226" xr:uid="{9D160E8B-ED6C-418D-8D9C-227571E5B538}"/>
    <cellStyle name="Assumptions % 3 dp 2 4" xfId="6430" xr:uid="{9104D38D-E67A-4204-A442-1168925628C5}"/>
    <cellStyle name="Assumptions % 3 dp 3" xfId="4804" xr:uid="{1A8D03D9-6CAB-4A90-9494-2CE9E34AF8D5}"/>
    <cellStyle name="Assumptions % 3 dp 3 2" xfId="5798" xr:uid="{5F39E331-BFBE-41EB-8EB4-C396AFCB23DB}"/>
    <cellStyle name="Assumptions % 3 dp 3 2 2" xfId="7451" xr:uid="{1525B9AC-FA5D-4C7D-9E42-785E91941ECE}"/>
    <cellStyle name="Assumptions % 3 dp 3 3" xfId="5998" xr:uid="{89CCD9F8-0ED8-4E66-8400-1638EFCED697}"/>
    <cellStyle name="Assumptions % 3 dp 3 3 2" xfId="7650" xr:uid="{690D7EEA-81F4-47D7-BADA-EC4BE6176FA1}"/>
    <cellStyle name="Assumptions % 3 dp 3 4" xfId="6148" xr:uid="{A826725D-0074-4AA7-8DDA-044DFC410680}"/>
    <cellStyle name="Assumptions % 3 dp 3 4 2" xfId="7798" xr:uid="{F114B0C3-D6B2-41E8-81A0-C6FA216E32BE}"/>
    <cellStyle name="Assumptions % 3 dp 3 5" xfId="5699" xr:uid="{DEBBEAA8-0F95-437A-9217-7E6662000EC2}"/>
    <cellStyle name="Assumptions % 3 dp 3 5 2" xfId="7358" xr:uid="{6062AF28-5DE3-4728-AAE9-CC058FFAA12D}"/>
    <cellStyle name="Assumptions % 3 dp 3 6" xfId="5020" xr:uid="{CBFDEB30-D09C-4C36-9BFC-F2E6F25C27B8}"/>
    <cellStyle name="Assumptions % 3 dp 3 6 2" xfId="6699" xr:uid="{20F4F9A4-227B-4CAE-834F-6430DD338C9D}"/>
    <cellStyle name="Assumptions % 3 dp 3 7" xfId="6276" xr:uid="{8BA14911-E191-4F7F-9224-4F0DCEEE9AA2}"/>
    <cellStyle name="Assumptions % 3 dp 3 7 2" xfId="7923" xr:uid="{8851E432-816C-4332-8335-355CBE35FAE4}"/>
    <cellStyle name="Assumptions % 3 dp 3 8" xfId="5111" xr:uid="{00BDFCA8-952F-4481-92A1-7F1DF12756D7}"/>
    <cellStyle name="Assumptions % 3 dp 3 8 2" xfId="6785" xr:uid="{EA2F4F02-1558-420F-9190-19575C2AED1E}"/>
    <cellStyle name="Assumptions % 3 dp 3 9" xfId="6494" xr:uid="{E9419776-8E2D-4188-9D47-47AB31FC4495}"/>
    <cellStyle name="Assumptions % 3 dp 4" xfId="4947" xr:uid="{2A978A0A-1B61-44EE-993B-1F0E4B953306}"/>
    <cellStyle name="Assumptions % 3 dp 4 2" xfId="5937" xr:uid="{4A84449C-BAB6-4B7F-9326-8A395758ABB0}"/>
    <cellStyle name="Assumptions % 3 dp 4 2 2" xfId="7590" xr:uid="{69A803AF-476C-4F9A-998F-E18DE87E8C77}"/>
    <cellStyle name="Assumptions % 3 dp 4 3" xfId="6231" xr:uid="{E59CF812-AC8E-4197-AF6D-CE1DD1D5CF1A}"/>
    <cellStyle name="Assumptions % 3 dp 4 3 2" xfId="7878" xr:uid="{A7009990-DE70-4921-A93E-624365618E7F}"/>
    <cellStyle name="Assumptions % 3 dp 4 4" xfId="6630" xr:uid="{A00F58C1-D053-4916-B5D3-E3CAE43DC20E}"/>
    <cellStyle name="Assumptions % 3 dp 5" xfId="5146" xr:uid="{E5D802AF-DB4E-47D8-8DF5-104241F0B4D4}"/>
    <cellStyle name="Assumptions % 3 dp 5 2" xfId="6820" xr:uid="{05167975-21AB-4710-ADD9-ED1D0EBF882B}"/>
    <cellStyle name="Assumptions % 3 dp 6" xfId="5348" xr:uid="{B861674B-F16E-465A-A390-7C3A01EAA5BD}"/>
    <cellStyle name="Assumptions % 3 dp 6 2" xfId="7013" xr:uid="{C9F2ABCC-2D63-45EF-8E6B-5BC587EADFCA}"/>
    <cellStyle name="Assumptions % 3 dp 7" xfId="5322" xr:uid="{8B667FF5-7DA2-44C3-A181-AF8BD639CEC9}"/>
    <cellStyle name="Assumptions % 3 dp 7 2" xfId="6988" xr:uid="{735F42C4-3EA0-4A9F-88F1-90B5FB45557C}"/>
    <cellStyle name="Assumptions % 3 dp 8" xfId="5160" xr:uid="{6A4EC6F4-ECFA-4333-90C0-29185B4FEBD1}"/>
    <cellStyle name="Assumptions % 3 dp 8 2" xfId="6834" xr:uid="{7D79F46F-14D9-4475-A9ED-736017F5B33A}"/>
    <cellStyle name="Assumptions % 3 dp 9" xfId="5195" xr:uid="{CB1D6C43-994B-46A5-98E0-9F1F84D8EDAE}"/>
    <cellStyle name="Assumptions % 3 dp 9 2" xfId="6869" xr:uid="{87581F97-4C16-4D12-AF52-E188938545BD}"/>
    <cellStyle name="Assumptions 0 dp" xfId="1200" xr:uid="{EEA29873-78B4-4789-A04F-D4F249022B18}"/>
    <cellStyle name="Assumptions 0 dp 10" xfId="5201" xr:uid="{A19D061B-337A-4886-8282-04DD1D22FBD8}"/>
    <cellStyle name="Assumptions 0 dp 11" xfId="6352" xr:uid="{D94A9D37-18BE-4DAF-B72C-73A0105442E5}"/>
    <cellStyle name="Assumptions 0 dp 2" xfId="4740" xr:uid="{D0CA9C01-6802-4819-BE58-388B82F8B4D4}"/>
    <cellStyle name="Assumptions 0 dp 2 2" xfId="5735" xr:uid="{807F46C4-A723-47C5-9E67-E99FC49C1880}"/>
    <cellStyle name="Assumptions 0 dp 2 2 2" xfId="7388" xr:uid="{79B08809-9BDF-462A-A689-52A0EFCF631C}"/>
    <cellStyle name="Assumptions 0 dp 2 3" xfId="5396" xr:uid="{E8066BBA-AC4F-4FAD-988F-526B0E247822}"/>
    <cellStyle name="Assumptions 0 dp 2 3 2" xfId="7060" xr:uid="{AEEF9EDF-D2CB-48EB-AA43-6A27A7511748}"/>
    <cellStyle name="Assumptions 0 dp 2 4" xfId="6431" xr:uid="{3DD8CBFC-6DD8-403C-BF12-85281495FF79}"/>
    <cellStyle name="Assumptions 0 dp 3" xfId="4803" xr:uid="{15BA59E4-A714-4054-ACEB-EA2AB6CE139C}"/>
    <cellStyle name="Assumptions 0 dp 3 2" xfId="5797" xr:uid="{70A827CA-3DE5-4762-ACBC-E9B092EEAA33}"/>
    <cellStyle name="Assumptions 0 dp 3 2 2" xfId="7450" xr:uid="{7BB6C6E5-D417-4D04-B315-74EF46378E39}"/>
    <cellStyle name="Assumptions 0 dp 3 3" xfId="5997" xr:uid="{279785A4-CD76-4C7C-8D38-0691ED9D5553}"/>
    <cellStyle name="Assumptions 0 dp 3 3 2" xfId="7649" xr:uid="{41D48635-48D9-4AB7-9383-8C273E176EEA}"/>
    <cellStyle name="Assumptions 0 dp 3 4" xfId="6147" xr:uid="{7E298E23-AE0A-4C29-80D6-339CBB9825A5}"/>
    <cellStyle name="Assumptions 0 dp 3 4 2" xfId="7797" xr:uid="{9B28A3A0-011B-4AE1-8A2A-7125EB819A7E}"/>
    <cellStyle name="Assumptions 0 dp 3 5" xfId="5604" xr:uid="{970A6322-86B0-4DE6-B577-1F6D03997212}"/>
    <cellStyle name="Assumptions 0 dp 3 5 2" xfId="7265" xr:uid="{6F037E95-3353-4E71-83B2-DECE30C5C1A5}"/>
    <cellStyle name="Assumptions 0 dp 3 6" xfId="6168" xr:uid="{2B7B7AF3-DF2B-4110-B2D3-437611B86FCC}"/>
    <cellStyle name="Assumptions 0 dp 3 6 2" xfId="7816" xr:uid="{B910CC04-70DD-4D37-90EC-0FCBF7A30F29}"/>
    <cellStyle name="Assumptions 0 dp 3 7" xfId="6275" xr:uid="{2D0FFA46-C9F3-4262-9DE4-F1724F03B304}"/>
    <cellStyle name="Assumptions 0 dp 3 7 2" xfId="7922" xr:uid="{BF3FF1C0-B934-4DDA-AC23-818A7803CB5F}"/>
    <cellStyle name="Assumptions 0 dp 3 8" xfId="5112" xr:uid="{77DD51EF-9B45-4F72-91F6-93D4F68CC1F3}"/>
    <cellStyle name="Assumptions 0 dp 3 8 2" xfId="6786" xr:uid="{3C3BE3A6-BB34-49A1-8331-2ECF6B69988F}"/>
    <cellStyle name="Assumptions 0 dp 3 9" xfId="6493" xr:uid="{20F61FCB-5075-483D-9508-2C839F26CB07}"/>
    <cellStyle name="Assumptions 0 dp 4" xfId="4946" xr:uid="{F8BE7020-9FEB-43D5-AB12-DF02409742A7}"/>
    <cellStyle name="Assumptions 0 dp 4 2" xfId="5936" xr:uid="{17FE4E13-E9AF-4905-B56B-B371826CB9F4}"/>
    <cellStyle name="Assumptions 0 dp 4 2 2" xfId="7589" xr:uid="{65ADF25F-4142-4DCA-ACBC-699A5BA6C09D}"/>
    <cellStyle name="Assumptions 0 dp 4 3" xfId="6230" xr:uid="{6AD63BA2-A8B0-438A-8D42-7944A8333F4D}"/>
    <cellStyle name="Assumptions 0 dp 4 3 2" xfId="7877" xr:uid="{1DBD7A00-7B1C-4A12-A901-4595A7AD679D}"/>
    <cellStyle name="Assumptions 0 dp 4 4" xfId="6629" xr:uid="{82684C42-6D6A-4C55-9C82-8B2B52139647}"/>
    <cellStyle name="Assumptions 0 dp 5" xfId="5147" xr:uid="{5BA61458-F38C-446B-875B-45698513517A}"/>
    <cellStyle name="Assumptions 0 dp 5 2" xfId="6821" xr:uid="{8410D0F8-7F7B-49EE-9282-7E66F4FFDBA3}"/>
    <cellStyle name="Assumptions 0 dp 6" xfId="5347" xr:uid="{A5C25975-121B-44F7-8FB8-36DD322BD4A7}"/>
    <cellStyle name="Assumptions 0 dp 6 2" xfId="7012" xr:uid="{494AD09E-5C0F-49BF-9D4D-7CDEE2A7EB88}"/>
    <cellStyle name="Assumptions 0 dp 7" xfId="5321" xr:uid="{DF71DF4B-3617-4D9A-B913-B6F10D7C8584}"/>
    <cellStyle name="Assumptions 0 dp 7 2" xfId="6987" xr:uid="{2809D45D-5704-427E-95F0-7C282B08D9F5}"/>
    <cellStyle name="Assumptions 0 dp 8" xfId="5161" xr:uid="{588F0864-510F-4408-8ADE-8F97FFD4EEAC}"/>
    <cellStyle name="Assumptions 0 dp 8 2" xfId="6835" xr:uid="{3AD0BF78-64AC-4636-8FC7-6B0CCA6F636F}"/>
    <cellStyle name="Assumptions 0 dp 9" xfId="5196" xr:uid="{26456F3F-1DF3-47AA-9EDB-63A4A41A2212}"/>
    <cellStyle name="Assumptions 0 dp 9 2" xfId="6870" xr:uid="{5404C01B-2E19-4785-9020-34EB68104207}"/>
    <cellStyle name="Assumptions 1 dp" xfId="1201" xr:uid="{ADFCF067-B52B-42B0-B12C-62B24E61B70D}"/>
    <cellStyle name="Assumptions 1 dp 10" xfId="5715" xr:uid="{D8399819-C9F7-4DAE-BC62-EDDBB0AFD41D}"/>
    <cellStyle name="Assumptions 1 dp 11" xfId="6353" xr:uid="{C8EE8588-D0BD-46F4-8C12-3F9D3F949197}"/>
    <cellStyle name="Assumptions 1 dp 2" xfId="4741" xr:uid="{A3CAE5CB-784B-4FC5-868D-C67125368130}"/>
    <cellStyle name="Assumptions 1 dp 2 2" xfId="5736" xr:uid="{2969A70D-D0C8-4878-9C39-8A57B4CFED6D}"/>
    <cellStyle name="Assumptions 1 dp 2 2 2" xfId="7389" xr:uid="{3BBC2D6A-E655-49DA-94E6-26D5C482E83E}"/>
    <cellStyle name="Assumptions 1 dp 2 3" xfId="5527" xr:uid="{70BC61EF-3A9A-4C44-95FB-7C241FE61254}"/>
    <cellStyle name="Assumptions 1 dp 2 3 2" xfId="7191" xr:uid="{D0DE06E7-16FA-4EEA-A19D-F6ED7EDD1977}"/>
    <cellStyle name="Assumptions 1 dp 2 4" xfId="6432" xr:uid="{31C55D15-99EA-4F21-A719-46379A00DCF4}"/>
    <cellStyle name="Assumptions 1 dp 3" xfId="4802" xr:uid="{EB4E72D7-3D77-488A-A8BA-3A63418BFE8C}"/>
    <cellStyle name="Assumptions 1 dp 3 2" xfId="5796" xr:uid="{5AD22E2E-932B-4FE3-9A8E-14C902633669}"/>
    <cellStyle name="Assumptions 1 dp 3 2 2" xfId="7449" xr:uid="{2A4E39A3-0DCF-4F01-BDFD-4DE337FD1B53}"/>
    <cellStyle name="Assumptions 1 dp 3 3" xfId="5996" xr:uid="{6A229BB6-0934-485E-806D-E70DEFFC778C}"/>
    <cellStyle name="Assumptions 1 dp 3 3 2" xfId="7648" xr:uid="{AD273756-FEA1-41AC-93FC-4C7F7F135EA2}"/>
    <cellStyle name="Assumptions 1 dp 3 4" xfId="6146" xr:uid="{0B384317-CF12-4754-AE94-F1A3C859DA2A}"/>
    <cellStyle name="Assumptions 1 dp 3 4 2" xfId="7796" xr:uid="{498D2CBF-5BE7-4C2B-927D-0FC7C84E4439}"/>
    <cellStyle name="Assumptions 1 dp 3 5" xfId="5522" xr:uid="{5B7F3A91-9DA7-44E1-A79C-46E67BA4BEF3}"/>
    <cellStyle name="Assumptions 1 dp 3 5 2" xfId="7186" xr:uid="{4DDC9E04-253C-42F9-856F-0E880EA0857C}"/>
    <cellStyle name="Assumptions 1 dp 3 6" xfId="5067" xr:uid="{95CC7E66-150B-4117-94B2-D8FBE065ABBF}"/>
    <cellStyle name="Assumptions 1 dp 3 6 2" xfId="6741" xr:uid="{47BA6390-61F1-4B52-96BB-C25DD1DCDF0B}"/>
    <cellStyle name="Assumptions 1 dp 3 7" xfId="6274" xr:uid="{6CCF21B8-6D84-4D42-A186-5C5D20A51232}"/>
    <cellStyle name="Assumptions 1 dp 3 7 2" xfId="7921" xr:uid="{E36482D7-433B-410E-AE25-703764CCD71C}"/>
    <cellStyle name="Assumptions 1 dp 3 8" xfId="5113" xr:uid="{5B7D0813-BF0C-4B4F-8FD3-0FC087601007}"/>
    <cellStyle name="Assumptions 1 dp 3 8 2" xfId="6787" xr:uid="{D519C97D-EAC1-40AC-9B1C-28E4A9F40A02}"/>
    <cellStyle name="Assumptions 1 dp 3 9" xfId="6492" xr:uid="{C0D07C20-695B-4EEA-8339-B58D9D15D571}"/>
    <cellStyle name="Assumptions 1 dp 4" xfId="4945" xr:uid="{B55A82B3-400E-42F7-9483-676DCD81C4AA}"/>
    <cellStyle name="Assumptions 1 dp 4 2" xfId="5935" xr:uid="{2F035BB0-4B4E-4574-88FC-CCC6EB48B129}"/>
    <cellStyle name="Assumptions 1 dp 4 2 2" xfId="7588" xr:uid="{75408711-CB93-4654-A8E9-3A33C8FDE5BD}"/>
    <cellStyle name="Assumptions 1 dp 4 3" xfId="6229" xr:uid="{01C6B50A-9BFE-4D79-8992-A2696F02E780}"/>
    <cellStyle name="Assumptions 1 dp 4 3 2" xfId="7876" xr:uid="{4E0A62BD-803B-4CF4-896C-ED208C25E24B}"/>
    <cellStyle name="Assumptions 1 dp 4 4" xfId="6628" xr:uid="{55DC9DD5-93C6-4863-8C4E-94FD53F30DA4}"/>
    <cellStyle name="Assumptions 1 dp 5" xfId="5148" xr:uid="{E0055B29-2399-40BA-9A7D-39B1F6C43EA0}"/>
    <cellStyle name="Assumptions 1 dp 5 2" xfId="6822" xr:uid="{D348EE4F-ED09-44D4-860B-12DA0D4BE54C}"/>
    <cellStyle name="Assumptions 1 dp 6" xfId="5346" xr:uid="{43A8CF4F-1901-4D8E-85A1-9ED938AC5D35}"/>
    <cellStyle name="Assumptions 1 dp 6 2" xfId="7011" xr:uid="{7282E761-26E2-46D2-871B-D50A1EB3937C}"/>
    <cellStyle name="Assumptions 1 dp 7" xfId="5320" xr:uid="{88F8C4B8-BB6F-46B1-ABA8-FBBCE4FCB7DD}"/>
    <cellStyle name="Assumptions 1 dp 7 2" xfId="6986" xr:uid="{BB5C3F12-2497-4DB1-99BF-B7B91A930FBF}"/>
    <cellStyle name="Assumptions 1 dp 8" xfId="5162" xr:uid="{6C2F33A6-B51F-4872-9DBE-13F6575B8E44}"/>
    <cellStyle name="Assumptions 1 dp 8 2" xfId="6836" xr:uid="{9C9D8826-1378-4F1D-AF2F-CB1E7E8CF6FB}"/>
    <cellStyle name="Assumptions 1 dp 9" xfId="5959" xr:uid="{383953A9-9806-4CB3-BCE0-989BD48EFCC3}"/>
    <cellStyle name="Assumptions 1 dp 9 2" xfId="7612" xr:uid="{AF3625AC-9287-4809-B1C3-B78044206A31}"/>
    <cellStyle name="Assumptions 2 dp" xfId="1202" xr:uid="{A6B520B5-F3BD-4293-9461-0794298152AD}"/>
    <cellStyle name="Assumptions 2 dp 10" xfId="5200" xr:uid="{9F5851F0-D7CB-46F9-9B92-E8C37E5715D7}"/>
    <cellStyle name="Assumptions 2 dp 11" xfId="6354" xr:uid="{E5B2E181-8E31-4656-8B34-950AE9F929A3}"/>
    <cellStyle name="Assumptions 2 dp 2" xfId="4742" xr:uid="{EE515321-DA6F-4528-AD92-4181ABE20B74}"/>
    <cellStyle name="Assumptions 2 dp 2 2" xfId="5737" xr:uid="{BC0CEF7F-A7E4-44AA-9E92-7F3BDB46EBDC}"/>
    <cellStyle name="Assumptions 2 dp 2 2 2" xfId="7390" xr:uid="{A5A0E120-93B9-42DA-B65D-C2D115672DFF}"/>
    <cellStyle name="Assumptions 2 dp 2 3" xfId="5562" xr:uid="{4E68F91E-7669-4ADD-A548-7BCCDAAE2A41}"/>
    <cellStyle name="Assumptions 2 dp 2 3 2" xfId="7225" xr:uid="{D3BEF748-D1AA-4CDC-95D1-A8CF1D7DC6E7}"/>
    <cellStyle name="Assumptions 2 dp 2 4" xfId="6433" xr:uid="{08DB4DD0-788E-4331-9FBC-3E87D90A381D}"/>
    <cellStyle name="Assumptions 2 dp 3" xfId="4801" xr:uid="{6782F583-AA45-45E8-B200-13959B6812BD}"/>
    <cellStyle name="Assumptions 2 dp 3 2" xfId="5795" xr:uid="{DF38D319-E4C0-44BB-ACBB-E76D22E9A631}"/>
    <cellStyle name="Assumptions 2 dp 3 2 2" xfId="7448" xr:uid="{727C30DE-9B93-4EA4-B5D3-A0B16FF5E06C}"/>
    <cellStyle name="Assumptions 2 dp 3 3" xfId="5995" xr:uid="{0AD604F9-C1FE-4BD8-82A6-0D75384C2DA6}"/>
    <cellStyle name="Assumptions 2 dp 3 3 2" xfId="7647" xr:uid="{0F0C20F4-6640-4571-80DC-E3B73764A564}"/>
    <cellStyle name="Assumptions 2 dp 3 4" xfId="6145" xr:uid="{56536FA7-56E2-4FD0-B7AD-62074F2DC774}"/>
    <cellStyle name="Assumptions 2 dp 3 4 2" xfId="7795" xr:uid="{05027321-BE98-497B-92C7-A704F6035E85}"/>
    <cellStyle name="Assumptions 2 dp 3 5" xfId="5641" xr:uid="{60EB0570-8842-4189-B80B-0C8FA3BE7CB1}"/>
    <cellStyle name="Assumptions 2 dp 3 5 2" xfId="7301" xr:uid="{20AAAF7D-3256-4941-B882-10A2A5CA874D}"/>
    <cellStyle name="Assumptions 2 dp 3 6" xfId="5068" xr:uid="{50026AF3-D219-4571-8496-64AD6C45FE67}"/>
    <cellStyle name="Assumptions 2 dp 3 6 2" xfId="6742" xr:uid="{6A9506F9-1B7C-4BD0-8CAD-F65398CA6669}"/>
    <cellStyle name="Assumptions 2 dp 3 7" xfId="6273" xr:uid="{C19D99E4-8FFB-4819-A342-B833964ED1AE}"/>
    <cellStyle name="Assumptions 2 dp 3 7 2" xfId="7920" xr:uid="{98888CBB-3148-417C-B335-7DEBA06F0513}"/>
    <cellStyle name="Assumptions 2 dp 3 8" xfId="5114" xr:uid="{A9B013CB-DDDA-4F83-A53B-167D4FE2FF59}"/>
    <cellStyle name="Assumptions 2 dp 3 8 2" xfId="6788" xr:uid="{14A57C04-BC3D-4D7A-93F5-4FDFEC603E1C}"/>
    <cellStyle name="Assumptions 2 dp 3 9" xfId="6491" xr:uid="{370EE311-261B-47A9-86EE-B8B498000C6A}"/>
    <cellStyle name="Assumptions 2 dp 4" xfId="4944" xr:uid="{198D87AC-EFF6-4F55-99D4-0B5A8772AC9D}"/>
    <cellStyle name="Assumptions 2 dp 4 2" xfId="5934" xr:uid="{A983F529-2DF9-4AF3-B5DF-4A2E4A5202CA}"/>
    <cellStyle name="Assumptions 2 dp 4 2 2" xfId="7587" xr:uid="{F57D97CF-0BD3-4BD4-943D-2B75B75995E2}"/>
    <cellStyle name="Assumptions 2 dp 4 3" xfId="6228" xr:uid="{80B1AC94-AA2B-41AA-A1D7-EB085851D8A3}"/>
    <cellStyle name="Assumptions 2 dp 4 3 2" xfId="7875" xr:uid="{B273E7C9-5DC4-41B7-A8F6-F442F33B21DF}"/>
    <cellStyle name="Assumptions 2 dp 4 4" xfId="6627" xr:uid="{3AFA624C-F9BD-4C7A-B69A-7CAADDC989CA}"/>
    <cellStyle name="Assumptions 2 dp 5" xfId="5149" xr:uid="{8F95922B-10EC-4EF1-B39A-D27F7FA2D2F9}"/>
    <cellStyle name="Assumptions 2 dp 5 2" xfId="6823" xr:uid="{EB6467F7-A06F-483B-9794-487ACB2741B4}"/>
    <cellStyle name="Assumptions 2 dp 6" xfId="5345" xr:uid="{D76DD71D-F4DB-443B-BDCB-DCF318F5A9E7}"/>
    <cellStyle name="Assumptions 2 dp 6 2" xfId="7010" xr:uid="{8BB6C124-7E53-40E8-ACC3-00DD8452822A}"/>
    <cellStyle name="Assumptions 2 dp 7" xfId="5319" xr:uid="{1EE55A8E-B15F-4377-85BF-B567E1274A61}"/>
    <cellStyle name="Assumptions 2 dp 7 2" xfId="6985" xr:uid="{255AA67C-B8CB-46C7-A6B2-DCC8C0E11691}"/>
    <cellStyle name="Assumptions 2 dp 8" xfId="5163" xr:uid="{F695C54A-EFB1-4874-83EE-F5F4120578DA}"/>
    <cellStyle name="Assumptions 2 dp 8 2" xfId="6837" xr:uid="{C509C7C6-41CC-4207-9FB3-09050CB53C45}"/>
    <cellStyle name="Assumptions 2 dp 9" xfId="6107" xr:uid="{6FE6712A-097B-4459-A01E-F630D378D2E6}"/>
    <cellStyle name="Assumptions 2 dp 9 2" xfId="7758" xr:uid="{0BBE998B-5DDB-4ECF-BB3B-FF24576A1145}"/>
    <cellStyle name="Assumptions 3 dp" xfId="1203" xr:uid="{2F5C1A92-A6CC-4FCD-BDE6-C03F436138C1}"/>
    <cellStyle name="Assumptions 3 dp 10" xfId="5719" xr:uid="{83F61E97-EE83-48EF-9BAA-01271C453BDF}"/>
    <cellStyle name="Assumptions 3 dp 11" xfId="6355" xr:uid="{E14D9B74-1588-4205-8F75-A8DEC7CDB89E}"/>
    <cellStyle name="Assumptions 3 dp 2" xfId="4743" xr:uid="{07963CCC-0BF7-4B11-BAD1-A0AA88B5AF7B}"/>
    <cellStyle name="Assumptions 3 dp 2 2" xfId="5738" xr:uid="{F1E543D6-DBA2-4A6D-BAA8-E383E136EAAD}"/>
    <cellStyle name="Assumptions 3 dp 2 2 2" xfId="7391" xr:uid="{54ADA257-E651-4F09-96AF-3464B34A998B}"/>
    <cellStyle name="Assumptions 3 dp 2 3" xfId="5397" xr:uid="{0DAC26A4-8082-451B-B6A0-051A8E0ED122}"/>
    <cellStyle name="Assumptions 3 dp 2 3 2" xfId="7061" xr:uid="{BEC54F90-8935-4E8C-B3D7-8AA35F75D217}"/>
    <cellStyle name="Assumptions 3 dp 2 4" xfId="6434" xr:uid="{79333D0B-608F-430C-A5E4-00CC03680FE6}"/>
    <cellStyle name="Assumptions 3 dp 3" xfId="4800" xr:uid="{0FFC57FE-4B4D-48FE-A660-C57A154F948C}"/>
    <cellStyle name="Assumptions 3 dp 3 2" xfId="5794" xr:uid="{9B722ABF-29D0-4111-826D-3DCD023B3CB3}"/>
    <cellStyle name="Assumptions 3 dp 3 2 2" xfId="7447" xr:uid="{1C357D66-F1EB-48E4-8D19-77054C6FA72C}"/>
    <cellStyle name="Assumptions 3 dp 3 3" xfId="5994" xr:uid="{56D30F28-AC49-4671-846B-BF5F17333030}"/>
    <cellStyle name="Assumptions 3 dp 3 3 2" xfId="7646" xr:uid="{BB2586FB-9ABA-4871-AAC2-1C0BD59C2D7C}"/>
    <cellStyle name="Assumptions 3 dp 3 4" xfId="6144" xr:uid="{F56DD50B-AEC1-4522-98A0-BFFE72C15318}"/>
    <cellStyle name="Assumptions 3 dp 3 4 2" xfId="7794" xr:uid="{CBDAB94A-E9B9-401B-8B49-4B32387C902A}"/>
    <cellStyle name="Assumptions 3 dp 3 5" xfId="5603" xr:uid="{DAEC5DDC-E05C-449D-A959-7C7E39856E9D}"/>
    <cellStyle name="Assumptions 3 dp 3 5 2" xfId="7264" xr:uid="{5076D241-E5D9-449E-AC54-2E078910BC71}"/>
    <cellStyle name="Assumptions 3 dp 3 6" xfId="5019" xr:uid="{C26FF9D2-32D8-4109-B5C8-A72D9130E043}"/>
    <cellStyle name="Assumptions 3 dp 3 6 2" xfId="6698" xr:uid="{DEF001A3-90A5-4329-B095-044448E4671C}"/>
    <cellStyle name="Assumptions 3 dp 3 7" xfId="6272" xr:uid="{3A23DCA4-CA3F-4A0E-BFFF-88A13D02396E}"/>
    <cellStyle name="Assumptions 3 dp 3 7 2" xfId="7919" xr:uid="{4DA74436-D201-4135-90C5-DC77FF8BB98A}"/>
    <cellStyle name="Assumptions 3 dp 3 8" xfId="5115" xr:uid="{53E48516-F58B-4E81-8231-00EF4F559BE3}"/>
    <cellStyle name="Assumptions 3 dp 3 8 2" xfId="6789" xr:uid="{94CF21F5-65B5-4C74-A8F0-90D1B3850A74}"/>
    <cellStyle name="Assumptions 3 dp 3 9" xfId="6490" xr:uid="{3FC4B745-50FD-4118-A584-91D74F55ED5B}"/>
    <cellStyle name="Assumptions 3 dp 4" xfId="4943" xr:uid="{F492F34A-C3B0-4609-A61B-F4D1E47349C9}"/>
    <cellStyle name="Assumptions 3 dp 4 2" xfId="5933" xr:uid="{AF768E36-B718-4287-AABD-6F440ADC06E6}"/>
    <cellStyle name="Assumptions 3 dp 4 2 2" xfId="7586" xr:uid="{A6799B11-7A06-49DC-A984-1C4A2DF56524}"/>
    <cellStyle name="Assumptions 3 dp 4 3" xfId="6227" xr:uid="{ABE4596D-F356-457F-B36A-AAB38E8888DA}"/>
    <cellStyle name="Assumptions 3 dp 4 3 2" xfId="7874" xr:uid="{665538AF-73CE-4B0D-8C9E-805F1EACF373}"/>
    <cellStyle name="Assumptions 3 dp 4 4" xfId="6626" xr:uid="{B51751BC-DD80-4D81-B1DA-355E3ED64C01}"/>
    <cellStyle name="Assumptions 3 dp 5" xfId="5150" xr:uid="{D0B22C81-6F40-4B3E-B0F5-FEE68DA03039}"/>
    <cellStyle name="Assumptions 3 dp 5 2" xfId="6824" xr:uid="{FB3F2D86-63D0-4FA7-9539-4A623A7495BE}"/>
    <cellStyle name="Assumptions 3 dp 6" xfId="5344" xr:uid="{57B23141-D9F5-409F-8F52-3A1BFAD6C0F4}"/>
    <cellStyle name="Assumptions 3 dp 6 2" xfId="7009" xr:uid="{C6A8FCFC-C4AE-407D-9552-BD961F752B20}"/>
    <cellStyle name="Assumptions 3 dp 7" xfId="5318" xr:uid="{D6E78F25-29E5-4E37-A4CC-583D3FC5F0C8}"/>
    <cellStyle name="Assumptions 3 dp 7 2" xfId="6984" xr:uid="{4386F388-3367-4D36-A60F-A1A7527E95F1}"/>
    <cellStyle name="Assumptions 3 dp 8" xfId="5164" xr:uid="{F6D74A67-3FE2-425F-9A54-F1D68EA0998F}"/>
    <cellStyle name="Assumptions 3 dp 8 2" xfId="6838" xr:uid="{1F2F0CD5-D796-41A7-A0F0-4E272F885856}"/>
    <cellStyle name="Assumptions 3 dp 9" xfId="5960" xr:uid="{B9A1AD5F-364B-4B54-9687-240B2868EDED}"/>
    <cellStyle name="Assumptions 3 dp 9 2" xfId="7613" xr:uid="{51F42916-4C6D-4602-8200-5E4B7697B665}"/>
    <cellStyle name="Assumptions x 1 dp" xfId="1204" xr:uid="{4A8EB498-EA45-444B-BA1E-9C5E00D1E8AF}"/>
    <cellStyle name="Assumptions x 1 dp 10" xfId="4959" xr:uid="{2B473C21-325B-4A33-94EC-4285F77F9BCC}"/>
    <cellStyle name="Assumptions x 1 dp 11" xfId="6356" xr:uid="{EB5E1D27-B431-41BC-81F7-DD2E87141F89}"/>
    <cellStyle name="Assumptions x 1 dp 2" xfId="4744" xr:uid="{CC00876C-93AA-4393-BD1B-9271C8392955}"/>
    <cellStyle name="Assumptions x 1 dp 2 2" xfId="5739" xr:uid="{84C7695C-646E-43BB-BA1B-2F66E6C2F97F}"/>
    <cellStyle name="Assumptions x 1 dp 2 2 2" xfId="7392" xr:uid="{D613611B-23A2-443D-82E1-1B9DB881F30C}"/>
    <cellStyle name="Assumptions x 1 dp 2 3" xfId="5528" xr:uid="{A7E90AD1-CA45-49F4-9F8F-66C79546EC28}"/>
    <cellStyle name="Assumptions x 1 dp 2 3 2" xfId="7192" xr:uid="{29F38C29-09C8-4849-86CB-163DC726D648}"/>
    <cellStyle name="Assumptions x 1 dp 2 4" xfId="6435" xr:uid="{0357AC67-294C-4B12-8FDD-0E926DD5581B}"/>
    <cellStyle name="Assumptions x 1 dp 3" xfId="4799" xr:uid="{59538697-0DE8-4B9E-8143-E39D5E50833A}"/>
    <cellStyle name="Assumptions x 1 dp 3 2" xfId="5793" xr:uid="{42784308-AE07-4ED9-A561-99B260DCE78E}"/>
    <cellStyle name="Assumptions x 1 dp 3 2 2" xfId="7446" xr:uid="{5D1A2A54-FA0B-4F43-AA02-27ECD25B07A1}"/>
    <cellStyle name="Assumptions x 1 dp 3 3" xfId="5993" xr:uid="{A33BF34E-E6CD-4F84-A7FA-7458EC98F54B}"/>
    <cellStyle name="Assumptions x 1 dp 3 3 2" xfId="7645" xr:uid="{1756C6FD-3581-44FC-9A84-7F3426668CCA}"/>
    <cellStyle name="Assumptions x 1 dp 3 4" xfId="6143" xr:uid="{F8D01394-4C9F-4EE5-9620-83F2CF8C1D4F}"/>
    <cellStyle name="Assumptions x 1 dp 3 4 2" xfId="7793" xr:uid="{37686745-E8F2-4971-AFBA-C5ED09DD992A}"/>
    <cellStyle name="Assumptions x 1 dp 3 5" xfId="5521" xr:uid="{70AFFA66-2358-402C-BD9E-472C81C32DB7}"/>
    <cellStyle name="Assumptions x 1 dp 3 5 2" xfId="7185" xr:uid="{E117DFF7-2AFB-434E-B979-75EB7B823449}"/>
    <cellStyle name="Assumptions x 1 dp 3 6" xfId="6159" xr:uid="{592C2C57-DE5C-4083-8E3F-79788242663E}"/>
    <cellStyle name="Assumptions x 1 dp 3 6 2" xfId="7809" xr:uid="{2722500E-618E-42A3-99D7-3CAEF8F83DE2}"/>
    <cellStyle name="Assumptions x 1 dp 3 7" xfId="6271" xr:uid="{9AAB11CA-1CFF-46CB-BFB4-B22BB5FF51D5}"/>
    <cellStyle name="Assumptions x 1 dp 3 7 2" xfId="7918" xr:uid="{FBDBA27E-F330-4701-8050-F486281FBA34}"/>
    <cellStyle name="Assumptions x 1 dp 3 8" xfId="5116" xr:uid="{F6AB3C67-1C88-4A63-9EBC-CC9B9FB1EC9F}"/>
    <cellStyle name="Assumptions x 1 dp 3 8 2" xfId="6790" xr:uid="{0125286B-8C9E-424A-AFCF-88E516F34479}"/>
    <cellStyle name="Assumptions x 1 dp 3 9" xfId="6489" xr:uid="{FBD389D4-6AEA-44BA-A092-EA3F97F3A42C}"/>
    <cellStyle name="Assumptions x 1 dp 4" xfId="4942" xr:uid="{D1152787-1BDF-4D8A-8A7E-EF30D056A5F5}"/>
    <cellStyle name="Assumptions x 1 dp 4 2" xfId="5932" xr:uid="{CD0EE190-F361-44F4-A67F-3D3F747E06FD}"/>
    <cellStyle name="Assumptions x 1 dp 4 2 2" xfId="7585" xr:uid="{F8EF8698-7077-4063-8665-0667D0317040}"/>
    <cellStyle name="Assumptions x 1 dp 4 3" xfId="6226" xr:uid="{3A43D56E-ADCC-4863-BD5A-E4C9AA912E7F}"/>
    <cellStyle name="Assumptions x 1 dp 4 3 2" xfId="7873" xr:uid="{7E2D9E51-7B1A-4A54-B703-BC25EFA455B1}"/>
    <cellStyle name="Assumptions x 1 dp 4 4" xfId="6625" xr:uid="{DE17B57C-C7F7-4D6E-88AF-87DD2FF7E2D8}"/>
    <cellStyle name="Assumptions x 1 dp 5" xfId="5151" xr:uid="{3C859876-AF14-42E5-9D1F-A1E86CF2E3B5}"/>
    <cellStyle name="Assumptions x 1 dp 5 2" xfId="6825" xr:uid="{94AC3399-BB8B-4F0D-B2E6-4270021808F6}"/>
    <cellStyle name="Assumptions x 1 dp 6" xfId="5343" xr:uid="{B5D69F5F-E1E9-45B1-AF30-77280A969AFE}"/>
    <cellStyle name="Assumptions x 1 dp 6 2" xfId="7008" xr:uid="{1D8575A6-50A5-4A2C-A7AD-8EB1F21C194B}"/>
    <cellStyle name="Assumptions x 1 dp 7" xfId="5317" xr:uid="{CD2D5507-9BAD-4409-88BF-DB154A3C77B0}"/>
    <cellStyle name="Assumptions x 1 dp 7 2" xfId="6983" xr:uid="{BE46A3E6-FDD8-49FB-A3F0-44757EAE7D63}"/>
    <cellStyle name="Assumptions x 1 dp 8" xfId="5165" xr:uid="{CDAE2590-04FA-4EFE-B3F0-D5F9E5D3F256}"/>
    <cellStyle name="Assumptions x 1 dp 8 2" xfId="6839" xr:uid="{F5D223CB-32F7-4B80-B9D7-82B1A694B838}"/>
    <cellStyle name="Assumptions x 1 dp 9" xfId="6106" xr:uid="{01269E64-7DC4-482F-AE65-86616D8BED07}"/>
    <cellStyle name="Assumptions x 1 dp 9 2" xfId="7757" xr:uid="{A1370D08-C4F4-4F14-950C-BCC30D32332C}"/>
    <cellStyle name="Assumptions x 2 dp" xfId="1205" xr:uid="{34C16AE9-4D92-4EA7-917B-F5664E8442F9}"/>
    <cellStyle name="Assumptions x 2 dp 10" xfId="5202" xr:uid="{349DE8BA-F82F-4668-8797-E615AAB861C6}"/>
    <cellStyle name="Assumptions x 2 dp 11" xfId="6357" xr:uid="{90B7AE26-4370-4C10-A225-858E6F653818}"/>
    <cellStyle name="Assumptions x 2 dp 2" xfId="4745" xr:uid="{9B5D5947-2A20-492C-B267-0641D8667768}"/>
    <cellStyle name="Assumptions x 2 dp 2 2" xfId="5740" xr:uid="{C3EB35F7-4372-4FD8-B877-02A5A3BBCC4A}"/>
    <cellStyle name="Assumptions x 2 dp 2 2 2" xfId="7393" xr:uid="{40A66FD2-2929-4DC9-8AC7-84A4E6430608}"/>
    <cellStyle name="Assumptions x 2 dp 2 3" xfId="5561" xr:uid="{43189F07-8142-4FD2-A129-E6D3AE1099E3}"/>
    <cellStyle name="Assumptions x 2 dp 2 3 2" xfId="7224" xr:uid="{A33168BF-20C9-4D1C-9CCF-7DC1B564BAA5}"/>
    <cellStyle name="Assumptions x 2 dp 2 4" xfId="6436" xr:uid="{F750FA6C-290B-4E44-9A13-D41FD2FB4585}"/>
    <cellStyle name="Assumptions x 2 dp 3" xfId="4798" xr:uid="{85FC478F-FA95-413E-8B03-A126755FF8A8}"/>
    <cellStyle name="Assumptions x 2 dp 3 2" xfId="5792" xr:uid="{C233970D-199F-4DFB-8687-469156C6E65B}"/>
    <cellStyle name="Assumptions x 2 dp 3 2 2" xfId="7445" xr:uid="{DE7B8F9D-2C4C-4BB4-A26A-D50071F94B7B}"/>
    <cellStyle name="Assumptions x 2 dp 3 3" xfId="5992" xr:uid="{E0D94BC0-2720-4870-B3DE-970385A0B913}"/>
    <cellStyle name="Assumptions x 2 dp 3 3 2" xfId="7644" xr:uid="{1B33AE1D-7390-455B-8CD1-960165723DB3}"/>
    <cellStyle name="Assumptions x 2 dp 3 4" xfId="6142" xr:uid="{98A80EE0-267D-4D08-B55A-DD39977AA932}"/>
    <cellStyle name="Assumptions x 2 dp 3 4 2" xfId="7792" xr:uid="{49CC7FFF-9574-4E1C-9A3B-B9EC9D8FC50B}"/>
    <cellStyle name="Assumptions x 2 dp 3 5" xfId="5642" xr:uid="{698FC000-C73B-4DA9-B038-AD4AA7BD5A54}"/>
    <cellStyle name="Assumptions x 2 dp 3 5 2" xfId="7302" xr:uid="{D9ECC1A7-9ED9-4A94-B4C1-3F2E90456F58}"/>
    <cellStyle name="Assumptions x 2 dp 3 6" xfId="5069" xr:uid="{81E62851-86B5-4B49-828B-5C5B69AE22FD}"/>
    <cellStyle name="Assumptions x 2 dp 3 6 2" xfId="6743" xr:uid="{CA4469EA-6570-4DF8-9121-859F4809D8E6}"/>
    <cellStyle name="Assumptions x 2 dp 3 7" xfId="6270" xr:uid="{E11051B3-45AE-44B2-B70B-2D121EF1F3BF}"/>
    <cellStyle name="Assumptions x 2 dp 3 7 2" xfId="7917" xr:uid="{48CC0A69-4810-4CB0-A22D-1176A72E9342}"/>
    <cellStyle name="Assumptions x 2 dp 3 8" xfId="5117" xr:uid="{7EB4A107-8595-4B8C-BE63-E0DD20FB5670}"/>
    <cellStyle name="Assumptions x 2 dp 3 8 2" xfId="6791" xr:uid="{68E18398-C1EE-4DE0-A79F-6B60F4550786}"/>
    <cellStyle name="Assumptions x 2 dp 3 9" xfId="6488" xr:uid="{C9513278-A076-4277-942C-34821A1D4066}"/>
    <cellStyle name="Assumptions x 2 dp 4" xfId="4941" xr:uid="{A587EB81-C787-470E-9B5E-B53F9E15AA35}"/>
    <cellStyle name="Assumptions x 2 dp 4 2" xfId="5931" xr:uid="{200C9D0D-2E37-4CE3-8215-5B9DEDBCC90D}"/>
    <cellStyle name="Assumptions x 2 dp 4 2 2" xfId="7584" xr:uid="{64F2C96D-9CBC-4405-B4E3-0E4B384FD6F2}"/>
    <cellStyle name="Assumptions x 2 dp 4 3" xfId="6225" xr:uid="{AC4DD031-962F-4321-B0DE-93ADF027B1A5}"/>
    <cellStyle name="Assumptions x 2 dp 4 3 2" xfId="7872" xr:uid="{485C5543-6FA0-4341-9214-23036E466C1D}"/>
    <cellStyle name="Assumptions x 2 dp 4 4" xfId="6624" xr:uid="{861CC729-9855-4C01-AE75-2DCBB2A02337}"/>
    <cellStyle name="Assumptions x 2 dp 5" xfId="5152" xr:uid="{9C516177-69F0-4F17-AB1C-FDDE3A5C8820}"/>
    <cellStyle name="Assumptions x 2 dp 5 2" xfId="6826" xr:uid="{0F7F40C9-D290-4AB5-A98F-AE85211DCBE3}"/>
    <cellStyle name="Assumptions x 2 dp 6" xfId="5342" xr:uid="{38369D39-F9C4-41AB-B074-9E7404389D2D}"/>
    <cellStyle name="Assumptions x 2 dp 6 2" xfId="7007" xr:uid="{392CD206-E55D-4C4D-A536-63C65902884A}"/>
    <cellStyle name="Assumptions x 2 dp 7" xfId="5316" xr:uid="{35843BA4-E8B6-48F3-AB68-BA2AE1D67183}"/>
    <cellStyle name="Assumptions x 2 dp 7 2" xfId="6982" xr:uid="{65FF5CF3-B7EE-44EF-9514-F17D35031726}"/>
    <cellStyle name="Assumptions x 2 dp 8" xfId="5166" xr:uid="{5063C9A1-7F88-4184-AE4E-AA3813767E72}"/>
    <cellStyle name="Assumptions x 2 dp 8 2" xfId="6840" xr:uid="{C3DE8736-BCB2-43B1-B1AE-33EC70CE2E2B}"/>
    <cellStyle name="Assumptions x 2 dp 9" xfId="5724" xr:uid="{9A2BD3DC-A3F7-4FBF-AB3A-B2FEB2B75450}"/>
    <cellStyle name="Assumptions x 2 dp 9 2" xfId="7377" xr:uid="{A569C037-996B-4A6E-B758-1F37AEFA5673}"/>
    <cellStyle name="at" xfId="1206" xr:uid="{CCD69A76-EB71-4F70-A1C0-E45406D08C58}"/>
    <cellStyle name="ÄÞ¸¶ [0]_      " xfId="1207" xr:uid="{8CAAB316-492A-4B36-8F9D-7ED4CB786892}"/>
    <cellStyle name="AÞ¸¶ [0]_INQUIRY ¿?¾÷AßAø " xfId="1208" xr:uid="{0D5F7F7A-6446-473D-B57B-1C9DFD8672E0}"/>
    <cellStyle name="ÄÞ¸¶_      " xfId="1209" xr:uid="{EDFA4BC0-00EB-4E61-A8FA-B2A7AA3A2816}"/>
    <cellStyle name="AÞ¸¶_INQUIRY ¿?¾÷AßAø " xfId="1210" xr:uid="{72032198-85A0-4CDE-9014-6E859FC7CBA0}"/>
    <cellStyle name="Attention" xfId="1211" xr:uid="{96145D3E-F683-49EC-872A-250733FFD5EC}"/>
    <cellStyle name="Ausgabe" xfId="1212" xr:uid="{DCF69189-FBA1-468D-84DB-0DE31D30602A}"/>
    <cellStyle name="Ausgabe 10" xfId="4978" xr:uid="{5A406DD7-A85F-449C-956C-05A5A671759C}"/>
    <cellStyle name="Ausgabe 10 2" xfId="6657" xr:uid="{762B5FA8-6745-47C4-863C-2CF305480808}"/>
    <cellStyle name="Ausgabe 11" xfId="5208" xr:uid="{895C6331-7521-40E2-B918-DA2B92A5735E}"/>
    <cellStyle name="Ausgabe 11 2" xfId="6879" xr:uid="{BCC1F557-E34F-4BC1-8C90-BE956822F96F}"/>
    <cellStyle name="Ausgabe 2" xfId="4746" xr:uid="{1F6B3E3D-83A2-496B-B5BE-ED5AC6C44A2D}"/>
    <cellStyle name="Ausgabe 2 2" xfId="5741" xr:uid="{740F3568-5CEF-4DEB-91A9-E3808E16FF54}"/>
    <cellStyle name="Ausgabe 2 2 2" xfId="7394" xr:uid="{5035A5E4-06BD-43EE-A263-D772E99B41F6}"/>
    <cellStyle name="Ausgabe 2 3" xfId="5954" xr:uid="{8397E07A-D0AD-4AA5-8867-14BCEE536057}"/>
    <cellStyle name="Ausgabe 2 3 2" xfId="7607" xr:uid="{20A2B392-D338-45F8-9CC4-25226C431BE2}"/>
    <cellStyle name="Ausgabe 2 4" xfId="5039" xr:uid="{8347D60A-34F6-4A80-B5D7-75E71464F673}"/>
    <cellStyle name="Ausgabe 2 4 2" xfId="6716" xr:uid="{A3A1AC9F-7E8F-46B8-9062-87D601592FBF}"/>
    <cellStyle name="Ausgabe 2 5" xfId="5083" xr:uid="{576FFDE1-4576-4E79-846F-7E36940D9B33}"/>
    <cellStyle name="Ausgabe 2 5 2" xfId="6757" xr:uid="{1AE49FBC-AF66-432F-B34E-5CAEF312816C}"/>
    <cellStyle name="Ausgabe 2 6" xfId="5398" xr:uid="{49B8AFB4-EAC0-44B7-8404-6BAFE7F69145}"/>
    <cellStyle name="Ausgabe 2 6 2" xfId="7062" xr:uid="{638FF92B-FC75-4D75-9394-BD9D458601E8}"/>
    <cellStyle name="Ausgabe 2 7" xfId="6245" xr:uid="{92118984-02D6-4602-A3B8-F8CC4F3F21E1}"/>
    <cellStyle name="Ausgabe 2 7 2" xfId="7892" xr:uid="{DDEA4E25-08C5-4AFF-AC92-717868472ADB}"/>
    <cellStyle name="Ausgabe 2 8" xfId="5126" xr:uid="{BD3C3BDE-A7BB-4FA6-B93B-CD3CEF26AB34}"/>
    <cellStyle name="Ausgabe 2 8 2" xfId="6800" xr:uid="{782DF030-5251-4C75-929F-67948C6BC1FC}"/>
    <cellStyle name="Ausgabe 2 9" xfId="6437" xr:uid="{60D2EA5F-300A-4BC1-8339-EDEF8114D41E}"/>
    <cellStyle name="Ausgabe 3" xfId="4797" xr:uid="{2D93370B-487D-4D6D-985D-8DA3B7974F93}"/>
    <cellStyle name="Ausgabe 3 2" xfId="5791" xr:uid="{9584E762-C19D-4DC5-9495-FA47D44C6E82}"/>
    <cellStyle name="Ausgabe 3 2 2" xfId="7444" xr:uid="{910428D4-4790-42A5-9361-A0ED2CF6F084}"/>
    <cellStyle name="Ausgabe 3 3" xfId="5991" xr:uid="{498A1E1A-50A2-48E1-8675-44523158C378}"/>
    <cellStyle name="Ausgabe 3 3 2" xfId="7643" xr:uid="{64C30FBC-E3B6-4464-A95A-AAAB1DCE5B20}"/>
    <cellStyle name="Ausgabe 3 4" xfId="6155" xr:uid="{66A5922F-8EA2-42B8-843D-6B9DFE3D8956}"/>
    <cellStyle name="Ausgabe 3 4 2" xfId="7805" xr:uid="{12C07197-82DC-4FFA-9B05-A362C0D0E299}"/>
    <cellStyle name="Ausgabe 3 5" xfId="5602" xr:uid="{BA5BA4F4-0D9F-4248-A5E5-3231B39D9224}"/>
    <cellStyle name="Ausgabe 3 5 2" xfId="7263" xr:uid="{CB3DE7E6-1A3D-4C7C-A8C9-BA59B353C35B}"/>
    <cellStyle name="Ausgabe 3 6" xfId="5533" xr:uid="{7F5F4358-687F-472A-96C5-0652369D7B8F}"/>
    <cellStyle name="Ausgabe 3 6 2" xfId="7197" xr:uid="{309EDB00-DB49-4E16-95A0-F577FC0EFAEF}"/>
    <cellStyle name="Ausgabe 3 7" xfId="5353" xr:uid="{2D83C9D8-0EC6-48BE-A54D-9556BC7A00C8}"/>
    <cellStyle name="Ausgabe 3 7 2" xfId="7018" xr:uid="{74C2368A-9B18-4E46-8833-990A126076BB}"/>
    <cellStyle name="Ausgabe 3 8" xfId="6487" xr:uid="{3AE3B2DF-A917-40AA-A53F-7FD5EFBD50F5}"/>
    <cellStyle name="Ausgabe 4" xfId="4940" xr:uid="{7833209E-44F8-4F88-B5EE-C7DB97000BFF}"/>
    <cellStyle name="Ausgabe 4 2" xfId="5930" xr:uid="{14D53AEE-0517-43AF-B7E3-33387E3D2469}"/>
    <cellStyle name="Ausgabe 4 2 2" xfId="7583" xr:uid="{F892BEA2-37AA-4722-A66F-FA0F10639969}"/>
    <cellStyle name="Ausgabe 4 3" xfId="6113" xr:uid="{1D17AA04-4FCC-441B-AAFD-98DD7A2CFC1E}"/>
    <cellStyle name="Ausgabe 4 3 2" xfId="7764" xr:uid="{09C97359-8A0E-4AD3-8BA1-EA75D0DA499F}"/>
    <cellStyle name="Ausgabe 4 4" xfId="4999" xr:uid="{2542276F-4C64-44F6-8B51-F14BE1707AC3}"/>
    <cellStyle name="Ausgabe 4 4 2" xfId="6678" xr:uid="{749FE3A0-96D7-4265-A176-2BE3DA9919F9}"/>
    <cellStyle name="Ausgabe 4 5" xfId="6190" xr:uid="{E97B44AD-17D6-4EAC-8D2F-DA383799C162}"/>
    <cellStyle name="Ausgabe 4 5 2" xfId="7837" xr:uid="{B1A3BD20-D1AF-404C-A155-9E2974DA726B}"/>
    <cellStyle name="Ausgabe 4 6" xfId="6224" xr:uid="{58158182-CC71-4335-8DC6-09F528F93E38}"/>
    <cellStyle name="Ausgabe 4 6 2" xfId="7871" xr:uid="{B9BAEED9-C925-48ED-9B9C-4795A3DEE3DB}"/>
    <cellStyle name="Ausgabe 4 7" xfId="6332" xr:uid="{A66916DF-35A9-4F80-9E52-3A851348CB78}"/>
    <cellStyle name="Ausgabe 4 7 2" xfId="7979" xr:uid="{784EBDD6-F369-44D6-AF24-F0A13533C68E}"/>
    <cellStyle name="Ausgabe 4 8" xfId="6623" xr:uid="{46482B66-228E-4CAD-AF12-46B59823D26F}"/>
    <cellStyle name="Ausgabe 5" xfId="5153" xr:uid="{CC7CCDC9-A946-4BAB-B2D2-0495D5C00CB5}"/>
    <cellStyle name="Ausgabe 5 2" xfId="6827" xr:uid="{6D00E2D4-6C53-4E70-AB03-931E0B765D29}"/>
    <cellStyle name="Ausgabe 6" xfId="5341" xr:uid="{E38F5894-DD6C-43E0-8EE2-485A80D5551B}"/>
    <cellStyle name="Ausgabe 6 2" xfId="7006" xr:uid="{4EC4E18C-0D0C-47F3-A43A-058B042D82E8}"/>
    <cellStyle name="Ausgabe 7" xfId="5314" xr:uid="{8FB6797A-1E37-4CEB-8709-36E8B50372D7}"/>
    <cellStyle name="Ausgabe 7 2" xfId="6980" xr:uid="{170E2ADD-1886-4280-AA48-8ED3DAA9B488}"/>
    <cellStyle name="Ausgabe 8" xfId="5710" xr:uid="{3ED902F2-4160-4D0B-9122-5D3B71330E99}"/>
    <cellStyle name="Ausgabe 8 2" xfId="7368" xr:uid="{9CF8962A-371A-4247-88DE-E698F772439D}"/>
    <cellStyle name="Ausgabe 9" xfId="5198" xr:uid="{60E45D9F-5690-4AA7-AB99-BFB1341C5BC5}"/>
    <cellStyle name="Ausgabe 9 2" xfId="6872" xr:uid="{323EAB08-1541-4154-8BA2-308B7110809A}"/>
    <cellStyle name="AutoFormat Options" xfId="1213" xr:uid="{7D8B5FFD-4A16-44EF-A726-FC50124190E2}"/>
    <cellStyle name="a肨Pmal_TH" xfId="1214" xr:uid="{3E6A21BA-AB81-413F-B774-73733A0721D1}"/>
    <cellStyle name="b" xfId="1215" xr:uid="{5DAEBE46-4400-4626-8464-B8706557853A}"/>
    <cellStyle name="b%0" xfId="1216" xr:uid="{965F6FDE-EB26-403E-985C-315643BEF3AA}"/>
    <cellStyle name="b%1" xfId="1217" xr:uid="{88131C19-0EA5-429C-AA3B-1849F507050D}"/>
    <cellStyle name="b%2" xfId="1218" xr:uid="{5F3CE528-A62E-4557-AE3C-C5BC07AE37A5}"/>
    <cellStyle name="b_Combined P2P Operating Model1" xfId="1219" xr:uid="{A76A3D41-8AD4-49B5-AFEF-D8D52D051EB0}"/>
    <cellStyle name="b_Compacq shell DTH" xfId="1220" xr:uid="{6C1F2D96-E539-4663-9EDE-CD2B99DBBD12}"/>
    <cellStyle name="b_Compacq shell NEWSPAPERS" xfId="1221" xr:uid="{53CD19B5-46A2-47D7-9D0C-CE7BBF1805F1}"/>
    <cellStyle name="b_CompCos_v3" xfId="1222" xr:uid="{358043DE-A1FF-4045-811E-0EB181A17FA8}"/>
    <cellStyle name="b_CompCos_v5" xfId="1223" xr:uid="{647EE9FC-483A-41D0-8FFD-B3C7FA4E310D}"/>
    <cellStyle name="b_operating model" xfId="1224" xr:uid="{885C778B-C6C2-4675-AD68-16B7D776CD0B}"/>
    <cellStyle name="b0" xfId="1225" xr:uid="{04A7488A-CDF4-459C-ABD1-599A5FFDC9A8}"/>
    <cellStyle name="b09" xfId="1226" xr:uid="{7597AC5D-BA25-4C6C-A754-C8D1DF07332C}"/>
    <cellStyle name="b1" xfId="1227" xr:uid="{E9C427C1-9EE4-407B-AB07-13AE9CFDFEB9}"/>
    <cellStyle name="b2" xfId="1228" xr:uid="{B358A771-CEBC-46F9-9553-F0CAF4D0974F}"/>
    <cellStyle name="Background" xfId="1229" xr:uid="{403DF731-17CA-4C68-B2AD-81C9B3C049DE}"/>
    <cellStyle name="Background-W" xfId="1230" xr:uid="{59470EA9-72A2-4643-9ED5-F3D58D3BF588}"/>
    <cellStyle name="Bad 2" xfId="1231" xr:uid="{D4E7E5EF-C805-4EC7-BDD4-CE5D029E7BC3}"/>
    <cellStyle name="Bangchu" xfId="1232" xr:uid="{C4477138-9DB8-48C2-9FA4-502F2A812978}"/>
    <cellStyle name="Berechnung" xfId="1233" xr:uid="{650E38E6-476E-4A1F-8C58-82315E48CF60}"/>
    <cellStyle name="Berechnung 10" xfId="5203" xr:uid="{D28D996D-F9FA-4DEE-BA1A-853A4750581B}"/>
    <cellStyle name="Berechnung 10 2" xfId="6874" xr:uid="{832AA7C4-C329-4F59-93F3-1A9493898CDF}"/>
    <cellStyle name="Berechnung 11" xfId="6189" xr:uid="{11469C6E-6EF9-4907-AA14-B851F2988FC1}"/>
    <cellStyle name="Berechnung 11 2" xfId="7836" xr:uid="{67B3AF7F-FD1B-40F1-8074-CFF515E83B79}"/>
    <cellStyle name="Berechnung 2" xfId="4747" xr:uid="{E7D8899A-64A1-48A5-911D-E7F38CDF039A}"/>
    <cellStyle name="Berechnung 2 2" xfId="5742" xr:uid="{CF38D13A-3187-440B-BF4A-20343CBF6D3D}"/>
    <cellStyle name="Berechnung 2 2 2" xfId="7395" xr:uid="{F98429B6-8F8D-488F-B89A-97550515C341}"/>
    <cellStyle name="Berechnung 2 3" xfId="5955" xr:uid="{90D30EB7-9141-4F7D-AEB3-6A93E3FBC77B}"/>
    <cellStyle name="Berechnung 2 3 2" xfId="7608" xr:uid="{7BD111BE-C7F5-4464-B730-E626024D4E19}"/>
    <cellStyle name="Berechnung 2 4" xfId="5529" xr:uid="{BE8FC13F-4066-42C2-9BD3-27A5D2EDC5D1}"/>
    <cellStyle name="Berechnung 2 4 2" xfId="7193" xr:uid="{57D94753-55E7-444C-8DC9-33493937B246}"/>
    <cellStyle name="Berechnung 2 5" xfId="6246" xr:uid="{0A0F3168-527E-4055-A46C-699FBF017709}"/>
    <cellStyle name="Berechnung 2 5 2" xfId="7893" xr:uid="{E925D1BB-5B91-4E29-9FF1-89B1C256E34F}"/>
    <cellStyle name="Berechnung 2 6" xfId="6438" xr:uid="{9B068CB4-65C7-49E8-8E4E-D51ACAF737FC}"/>
    <cellStyle name="Berechnung 3" xfId="4796" xr:uid="{05540708-20F6-4CB4-BE51-77B941C0DA28}"/>
    <cellStyle name="Berechnung 3 2" xfId="5790" xr:uid="{2B23B1B3-E0BC-4EEF-A856-0E77583F4FCA}"/>
    <cellStyle name="Berechnung 3 2 2" xfId="7443" xr:uid="{F800AF10-DFE4-4A20-B978-6F3679B46312}"/>
    <cellStyle name="Berechnung 3 3" xfId="5990" xr:uid="{AEC02E7B-9E35-47F1-B21F-8023C264D4C3}"/>
    <cellStyle name="Berechnung 3 3 2" xfId="7642" xr:uid="{795861FF-2CCF-42EB-A259-A5608E6D6EC1}"/>
    <cellStyle name="Berechnung 3 4" xfId="5428" xr:uid="{64FA435E-DC18-41AF-881B-2778B8924004}"/>
    <cellStyle name="Berechnung 3 4 2" xfId="7092" xr:uid="{0C1472A7-B803-4E1A-9397-F53EAF79B57A}"/>
    <cellStyle name="Berechnung 3 5" xfId="6486" xr:uid="{2FE94821-009F-4943-B034-FD6181D9E16D}"/>
    <cellStyle name="Berechnung 4" xfId="4939" xr:uid="{8B9FABA7-B920-4677-8603-53D0CA45E01A}"/>
    <cellStyle name="Berechnung 4 2" xfId="5929" xr:uid="{BDFD64BD-41E0-48CF-B85F-45AF96401301}"/>
    <cellStyle name="Berechnung 4 2 2" xfId="7582" xr:uid="{9DFF99F6-DBC0-4220-A36E-D7806D9D8C2B}"/>
    <cellStyle name="Berechnung 4 3" xfId="6112" xr:uid="{6459E82B-FBAB-45D0-B8C6-4F9C24A6F675}"/>
    <cellStyle name="Berechnung 4 3 2" xfId="7763" xr:uid="{3A0E7B12-DAA3-467B-87C1-932054A83F1D}"/>
    <cellStyle name="Berechnung 4 4" xfId="6223" xr:uid="{F346FC2F-3547-43CD-808E-C48E98712FB7}"/>
    <cellStyle name="Berechnung 4 4 2" xfId="7870" xr:uid="{D2A328EF-7B7F-4E6B-8B56-5700B68ACB5B}"/>
    <cellStyle name="Berechnung 4 5" xfId="6622" xr:uid="{E5B7DEC9-6716-45FE-86FB-44B608674D60}"/>
    <cellStyle name="Berechnung 5" xfId="5154" xr:uid="{EACEDE3A-000B-4EF0-97A8-8CFC27C7C0E1}"/>
    <cellStyle name="Berechnung 5 2" xfId="6828" xr:uid="{8DEB5198-52CE-459D-BD16-AE85109033FE}"/>
    <cellStyle name="Berechnung 6" xfId="5328" xr:uid="{EA6EF964-046D-4484-8AB8-911A60F8C853}"/>
    <cellStyle name="Berechnung 6 2" xfId="6994" xr:uid="{3C8D678D-1866-415F-9F64-594C7C8F55DA}"/>
    <cellStyle name="Berechnung 7" xfId="5311" xr:uid="{A643F325-1D1D-4E7D-91CE-5D93D37BB2E3}"/>
    <cellStyle name="Berechnung 7 2" xfId="6977" xr:uid="{C541C2B3-D083-49AC-A850-4C784EE0EC39}"/>
    <cellStyle name="Berechnung 8" xfId="5275" xr:uid="{B55025EC-C203-422F-B71C-B8456DCD9A53}"/>
    <cellStyle name="Berechnung 8 2" xfId="6942" xr:uid="{0078E826-436D-4FF0-9FA6-B61FEB0E0530}"/>
    <cellStyle name="Berechnung 9" xfId="6183" xr:uid="{241DF4E1-DF18-408B-A353-DC0B2C34AD0E}"/>
    <cellStyle name="Berechnung 9 2" xfId="7830" xr:uid="{3CC2CAE1-B092-4611-A686-A2BED0D03984}"/>
    <cellStyle name="black" xfId="1234" xr:uid="{7BE67110-94C4-4EA5-8FC4-25972A5C94D7}"/>
    <cellStyle name="blank" xfId="1235" xr:uid="{8A6D9C46-DBA4-4429-AD32-05D8E9D0BD03}"/>
    <cellStyle name="Blank [$]" xfId="1236" xr:uid="{78D17858-6889-4340-A51C-975EAF8D85BF}"/>
    <cellStyle name="Blank [,]" xfId="1237" xr:uid="{D2BB59B0-25A2-45D9-B6EB-7CA7897155D1}"/>
    <cellStyle name="Blank [1%]" xfId="1238" xr:uid="{D2BAF44D-9398-4575-AF2A-1CB11A293E05}"/>
    <cellStyle name="Blank [2%]" xfId="1239" xr:uid="{5D663DAA-F06B-45AA-B923-65D25CADEE8A}"/>
    <cellStyle name="Blue" xfId="1240" xr:uid="{298A0D09-B408-4E68-9151-62C3F33B0B11}"/>
    <cellStyle name="Body" xfId="1241" xr:uid="{2DB540AA-98C9-4A67-96FA-6043711BBC97}"/>
    <cellStyle name="Bold" xfId="1242" xr:uid="{36D0DB92-6B90-408F-BB53-7749847F503E}"/>
    <cellStyle name="bold big" xfId="1243" xr:uid="{481B3CC5-1B5F-4E4A-9A6B-0C99720A60A1}"/>
    <cellStyle name="Bold/Border" xfId="1244" xr:uid="{E0EA6343-3C03-4E13-A150-EFC4191C7021}"/>
    <cellStyle name="Bold/Border 2" xfId="1245" xr:uid="{4867B25C-C321-41F5-AE9B-928D40F93C26}"/>
    <cellStyle name="boldno$" xfId="1246" xr:uid="{47246DA4-22F5-4FCA-9711-822E911942FB}"/>
    <cellStyle name="boldwith$" xfId="1247" xr:uid="{E4378786-25A8-4B44-8238-0EE7EDCCFFBF}"/>
    <cellStyle name="Border" xfId="1248" xr:uid="{D1E663F0-D261-4718-997B-03FBEC5595EC}"/>
    <cellStyle name="Border Heavy" xfId="1249" xr:uid="{F84B35D3-525E-477E-A43D-89ADAA506F15}"/>
    <cellStyle name="Border Thin" xfId="1250" xr:uid="{D3B86B25-D7B2-4540-AFDA-7D297696BE92}"/>
    <cellStyle name="BorderAreas" xfId="1251" xr:uid="{D95E9CD4-F17B-4ACE-A853-BAEAA5FB3BED}"/>
    <cellStyle name="Bottom Border Line" xfId="1252" xr:uid="{821B2A1B-033A-47D9-AE6B-50F02ED0EDCA}"/>
    <cellStyle name="British Pound" xfId="1253" xr:uid="{3DB935EC-CB7D-483F-9DA6-DF472FBECCAD}"/>
    <cellStyle name="BS" xfId="1254" xr:uid="{0A6B4814-8D6D-4A98-8C9A-1F7260C3FEB5}"/>
    <cellStyle name="Bullet" xfId="1255" xr:uid="{14700CE9-7901-4925-AA5A-4E322A311866}"/>
    <cellStyle name="c" xfId="1256" xr:uid="{ACE81EE9-CA67-47DB-B1DE-48BCC5881ED5}"/>
    <cellStyle name="c_~0016995" xfId="1257" xr:uid="{8679D253-3BAA-4E40-8BCD-74EFF3865389}"/>
    <cellStyle name="c_~0016995_5 YR Plan" xfId="1258" xr:uid="{3733D6E6-FFF6-4191-9DBF-AACE1EE75757}"/>
    <cellStyle name="c_~0036364" xfId="1259" xr:uid="{759A4435-A6BD-44BC-B8E9-C2F38C645E0B}"/>
    <cellStyle name="c_~0036364_5 YR Plan" xfId="1260" xr:uid="{675B8265-2389-448A-B6F9-B23AF1D42375}"/>
    <cellStyle name="c_~5424068" xfId="1261" xr:uid="{D6C3C7BC-8E67-4329-98B9-E8B55E9A63D8}"/>
    <cellStyle name="c_~5424068_5 YR Plan" xfId="1262" xr:uid="{8A3B2209-6F56-4FF1-B520-CBFF79F0A122}"/>
    <cellStyle name="c_5 YR Plan" xfId="1263" xr:uid="{4BA9DB53-6435-4C8C-843C-E89E114BDEA9}"/>
    <cellStyle name="c_8_30models" xfId="1264" xr:uid="{EC1565A3-EB87-4823-8C86-7E90256AFA04}"/>
    <cellStyle name="c_8_30models_5 YR Plan" xfId="1265" xr:uid="{4F507E87-664D-4F12-ACBD-2396B2F5FB3F}"/>
    <cellStyle name="c_Acc (Dil) Matrix (2)" xfId="1266" xr:uid="{0320F7D0-AC00-4EF6-B685-CC073E9B9B79}"/>
    <cellStyle name="c_Acc (Dil) Matrix (2)_5 YR Plan" xfId="1267" xr:uid="{41583936-68E0-4740-AF2F-12DF230803FB}"/>
    <cellStyle name="c_Ariz_Nevada (2)" xfId="1268" xr:uid="{5200A5FE-2C87-459A-B467-E033FA412A43}"/>
    <cellStyle name="c_Ariz_Nevada (2)_5 YR Plan" xfId="1269" xr:uid="{7CA17502-0FCE-45AB-B0B0-14D0F6236C78}"/>
    <cellStyle name="c_Bal Sheets" xfId="1270" xr:uid="{1B629A60-F2A6-40DD-B562-E82820A2F023}"/>
    <cellStyle name="c_Bal Sheets (2)" xfId="1271" xr:uid="{FB544605-B75B-4389-9F06-A49F43623132}"/>
    <cellStyle name="c_Bal Sheets (2)_5 YR Plan" xfId="1272" xr:uid="{ED2B67F9-F42F-42D6-B9A0-12F697B88C0F}"/>
    <cellStyle name="c_Bal Sheets_5 YR Plan" xfId="1273" xr:uid="{AB8D1AD4-D5D3-4F0A-A905-15102FBCB238}"/>
    <cellStyle name="c_BOA_DCF_08" xfId="1274" xr:uid="{9D802FF0-EA15-44D2-85F2-5B63349D10B7}"/>
    <cellStyle name="c_BOA_DCF_08_5 YR Plan" xfId="1275" xr:uid="{5A46419F-1CB0-406D-9742-7A6DBFCACE26}"/>
    <cellStyle name="c_CA Cases (2)" xfId="1276" xr:uid="{FCF389F8-997A-475F-B377-EA3EB64F2305}"/>
    <cellStyle name="c_CA Cases (2)_5 YR Plan" xfId="1277" xr:uid="{10F2D48E-B584-40D2-BD8F-F0D50515EE8B}"/>
    <cellStyle name="c_Cal. (2)" xfId="1278" xr:uid="{81BE30F0-AAC9-4F7C-A1EC-77B0E30F51E5}"/>
    <cellStyle name="c_Cal. (2)_5 YR Plan" xfId="1279" xr:uid="{6BB6ADAD-F522-4693-B147-7C56AE095314}"/>
    <cellStyle name="c_Cases (2)" xfId="1280" xr:uid="{D8E3D7D5-0652-41A4-88C0-5D252B23A00E}"/>
    <cellStyle name="c_Cases (2)_5 YR Plan" xfId="1281" xr:uid="{6169AE86-C2A6-4E36-B061-E48F2B3142E6}"/>
    <cellStyle name="c_Celtic DCF" xfId="1282" xr:uid="{685DAFE4-D2F4-4AFF-8A84-73FB028FC654}"/>
    <cellStyle name="c_Celtic DCF Inputs" xfId="1283" xr:uid="{1247BC9B-E081-4428-A22E-E03BAB55A21F}"/>
    <cellStyle name="c_Celtic DCF Inputs_5 YR Plan" xfId="1284" xr:uid="{2113AD01-DF3A-4E54-AEBE-94A0C3D66701}"/>
    <cellStyle name="c_Celtic DCF_5 YR Plan" xfId="1285" xr:uid="{E7562728-8604-4A55-988D-BB6DC9941D65}"/>
    <cellStyle name="c_Credit (2)" xfId="1286" xr:uid="{ACCEBCA2-D9DF-46D3-967D-89E71B404381}"/>
    <cellStyle name="c_Credit (2)_5 YR Plan" xfId="1287" xr:uid="{7F1C1FE0-5A01-41E5-A037-36B72BE41DCE}"/>
    <cellStyle name="c_Credit Buildup (2)" xfId="1288" xr:uid="{C38AB677-DA1C-40FB-A031-B354F7864BD5}"/>
    <cellStyle name="c_Credit Buildup (2)_5 YR Plan" xfId="1289" xr:uid="{CC68D18C-E7CB-4F81-A615-F09110926BA9}"/>
    <cellStyle name="c_CredSens" xfId="1290" xr:uid="{12641C5E-52F2-4E4D-A7DA-9EB56D8C9E43}"/>
    <cellStyle name="c_CredSens_5 YR Plan" xfId="1291" xr:uid="{1D29AFE0-46AE-4CCA-B40E-BAACA4A7B534}"/>
    <cellStyle name="c_DCF Inputs" xfId="1292" xr:uid="{87A5873E-45C5-43D9-8372-AB37FA91D16C}"/>
    <cellStyle name="c_DCF Inputs (2)" xfId="1293" xr:uid="{B85147DE-893A-4AC7-AF80-886A76EA18B2}"/>
    <cellStyle name="c_DCF Inputs (2)_5 YR Plan" xfId="1294" xr:uid="{980DE34C-257A-4579-A9B0-48D4CF7D091E}"/>
    <cellStyle name="c_DCF Inputs_5 YR Plan" xfId="1295" xr:uid="{1534537E-B957-451C-B618-01C7886D5223}"/>
    <cellStyle name="c_DCF LBO model 10-18-00" xfId="1296" xr:uid="{D33BD47E-95D2-4B95-9942-5AEB896E5D78}"/>
    <cellStyle name="c_DCF LBO model 10-18-00_5 YR Plan" xfId="1297" xr:uid="{246FE1D3-9A67-49F5-AA2D-EDB10C8408C8}"/>
    <cellStyle name="c_DCF Matrix (2)" xfId="1298" xr:uid="{ABD5803B-3F90-4833-9650-53B5EBEF4CEA}"/>
    <cellStyle name="c_DCF Matrix (2)_5 YR Plan" xfId="1299" xr:uid="{08213847-4F73-4E41-8FCD-4858F44A00B9}"/>
    <cellStyle name="c_Deal" xfId="1300" xr:uid="{8C775D17-EDE9-4A4A-8958-D9AC1BDEE6A4}"/>
    <cellStyle name="c_Deal_5 YR Plan" xfId="1301" xr:uid="{101C840D-0F0E-436A-B136-9563AD1BA39C}"/>
    <cellStyle name="c_Dental (2)" xfId="1302" xr:uid="{864E3607-3293-47E3-8DD8-DBE50738FFAA}"/>
    <cellStyle name="c_Dental (2)_5 YR Plan" xfId="1303" xr:uid="{88AE17AF-B6D6-458E-AD1B-236ADE88C49F}"/>
    <cellStyle name="c_Div_Cut_Model2" xfId="1304" xr:uid="{D6D3FA79-D2E6-45B0-933F-AAFA8C700361}"/>
    <cellStyle name="c_Div_Cut_Model2_5 YR Plan" xfId="1305" xr:uid="{4043835C-E9C1-4399-87E3-6BED971DC8B5}"/>
    <cellStyle name="c_Earnings" xfId="1306" xr:uid="{029DA7C7-2D71-4CB7-A1F7-7732CEAC6602}"/>
    <cellStyle name="c_Earnings (2)" xfId="1307" xr:uid="{AA026ABC-1D4A-4F5E-BA98-144764E18DEE}"/>
    <cellStyle name="c_Earnings (2)_5 YR Plan" xfId="1308" xr:uid="{565BEBF5-F9B4-46E4-86CB-C5B1FAFE0F14}"/>
    <cellStyle name="c_Earnings_5 YR Plan" xfId="1309" xr:uid="{EB8EF1D2-893E-4AA2-834B-E1D20864AEF9}"/>
    <cellStyle name="c_East Coast (2)" xfId="1310" xr:uid="{E927B185-C442-400B-9A61-C9F5E6CFB3A8}"/>
    <cellStyle name="c_East Coast (2)_5 YR Plan" xfId="1311" xr:uid="{CA2192B2-06C2-49CA-918E-DF661CF67B04}"/>
    <cellStyle name="c_Florida (2)" xfId="1312" xr:uid="{8097C822-C0FA-4F8B-87F4-4A6FEE104E78}"/>
    <cellStyle name="c_Florida (2)_5 YR Plan" xfId="1313" xr:uid="{C0EC37DF-0E30-49FF-8159-643311169C1E}"/>
    <cellStyle name="c_Georgia (2)" xfId="1314" xr:uid="{ED25B789-F7F6-473F-A1A2-9A2EBC9AF77F}"/>
    <cellStyle name="c_Georgia (2)_5 YR Plan" xfId="1315" xr:uid="{C187B47C-8949-44E4-9A1F-110328FD7990}"/>
    <cellStyle name="c_Hard Rock" xfId="1316" xr:uid="{9B2A7E09-D797-492C-B38F-5EFD9BAE8901}"/>
    <cellStyle name="c_Hard Rock (2)" xfId="1317" xr:uid="{1B070983-DD75-4986-ACAE-7C9707E32EB1}"/>
    <cellStyle name="c_Hard Rock (2)_5 YR Plan" xfId="1318" xr:uid="{002718DC-D77D-429A-842C-E498804D41F9}"/>
    <cellStyle name="c_Hard Rock_5 YR Plan" xfId="1319" xr:uid="{86BD20BA-A00C-4BFA-97C5-C59FD9C1607C}"/>
    <cellStyle name="c_HardInc " xfId="1320" xr:uid="{6B46E2FB-7942-4E24-809A-18A950DED4F2}"/>
    <cellStyle name="c_HardInc  (2)" xfId="1321" xr:uid="{F0EB8878-CC36-4EEE-BECD-7A35A600A1B0}"/>
    <cellStyle name="c_HardInc  (2)_5 YR Plan" xfId="1322" xr:uid="{FF640957-10F5-4638-8465-CAB1ED3922CB}"/>
    <cellStyle name="c_HardInc _5 YR Plan" xfId="1323" xr:uid="{30333A41-62CF-4FCD-9ED4-E0403D51D31E}"/>
    <cellStyle name="c_Has-Gets (2)" xfId="1324" xr:uid="{0567C689-052B-415F-BA1A-6079804932A3}"/>
    <cellStyle name="c_Has-Gets (2)_5 YR Plan" xfId="1325" xr:uid="{FC1300DC-20A9-4469-AB75-F49BBF9BDBEF}"/>
    <cellStyle name="c_Hist Inputs (2)" xfId="1326" xr:uid="{502B9BD9-52C0-4FA3-AE07-CD2E5B6035A4}"/>
    <cellStyle name="c_Hist Inputs (2)_5 YR Plan" xfId="1327" xr:uid="{53747D22-0E83-47C8-B44B-985EC1B61E19}"/>
    <cellStyle name="c_IFF-BOA mini-meger" xfId="1328" xr:uid="{7BC006DD-54E4-450F-BAA4-446EA45C6627}"/>
    <cellStyle name="c_IFF-BOA mini-meger_5 YR Plan" xfId="1329" xr:uid="{FE363D5E-5A3F-4BA0-9A93-8A3C971683BD}"/>
    <cellStyle name="c_ingredients 2" xfId="1330" xr:uid="{D015D2AD-F957-4E81-8ADA-13C8C803F29F}"/>
    <cellStyle name="c_ingredients 2_5 YR Plan" xfId="1331" xr:uid="{2E0D3DBA-6A19-436E-9FE8-AA10F68EDDFA}"/>
    <cellStyle name="c_IRR Sensitivity (2)" xfId="1332" xr:uid="{2601DEEF-4EF4-4281-8317-7D41AF8515D5}"/>
    <cellStyle name="c_IRR Sensitivity (2)_5 YR Plan" xfId="1333" xr:uid="{2070F5D5-9F16-46D6-8555-62FAE6695AEF}"/>
    <cellStyle name="c_LBO Summary" xfId="1334" xr:uid="{CB3FBFDB-E83F-4A5D-82D2-2C89E851CA98}"/>
    <cellStyle name="c_LBO Summary_5 YR Plan" xfId="1335" xr:uid="{68394655-0590-4D02-AB20-7447F06D9BC8}"/>
    <cellStyle name="c_Macros" xfId="1336" xr:uid="{48B89F02-78C9-44E4-B235-EF91D80A61F9}"/>
    <cellStyle name="c_Macros_5 YR Plan" xfId="1337" xr:uid="{730E298F-C232-442A-8DAA-F25C43818FCA}"/>
    <cellStyle name="c_Matterhorn IS" xfId="1338" xr:uid="{B0B34D3B-5CBB-48AE-83BB-365073765256}"/>
    <cellStyle name="c_Matterhorn IS_5 YR Plan" xfId="1339" xr:uid="{FF3DE254-4ABD-4E74-8AF1-58E925CFB063}"/>
    <cellStyle name="c_Merger model" xfId="1340" xr:uid="{3E40DBFD-9DA7-4E76-8B55-221A0B83E44D}"/>
    <cellStyle name="c_Merger model_5 YR Plan" xfId="1341" xr:uid="{15090460-4573-475A-A129-FD6F2CD54AC5}"/>
    <cellStyle name="c_Model 1-31-01" xfId="1342" xr:uid="{ED1F7D81-D5DD-420C-B974-8FA09F195503}"/>
    <cellStyle name="c_Model 1-31-01 c" xfId="1343" xr:uid="{B6EE0864-BB6B-48E3-842A-4746F0A1E8DF}"/>
    <cellStyle name="c_Model 1-31-01 c_5 YR Plan" xfId="1344" xr:uid="{A79884A3-CC12-4406-B02B-6B560FE97CF8}"/>
    <cellStyle name="c_Model 1-31-01_5 YR Plan" xfId="1345" xr:uid="{5B48BAF8-ABA2-4D66-93F2-548BF925175B}"/>
    <cellStyle name="c_Model 2-1-01 b" xfId="1346" xr:uid="{70D33993-EEEF-4277-94DC-421AC91B504E}"/>
    <cellStyle name="c_Model 2-1-01 b_5 YR Plan" xfId="1347" xr:uid="{CF3217BD-D29B-4D82-9CB6-7620569A759C}"/>
    <cellStyle name="c_Model 2-1-01cb" xfId="1348" xr:uid="{1121A0C0-7C28-4A59-A688-E6E936CAF99D}"/>
    <cellStyle name="c_Model 2-1-01cb_5 YR Plan" xfId="1349" xr:uid="{EB992807-EB71-4550-B5B9-A2364B226014}"/>
    <cellStyle name="c_Model 2-1-01d" xfId="1350" xr:uid="{9F2927C5-4C2A-4111-A96A-7E59ABC107AB}"/>
    <cellStyle name="c_Model 2-1-01d_5 YR Plan" xfId="1351" xr:uid="{9F57B851-6571-4123-B7E5-6B5BE95F3210}"/>
    <cellStyle name="c_Model 2-1-01e" xfId="1352" xr:uid="{D9806821-C413-453C-BC24-211ED833B34A}"/>
    <cellStyle name="c_Model 2-1-01e_5 YR Plan" xfId="1353" xr:uid="{C5E9BA40-09F7-4597-A711-9A011E2C0A07}"/>
    <cellStyle name="c_Model 2-2-01 a" xfId="1354" xr:uid="{579E8017-93F7-4423-904B-F11CF2EE2485}"/>
    <cellStyle name="c_Model 2-2-01 a_5 YR Plan" xfId="1355" xr:uid="{A1F5C21B-00BB-4B6B-8F1A-042D2C3992D1}"/>
    <cellStyle name="c_Model 2-2-01 b" xfId="1356" xr:uid="{02215048-0842-482F-A6E0-970B0771BBC2}"/>
    <cellStyle name="c_Model 2-2-01 b_5 YR Plan" xfId="1357" xr:uid="{D23B409C-006D-42BE-8008-B89E6550F5F8}"/>
    <cellStyle name="c_Model 2-3-01 d" xfId="1358" xr:uid="{1F0D2CC6-8E24-4BB5-BB32-8755CBF7AC73}"/>
    <cellStyle name="c_Model 2-3-01 d_5 YR Plan" xfId="1359" xr:uid="{22513031-7EEC-4D65-9920-755FC23D75BE}"/>
    <cellStyle name="c_Model 2-4-01 d" xfId="1360" xr:uid="{BE2B2B4C-4496-446E-9F68-71AB2044043F}"/>
    <cellStyle name="c_Model 2-4-01 d_5 YR Plan" xfId="1361" xr:uid="{8ADA6D69-4390-44CD-BEA9-326F52820066}"/>
    <cellStyle name="c_Model 2-4-01 e" xfId="1362" xr:uid="{298619F3-C7F7-46F1-B141-0F4C71E8C43B}"/>
    <cellStyle name="c_Model 2-4-01 e_5 YR Plan" xfId="1363" xr:uid="{83EBB76C-2DCD-4692-8268-9086C3399367}"/>
    <cellStyle name="c_Model 2-5-01 d" xfId="1364" xr:uid="{DBC7CD23-7E54-49D6-BF3B-08D393957F86}"/>
    <cellStyle name="c_Model 2-5-01 d_5 YR Plan" xfId="1365" xr:uid="{090B78EE-3CB8-4DF1-97BE-BA9EEE5F241C}"/>
    <cellStyle name="c_Model Assumptions (2)" xfId="1366" xr:uid="{167CDE11-74E9-413E-87A1-CA330217D039}"/>
    <cellStyle name="c_Model Assumptions (2)_5 YR Plan" xfId="1367" xr:uid="{30B70E86-A48A-49A0-A21B-03ECDE02CB7A}"/>
    <cellStyle name="c_OBGYN (2)" xfId="1368" xr:uid="{5321E7E3-AA1D-42EC-B149-8721D9D78CCB}"/>
    <cellStyle name="c_OBGYN (2)_5 YR Plan" xfId="1369" xr:uid="{0B05FE0A-BBE1-4EBE-A3A0-877AED8CF11E}"/>
    <cellStyle name="c_Other Businesses (2)" xfId="1370" xr:uid="{10658F32-20D1-4FA3-B95A-00CF2407A733}"/>
    <cellStyle name="c_Other Businesses (2)_5 YR Plan" xfId="1371" xr:uid="{3A528A24-D10F-49BD-AE6D-30FCF5EB3CA7}"/>
    <cellStyle name="c_Ownership" xfId="1372" xr:uid="{33BD3725-B71C-4DDF-B418-EFD6E73540D7}"/>
    <cellStyle name="c_Ownership_5 YR Plan" xfId="1373" xr:uid="{B08444CB-57C2-44B3-A041-8B71199E883F}"/>
    <cellStyle name="c_PFMA Credit (2)" xfId="1374" xr:uid="{2E466614-9E6C-460D-8484-9B9AD2278A03}"/>
    <cellStyle name="c_PFMA Credit (2)_5 YR Plan" xfId="1375" xr:uid="{57D0E004-6C40-4615-BE52-3DBAD945C1B9}"/>
    <cellStyle name="c_PFMA Income (2)" xfId="1376" xr:uid="{299608BF-8D10-4CC5-8EA6-935F02D9253E}"/>
    <cellStyle name="c_PFMA Income (2)_5 YR Plan" xfId="1377" xr:uid="{D9DD9B49-B8DF-4CA6-ABC3-CD726A94BD63}"/>
    <cellStyle name="c_Pippen (2)" xfId="1378" xr:uid="{4A515575-DE73-458F-BA86-1D9AB44DA198}"/>
    <cellStyle name="c_Pippen (2)_5 YR Plan" xfId="1379" xr:uid="{FBBFB63B-F4C6-4CD3-85A4-EC678A23F4C2}"/>
    <cellStyle name="c_Pippen Cases (2)" xfId="1380" xr:uid="{73A6F2CE-FBE5-4230-ABFB-7BC04BC5653A}"/>
    <cellStyle name="c_Pippen Cases (2)_5 YR Plan" xfId="1381" xr:uid="{E420EC2A-BAA5-46A1-B605-32C6202CA2E4}"/>
    <cellStyle name="c_Pippen ValMatrix (2)" xfId="1382" xr:uid="{FB1DBD61-4D1A-4A3B-9637-605AF6B51F47}"/>
    <cellStyle name="c_Pippen ValMatrix (2)_5 YR Plan" xfId="1383" xr:uid="{E7A13E31-7383-4345-B302-44E690E53058}"/>
    <cellStyle name="c_PMAT (2)" xfId="1384" xr:uid="{62BD05D3-86F8-47FB-AC26-BFDCF75E33C8}"/>
    <cellStyle name="c_PMAT (2)_5 YR Plan" xfId="1385" xr:uid="{563CF500-8A94-45C8-892B-0859001FADA5}"/>
    <cellStyle name="c_PMAT (3)" xfId="1386" xr:uid="{93BF5E33-287A-4E04-8963-918963B66196}"/>
    <cellStyle name="c_PMAT (3)_5 YR Plan" xfId="1387" xr:uid="{EE3B1181-64EE-41ED-AFF8-E2E1A094A126}"/>
    <cellStyle name="c_PoundInc" xfId="1388" xr:uid="{16667981-EF90-4C56-A3F3-BC678928DAEA}"/>
    <cellStyle name="c_PoundInc (2)" xfId="1389" xr:uid="{70794570-49D4-40C2-B9CD-982CFD65B1E8}"/>
    <cellStyle name="c_PoundInc (2)_5 YR Plan" xfId="1390" xr:uid="{BAED81FD-B884-4A2B-A6D7-8B5BB538B6F3}"/>
    <cellStyle name="c_PoundInc_5 YR Plan" xfId="1391" xr:uid="{DE0909A9-EFB2-46A2-9065-487E79132BF7}"/>
    <cellStyle name="c_Poundstone (2)" xfId="1392" xr:uid="{EA7AE6A5-342A-4990-A6D5-6C4370227A89}"/>
    <cellStyle name="c_Poundstone (2)_5 YR Plan" xfId="1393" xr:uid="{51109971-FAA0-4F57-912C-49E6F530B5E8}"/>
    <cellStyle name="c_Preliminary Poundstone (2)" xfId="1394" xr:uid="{845093DA-B7E3-48F2-8452-3EA02C4DE06E}"/>
    <cellStyle name="c_Preliminary Poundstone (2)_5 YR Plan" xfId="1395" xr:uid="{FE3AA472-A763-4A9B-8E48-88421C70CFFC}"/>
    <cellStyle name="c_RushValSum (2)" xfId="1396" xr:uid="{8B984F38-7F32-4E8A-A6CE-5DFE12005680}"/>
    <cellStyle name="c_RushValSum (2)_5 YR Plan" xfId="1397" xr:uid="{ABB99DF9-7CAE-41E6-9D6D-BC57B94A5502}"/>
    <cellStyle name="c_Schedules" xfId="1398" xr:uid="{9871554D-CCFD-4FCF-9001-DCA3F530E47D}"/>
    <cellStyle name="c_Schedules_5 YR Plan" xfId="1399" xr:uid="{D596D598-81C4-4ED1-B825-7EEE12C0DCC6}"/>
    <cellStyle name="c_Stub Value" xfId="1400" xr:uid="{0142E770-363F-4716-962E-751F8E699D06}"/>
    <cellStyle name="c_Stub Value_5 YR Plan" xfId="1401" xr:uid="{87F24BA1-3E58-4B16-9265-BA1DCECFFE11}"/>
    <cellStyle name="c_Summary of Pro Forma (2)" xfId="1402" xr:uid="{5AD3FA5E-B592-4627-AAD6-9235B24B6400}"/>
    <cellStyle name="c_Summary of Pro Forma (2)_5 YR Plan" xfId="1403" xr:uid="{1D64532E-7FCC-4599-A016-5495D04217BA}"/>
    <cellStyle name="c_Summary of Pro Forma (3)" xfId="1404" xr:uid="{38A7FDBC-28BA-40C1-BCE8-490447FF5AD4}"/>
    <cellStyle name="c_Summary of Pro Forma (3)_5 YR Plan" xfId="1405" xr:uid="{DAB6670E-C254-4F5D-846D-3980D4E60054}"/>
    <cellStyle name="c_Texas_Louisiana (2)" xfId="1406" xr:uid="{7AA7F195-4C7A-428E-BB3C-9E172DE8764C}"/>
    <cellStyle name="c_Texas_Louisiana (2)_5 YR Plan" xfId="1407" xr:uid="{4E9F6873-BD3B-409D-8796-0C6204EA0C8F}"/>
    <cellStyle name="c_Trans Assump (2)" xfId="1408" xr:uid="{BB96FD7C-476E-431E-9539-6810934F8706}"/>
    <cellStyle name="c_Trans Assump (2)_5 YR Plan" xfId="1409" xr:uid="{E696EC45-56FD-4736-915C-E60344352872}"/>
    <cellStyle name="c_Unit Price Sen. (2)" xfId="1410" xr:uid="{C42CE2E8-4029-4442-962B-4B55E5886A48}"/>
    <cellStyle name="c_Unit Price Sen. (2)_5 YR Plan" xfId="1411" xr:uid="{F2539486-5F68-417C-A4BB-E51F955C5A18}"/>
    <cellStyle name="c_Valuation Model_03" xfId="1412" xr:uid="{75620E52-83A0-4F60-9D6E-4E03358C5F5C}"/>
    <cellStyle name="c_Valuation Model_03_5 YR Plan" xfId="1413" xr:uid="{9F8AE3AC-9788-4BD9-BDAD-03DB7ABC0367}"/>
    <cellStyle name="c_Valuation Summary" xfId="1414" xr:uid="{6D90AEFD-85A0-4E5C-8098-925085882EC2}"/>
    <cellStyle name="c_Valuation Summary (2)" xfId="1415" xr:uid="{BD17CE76-DC2F-4617-A0D4-9006FAA3DC81}"/>
    <cellStyle name="c_Valuation Summary (2)_5 YR Plan" xfId="1416" xr:uid="{F819FD6E-73A1-4A63-A128-DC2642B34C04}"/>
    <cellStyle name="c_Valuation Summary_5 YR Plan" xfId="1417" xr:uid="{22BC1DE7-F69D-4F30-A28A-8AAA6B97BAC5}"/>
    <cellStyle name="c_Warrant" xfId="1418" xr:uid="{65D7D8FA-7800-44DD-BC9C-D69C3FAC3ECF}"/>
    <cellStyle name="c_Warrant_5 YR Plan" xfId="1419" xr:uid="{1114B20B-2031-4B7D-AC04-93AFADF6CE41}"/>
    <cellStyle name="c_ZModel2" xfId="1420" xr:uid="{817BA0CB-AC7F-4363-94B5-67A5348D35B6}"/>
    <cellStyle name="c_ZModel2_5 YR Plan" xfId="1421" xr:uid="{4CBAB1B3-865B-4247-9C0E-88562395F607}"/>
    <cellStyle name="c_ZModel3" xfId="1422" xr:uid="{0C55A656-B714-40B7-80C4-328801DB6069}"/>
    <cellStyle name="c_ZModel3_5 YR Plan" xfId="1423" xr:uid="{2C180983-9559-4F2B-8252-8C98059B0E2E}"/>
    <cellStyle name="c_ZModel4" xfId="1424" xr:uid="{BE656CF8-B269-4BC5-827B-72B832A8F5D6}"/>
    <cellStyle name="c_ZModel4_5 YR Plan" xfId="1425" xr:uid="{C3A20049-E86C-4775-A4B1-B8BD150FD831}"/>
    <cellStyle name="c_ZModel41" xfId="1426" xr:uid="{38532E70-6834-4257-9801-27A3C3843D85}"/>
    <cellStyle name="c_ZModel41_5 YR Plan" xfId="1427" xr:uid="{2C12314E-5C8B-4924-AA7C-CDEA25CCFD2A}"/>
    <cellStyle name="c_ZModel61" xfId="1428" xr:uid="{F1BE812D-B619-4FC8-8379-4BD46A176E04}"/>
    <cellStyle name="c_ZModel61_5 YR Plan" xfId="1429" xr:uid="{B44D5D5C-A785-41DE-85ED-3D17E7866962}"/>
    <cellStyle name="c_ZModel62" xfId="1430" xr:uid="{CA319D37-166C-4584-8F88-420EE6D6D35D}"/>
    <cellStyle name="c_ZModel62_5 YR Plan" xfId="1431" xr:uid="{D1E247E6-50AB-42FE-B941-0421F290B0AF}"/>
    <cellStyle name="Ç¥ÁØ_RESULTS" xfId="1432" xr:uid="{06C99DA5-1902-4884-9C8C-4B8C0216C416}"/>
    <cellStyle name="Calc C - Style1" xfId="1433" xr:uid="{30CA123A-13B8-4E91-9103-6F989D75B828}"/>
    <cellStyle name="Calc C - Style2" xfId="1434" xr:uid="{60B5ABB5-617D-4096-9460-7905DEC96747}"/>
    <cellStyle name="Calc C - Style3" xfId="1435" xr:uid="{BE796DD2-12C0-40F2-9C07-78E4170D6025}"/>
    <cellStyle name="Calc C - Style4" xfId="1436" xr:uid="{E3232B3C-C9B6-4EDC-9717-2854BA07CAF8}"/>
    <cellStyle name="Calc C - Style5" xfId="1437" xr:uid="{3D9417D6-8569-41A1-A87C-6D8055C93183}"/>
    <cellStyle name="Calc C - Style6" xfId="1438" xr:uid="{248EA08A-C3F9-402E-A184-618EE6998A05}"/>
    <cellStyle name="Calc C - Style7" xfId="1439" xr:uid="{04D06B01-55FF-4788-BE82-B42867550749}"/>
    <cellStyle name="Calc C - Style8" xfId="1440" xr:uid="{5AAB81BA-C017-4CA4-BB8B-C70BBB1017BE}"/>
    <cellStyle name="Calc Currency (0)" xfId="1441" xr:uid="{F12F025C-2325-4CC1-AB6B-6C12A16F39B0}"/>
    <cellStyle name="Calc Currency (2)" xfId="1442" xr:uid="{F4791873-CAFD-4795-8E69-8E735B5F3DD4}"/>
    <cellStyle name="Calc Percent (0)" xfId="1443" xr:uid="{C86DD4CA-1826-4716-B809-CBAF10926239}"/>
    <cellStyle name="Calc Percent (1)" xfId="1444" xr:uid="{40713810-92F5-4542-B8FE-3E44194CBD13}"/>
    <cellStyle name="Calc Percent (2)" xfId="1445" xr:uid="{D0712116-2D4F-4704-A7B5-6508F489D679}"/>
    <cellStyle name="Calc Units (0)" xfId="1446" xr:uid="{ED0FFDB9-377A-4FC2-9ACC-901DF2FE4F34}"/>
    <cellStyle name="Calc Units (1)" xfId="1447" xr:uid="{D345B7DF-2453-4927-9C3F-B564EC11AD5B}"/>
    <cellStyle name="Calc Units (2)" xfId="1448" xr:uid="{6EBEF000-EC93-455D-A947-553AF834B791}"/>
    <cellStyle name="Calculation 2" xfId="1449" xr:uid="{C1DBC410-C98A-427D-B1B4-6339F2908BE9}"/>
    <cellStyle name="Calculation 2 10" xfId="5220" xr:uid="{8EF7072D-6A28-4332-B6F2-D2E50BC21E1F}"/>
    <cellStyle name="Calculation 2 10 2" xfId="6891" xr:uid="{451F047C-91AA-4139-BEBA-BD1279742B1E}"/>
    <cellStyle name="Calculation 2 11" xfId="4997" xr:uid="{80EF727F-9FA3-43BC-A4C5-35AAAF8A37DF}"/>
    <cellStyle name="Calculation 2 11 2" xfId="6676" xr:uid="{C3ABDB83-215C-4010-A92C-C5D5753660B8}"/>
    <cellStyle name="Calculation 2 2" xfId="4748" xr:uid="{22356A10-C1CE-4DD9-A639-77412BA1925F}"/>
    <cellStyle name="Calculation 2 2 2" xfId="5743" xr:uid="{A55D5787-8C2D-4780-8B8A-E0615D3B4C00}"/>
    <cellStyle name="Calculation 2 2 2 2" xfId="7396" xr:uid="{58CA8F10-8C07-4100-9E8C-C72392096EFB}"/>
    <cellStyle name="Calculation 2 2 3" xfId="5956" xr:uid="{10D34072-6170-4A82-8510-E1E4B95F7484}"/>
    <cellStyle name="Calculation 2 2 3 2" xfId="7609" xr:uid="{B0CF86FE-8BEA-4E1E-B25F-B512A4262ABC}"/>
    <cellStyle name="Calculation 2 2 4" xfId="5560" xr:uid="{C69CE2D6-6EE0-40E0-8A5A-079AD3225407}"/>
    <cellStyle name="Calculation 2 2 4 2" xfId="7223" xr:uid="{2CB1306D-CB51-44D2-ABEC-0D8296098862}"/>
    <cellStyle name="Calculation 2 2 5" xfId="6247" xr:uid="{72B32E94-74DB-4238-ABEC-429DAB1B58FF}"/>
    <cellStyle name="Calculation 2 2 5 2" xfId="7894" xr:uid="{E55C6F71-4F23-49B7-B527-B5DBF99F156B}"/>
    <cellStyle name="Calculation 2 2 6" xfId="6439" xr:uid="{F3683180-2FC5-441B-B1F3-6CE8843F5B23}"/>
    <cellStyle name="Calculation 2 3" xfId="4795" xr:uid="{BE30ABE6-CF5D-41F9-A9FF-5B9376B0F3DE}"/>
    <cellStyle name="Calculation 2 3 2" xfId="5789" xr:uid="{097C19BB-E8E6-4F13-BFF2-4205557FDCF0}"/>
    <cellStyle name="Calculation 2 3 2 2" xfId="7442" xr:uid="{2411D506-9BFD-4DF7-A7AB-573B251AB8F2}"/>
    <cellStyle name="Calculation 2 3 3" xfId="5989" xr:uid="{6F959FB7-6D0E-47C5-8FEF-C84FC8692935}"/>
    <cellStyle name="Calculation 2 3 3 2" xfId="7641" xr:uid="{C40EF83A-3AD7-471A-9C74-0890CE2C2FF7}"/>
    <cellStyle name="Calculation 2 3 4" xfId="5427" xr:uid="{15C322FA-A86A-4961-8D5C-0EB9AB726D39}"/>
    <cellStyle name="Calculation 2 3 4 2" xfId="7091" xr:uid="{C9224B72-AA28-4C18-A1FC-DBFCB2C51735}"/>
    <cellStyle name="Calculation 2 3 5" xfId="6485" xr:uid="{AB865488-5B09-45B6-A4BF-65065BE79037}"/>
    <cellStyle name="Calculation 2 4" xfId="4938" xr:uid="{1BC8244C-8F46-4C49-8DE1-915521401E86}"/>
    <cellStyle name="Calculation 2 4 2" xfId="5928" xr:uid="{5F8C677A-3177-4D53-B152-F8F6A70D909C}"/>
    <cellStyle name="Calculation 2 4 2 2" xfId="7581" xr:uid="{24DFFD96-5077-4F7C-A9B1-769B13156473}"/>
    <cellStyle name="Calculation 2 4 3" xfId="6111" xr:uid="{024DE759-3D45-4AE1-9953-56AA73A89E06}"/>
    <cellStyle name="Calculation 2 4 3 2" xfId="7762" xr:uid="{B5ACFB08-8983-4522-B3D2-4DA15B7921BD}"/>
    <cellStyle name="Calculation 2 4 4" xfId="6222" xr:uid="{8ADF0861-8A54-42E6-AD65-6CC207951058}"/>
    <cellStyle name="Calculation 2 4 4 2" xfId="7869" xr:uid="{7888034E-7EEC-46EF-9075-9C70F9751BB9}"/>
    <cellStyle name="Calculation 2 4 5" xfId="6621" xr:uid="{D1A06C3D-DE79-4A74-933A-5644F121F8EF}"/>
    <cellStyle name="Calculation 2 5" xfId="5175" xr:uid="{8E2D75AE-3E13-42B5-9BA5-0991C9916A76}"/>
    <cellStyle name="Calculation 2 5 2" xfId="6849" xr:uid="{64BA1307-C949-4498-B813-C5BDFA662908}"/>
    <cellStyle name="Calculation 2 6" xfId="5299" xr:uid="{C96A946F-670E-4C82-A491-147B59D255F1}"/>
    <cellStyle name="Calculation 2 6 2" xfId="6965" xr:uid="{5D60FAE8-E937-43DF-AA32-B84546BAACF5}"/>
    <cellStyle name="Calculation 2 7" xfId="5686" xr:uid="{55B1492C-8806-43B2-B671-538FD12135B6}"/>
    <cellStyle name="Calculation 2 7 2" xfId="7346" xr:uid="{45BEFC0E-6EA7-4C49-9693-E9889242DBE6}"/>
    <cellStyle name="Calculation 2 8" xfId="5258" xr:uid="{7D871BFA-0204-431B-B16A-BA1AD9CD8544}"/>
    <cellStyle name="Calculation 2 8 2" xfId="6925" xr:uid="{B61237DF-FCFC-4C8E-A2AB-A81DC8E7714A}"/>
    <cellStyle name="Calculation 2 9" xfId="5209" xr:uid="{F4251A80-C92D-4F06-A358-735D1843DA66}"/>
    <cellStyle name="Calculation 2 9 2" xfId="6880" xr:uid="{AEC9A01C-F63E-4DCC-9AA9-03CC7E16FF0D}"/>
    <cellStyle name="caps 0.00" xfId="1450" xr:uid="{87FF019C-6042-4EF2-AF2C-EADD1F7704DF}"/>
    <cellStyle name="caps 0.00 2" xfId="1451" xr:uid="{009DABF5-162D-4477-A091-C1E1B0B311AD}"/>
    <cellStyle name="Case" xfId="1452" xr:uid="{E427B842-8E20-4172-B80F-B708D75B653E}"/>
    <cellStyle name="Cents" xfId="1453" xr:uid="{C9EEECCE-5D45-4831-A2DA-7F4BD970DA95}"/>
    <cellStyle name="Cents (0.0)" xfId="1454" xr:uid="{F2E16AEE-8F27-4CF8-9EE7-DE7058CAE5E2}"/>
    <cellStyle name="Change" xfId="1455" xr:uid="{A6220A69-DFFD-4B97-8D39-7698BD596B21}"/>
    <cellStyle name="Change A&amp;ll" xfId="1456" xr:uid="{C736CE2C-BA5D-4C79-BEC5-8CDC0335A2D2}"/>
    <cellStyle name="Change A&amp;ll 2" xfId="1457" xr:uid="{D524B3B6-C503-4384-980E-232E25027085}"/>
    <cellStyle name="Change A&amp;ll 2 10" xfId="5060" xr:uid="{386EDAFF-E663-4816-90AE-6009163BA113}"/>
    <cellStyle name="Change A&amp;ll 2 11" xfId="6359" xr:uid="{C3A14288-AEA3-411C-B30E-7E5543DB542F}"/>
    <cellStyle name="Change A&amp;ll 2 2" xfId="4750" xr:uid="{84C22981-4D14-4153-96C8-93112DC0A8A1}"/>
    <cellStyle name="Change A&amp;ll 2 2 2" xfId="5745" xr:uid="{D55E24A3-A282-4A2C-96CF-3E51391D48FE}"/>
    <cellStyle name="Change A&amp;ll 2 2 2 2" xfId="7398" xr:uid="{0D325CA7-D0AD-4B10-A7A9-ACF79A4D0A04}"/>
    <cellStyle name="Change A&amp;ll 2 2 3" xfId="5400" xr:uid="{BBE8C9FA-97D4-45AA-A396-76CEAAFCEBD8}"/>
    <cellStyle name="Change A&amp;ll 2 2 3 2" xfId="7064" xr:uid="{D4A159BB-7D6C-4FF2-A554-A86714BFF120}"/>
    <cellStyle name="Change A&amp;ll 2 2 4" xfId="6441" xr:uid="{678D827D-4CCC-4703-A855-DB2053400599}"/>
    <cellStyle name="Change A&amp;ll 2 3" xfId="4794" xr:uid="{23BFEE9E-00A7-4B36-A7B5-D62B7AF6DBC6}"/>
    <cellStyle name="Change A&amp;ll 2 3 2" xfId="5788" xr:uid="{34DE1A3F-5790-403F-B943-8570255BF4A1}"/>
    <cellStyle name="Change A&amp;ll 2 3 2 2" xfId="7441" xr:uid="{872ED602-1D5B-4077-9271-1A76E6B08A3D}"/>
    <cellStyle name="Change A&amp;ll 2 3 3" xfId="5988" xr:uid="{BCB093A7-5D6F-4B54-ABEA-78A1487E7B20}"/>
    <cellStyle name="Change A&amp;ll 2 3 3 2" xfId="7640" xr:uid="{EDC4D160-C3B9-4EB2-A632-DDE11A1F41B3}"/>
    <cellStyle name="Change A&amp;ll 2 3 4" xfId="6141" xr:uid="{810D3F06-F5B7-4B06-9D56-6FE23D8DAE00}"/>
    <cellStyle name="Change A&amp;ll 2 3 4 2" xfId="7791" xr:uid="{1AD79BD9-4C55-440D-BED6-559B940C1FC3}"/>
    <cellStyle name="Change A&amp;ll 2 3 5" xfId="5601" xr:uid="{BB4BF9F3-3219-4D01-B5BE-85A4597EF5FB}"/>
    <cellStyle name="Change A&amp;ll 2 3 5 2" xfId="7262" xr:uid="{2B57B54C-9060-4D2C-8881-1C737B87C989}"/>
    <cellStyle name="Change A&amp;ll 2 3 6" xfId="5071" xr:uid="{9F317C6E-9244-4C9A-81CF-D75F6B32999A}"/>
    <cellStyle name="Change A&amp;ll 2 3 6 2" xfId="6745" xr:uid="{F2F62346-2BF9-4638-818E-3FF3C3DAB9EC}"/>
    <cellStyle name="Change A&amp;ll 2 3 7" xfId="6269" xr:uid="{4C3AC78A-EA6D-4333-BDA5-B3C5C0B71AC6}"/>
    <cellStyle name="Change A&amp;ll 2 3 7 2" xfId="7916" xr:uid="{632EC16E-4A0E-43C0-A709-82E51F4F15D7}"/>
    <cellStyle name="Change A&amp;ll 2 3 8" xfId="5119" xr:uid="{81CB0D44-27A5-4E32-A127-29DA33E629D9}"/>
    <cellStyle name="Change A&amp;ll 2 3 8 2" xfId="6793" xr:uid="{0C4A7F8E-4813-45C7-BDBB-1CF275CD88C3}"/>
    <cellStyle name="Change A&amp;ll 2 3 9" xfId="6484" xr:uid="{3956A984-E924-4904-A88F-44C6423FB3AE}"/>
    <cellStyle name="Change A&amp;ll 2 4" xfId="4936" xr:uid="{D152640B-89D7-4F53-97A4-70AF0B8AB70F}"/>
    <cellStyle name="Change A&amp;ll 2 4 2" xfId="5926" xr:uid="{88A2745D-1985-4EE3-9CD9-284D8A903467}"/>
    <cellStyle name="Change A&amp;ll 2 4 2 2" xfId="7579" xr:uid="{430F27EE-0C59-4470-A2B8-5621F4A21FCB}"/>
    <cellStyle name="Change A&amp;ll 2 4 3" xfId="6220" xr:uid="{86E9DF5E-3DC8-4276-9F57-44C0619DB2C2}"/>
    <cellStyle name="Change A&amp;ll 2 4 3 2" xfId="7867" xr:uid="{7F95A94C-A1C5-414A-8042-425281704B73}"/>
    <cellStyle name="Change A&amp;ll 2 4 4" xfId="6619" xr:uid="{55D7EBED-04B5-432F-8E63-F8F769A2D89D}"/>
    <cellStyle name="Change A&amp;ll 2 5" xfId="5177" xr:uid="{207C88A2-304A-45E9-BA23-7F655FA8EBEE}"/>
    <cellStyle name="Change A&amp;ll 2 5 2" xfId="6851" xr:uid="{F63975F6-8E6A-4AB5-BD18-EAABB7194132}"/>
    <cellStyle name="Change A&amp;ll 2 6" xfId="5297" xr:uid="{14138A1F-F924-481B-AF3C-F9F607837939}"/>
    <cellStyle name="Change A&amp;ll 2 6 2" xfId="6963" xr:uid="{C1219089-289C-467C-9B72-AD9C48F81ACD}"/>
    <cellStyle name="Change A&amp;ll 2 7" xfId="5284" xr:uid="{98A497C5-0C12-4896-806A-C82789BCFBCD}"/>
    <cellStyle name="Change A&amp;ll 2 7 2" xfId="6950" xr:uid="{614F9E8B-E555-44E2-AF18-64D488EEFE74}"/>
    <cellStyle name="Change A&amp;ll 2 8" xfId="5185" xr:uid="{CD4919B4-478A-445C-B4E4-93A954687542}"/>
    <cellStyle name="Change A&amp;ll 2 8 2" xfId="6859" xr:uid="{E58AC02B-5EFE-4E14-803E-FD28E7629107}"/>
    <cellStyle name="Change A&amp;ll 2 9" xfId="5697" xr:uid="{76276231-A836-479D-A978-394E222E8794}"/>
    <cellStyle name="Change A&amp;ll 2 9 2" xfId="7356" xr:uid="{299FB237-5F04-44C6-A0B4-934EE37E2881}"/>
    <cellStyle name="Change A&amp;ll 3" xfId="1458" xr:uid="{FA21DF34-0BCC-458D-ACF6-2053ED452A87}"/>
    <cellStyle name="Change A&amp;ll 3 2" xfId="1459" xr:uid="{4E5161DD-40F3-4FEC-B411-613AE4F4E0C8}"/>
    <cellStyle name="Change A&amp;ll 3 2 2" xfId="139" xr:uid="{984B829E-A2BC-4362-8457-6CB7C3372FD5}"/>
    <cellStyle name="Change A&amp;ll 3 2 2 2" xfId="4853" xr:uid="{D168A310-DC2B-4894-AAB8-ADF28AB35C3E}"/>
    <cellStyle name="Change A&amp;ll 3 2 2 2 2" xfId="5847" xr:uid="{054942D1-04A8-41B9-8012-EAB5985504B9}"/>
    <cellStyle name="Change A&amp;ll 3 2 2 2 2 2" xfId="7500" xr:uid="{D6F521BA-44D0-4CD9-B076-64D06F7459BC}"/>
    <cellStyle name="Change A&amp;ll 3 2 2 2 3" xfId="6044" xr:uid="{42436901-28C1-4493-846B-0E20964E1841}"/>
    <cellStyle name="Change A&amp;ll 3 2 2 2 3 2" xfId="7696" xr:uid="{5AC95FE7-007A-447F-8DF7-6FF41667E12E}"/>
    <cellStyle name="Change A&amp;ll 3 2 2 2 4" xfId="5027" xr:uid="{80D04796-419C-4512-8B37-26F80B2E4B92}"/>
    <cellStyle name="Change A&amp;ll 3 2 2 2 4 2" xfId="6704" xr:uid="{D1A068DE-4360-4DBC-8887-86D53FD3A441}"/>
    <cellStyle name="Change A&amp;ll 3 2 2 2 5" xfId="6121" xr:uid="{75D8380E-FC1C-4979-BEEE-D2DE0D16CD7E}"/>
    <cellStyle name="Change A&amp;ll 3 2 2 2 6" xfId="5456" xr:uid="{D8B1AD18-8844-4D45-9F1F-995DB910569A}"/>
    <cellStyle name="Change A&amp;ll 3 2 2 2 6 2" xfId="7120" xr:uid="{A2485206-434D-41E1-98B7-519F4B4CD2AA}"/>
    <cellStyle name="Change A&amp;ll 3 2 2 2 7" xfId="5374" xr:uid="{BD806E25-525B-4F9A-9E58-9A4B11AC85F5}"/>
    <cellStyle name="Change A&amp;ll 3 2 2 2 7 2" xfId="7039" xr:uid="{39AB8792-3F08-47A4-8CEF-01FA96B3534E}"/>
    <cellStyle name="Change A&amp;ll 3 2 2 3" xfId="5500" xr:uid="{2F273B32-72D2-471A-A94C-25431659E441}"/>
    <cellStyle name="Change A&amp;ll 3 2 2 3 2" xfId="7164" xr:uid="{34C182EA-D717-4D7C-A3F2-3455D7879243}"/>
    <cellStyle name="Change A&amp;ll 3 2 2 4" xfId="6338" xr:uid="{BA7A3295-A212-4C64-B400-CC5CEF171CC5}"/>
    <cellStyle name="Change A&amp;ll 3 2 3" xfId="4752" xr:uid="{F2E298B1-2659-44D6-BFED-D27C29118233}"/>
    <cellStyle name="Change A&amp;ll 3 2 3 2" xfId="5747" xr:uid="{EF3E644B-B83C-4CD9-8814-AEC5F36462D9}"/>
    <cellStyle name="Change A&amp;ll 3 2 3 2 2" xfId="7400" xr:uid="{1C666062-4A5D-4E10-A17C-3D5F7512D47E}"/>
    <cellStyle name="Change A&amp;ll 3 2 3 3" xfId="5402" xr:uid="{899C2EBC-5F1C-4F9C-97EC-39261B1A3610}"/>
    <cellStyle name="Change A&amp;ll 3 2 3 3 2" xfId="7066" xr:uid="{DD45F7CC-4C2B-4B13-B380-75E25BAC1CB5}"/>
    <cellStyle name="Change A&amp;ll 3 2 3 4" xfId="6443" xr:uid="{4EB4249C-AC13-42D1-812F-9D97D8F179F3}"/>
    <cellStyle name="Change A&amp;ll 3 2 4" xfId="4934" xr:uid="{0FC0441E-85DE-40CB-BF01-3BEB28311531}"/>
    <cellStyle name="Change A&amp;ll 3 2 4 2" xfId="5924" xr:uid="{3A50E5A9-A773-431A-8AC1-2C25CB0DD723}"/>
    <cellStyle name="Change A&amp;ll 3 2 4 2 2" xfId="7577" xr:uid="{7B4DFDD8-D96C-4E55-AED0-AFA02F56B253}"/>
    <cellStyle name="Change A&amp;ll 3 2 4 3" xfId="6218" xr:uid="{BA2BF6C2-185A-481B-B436-055B4ABEEDDD}"/>
    <cellStyle name="Change A&amp;ll 3 2 4 3 2" xfId="7865" xr:uid="{84459912-4184-45AF-9310-FB4DDC9369AC}"/>
    <cellStyle name="Change A&amp;ll 3 2 4 4" xfId="6617" xr:uid="{95C13E0E-9087-454D-814A-4F47A1A66AFF}"/>
    <cellStyle name="Change A&amp;ll 3 2 5" xfId="5179" xr:uid="{EB814D1F-B670-4AC3-8513-4A473AC63A38}"/>
    <cellStyle name="Change A&amp;ll 3 2 5 2" xfId="6853" xr:uid="{5E2E7A54-35ED-416F-8BE7-BDE6011752BE}"/>
    <cellStyle name="Change A&amp;ll 3 2 6" xfId="5295" xr:uid="{FF9410E3-36A5-4F0E-9B1D-17FE6771B855}"/>
    <cellStyle name="Change A&amp;ll 3 2 6 2" xfId="6961" xr:uid="{BDBD341D-661E-4963-B872-12D8C7FA3BDA}"/>
    <cellStyle name="Change A&amp;ll 3 2 7" xfId="6361" xr:uid="{ADDDD90B-2C76-4DF2-B5A7-D1197BC130C4}"/>
    <cellStyle name="Change A&amp;ll 3 3" xfId="1460" xr:uid="{8F821D10-EDC3-459F-9D86-F473DE2F00DE}"/>
    <cellStyle name="Change A&amp;ll 3 3 10" xfId="5222" xr:uid="{5E3C8C15-9779-4E4A-BC5A-8F477961CB58}"/>
    <cellStyle name="Change A&amp;ll 3 3 11" xfId="6362" xr:uid="{ACA671A8-8595-41DA-8F3F-D65F51D7A22D}"/>
    <cellStyle name="Change A&amp;ll 3 3 2" xfId="4753" xr:uid="{E6397F5D-8F8C-4765-B461-F1C1177A7C7F}"/>
    <cellStyle name="Change A&amp;ll 3 3 2 2" xfId="5748" xr:uid="{16A9EA7A-CBE1-42CC-8395-08F7B89EC136}"/>
    <cellStyle name="Change A&amp;ll 3 3 2 2 2" xfId="7401" xr:uid="{91BEA634-01F2-4CA0-BB18-DE0C28C5F5A8}"/>
    <cellStyle name="Change A&amp;ll 3 3 2 3" xfId="5403" xr:uid="{FE9578FE-B17F-49F9-A561-A0F89FF25014}"/>
    <cellStyle name="Change A&amp;ll 3 3 2 3 2" xfId="7067" xr:uid="{62171B91-E8B2-46D7-95CC-C9C50B76DB5C}"/>
    <cellStyle name="Change A&amp;ll 3 3 2 4" xfId="6444" xr:uid="{8A5B1421-9B37-4E5E-904E-9686DB2DBFDD}"/>
    <cellStyle name="Change A&amp;ll 3 3 3" xfId="4793" xr:uid="{556B3857-F695-461B-8AFC-FBD9BBAF210E}"/>
    <cellStyle name="Change A&amp;ll 3 3 3 2" xfId="5787" xr:uid="{1C7D7E05-8DB3-489E-94B3-6D4B0686DFD1}"/>
    <cellStyle name="Change A&amp;ll 3 3 3 2 2" xfId="7440" xr:uid="{FFA94153-E220-46A1-9B6B-852E9F5ECD12}"/>
    <cellStyle name="Change A&amp;ll 3 3 3 3" xfId="5987" xr:uid="{BFCBAF8A-E6B6-4714-894C-C09ECFF932BE}"/>
    <cellStyle name="Change A&amp;ll 3 3 3 3 2" xfId="7639" xr:uid="{5A08E836-A3DF-4708-84AA-D54D6A5C7F2E}"/>
    <cellStyle name="Change A&amp;ll 3 3 3 4" xfId="6140" xr:uid="{E6915E28-058D-43B1-9F31-3E689C153CEE}"/>
    <cellStyle name="Change A&amp;ll 3 3 3 4 2" xfId="7790" xr:uid="{65358780-3F3D-42EB-BA2B-BF1AA934A99A}"/>
    <cellStyle name="Change A&amp;ll 3 3 3 5" xfId="5520" xr:uid="{145570AB-33E8-4EAD-A31D-F9F9A6196231}"/>
    <cellStyle name="Change A&amp;ll 3 3 3 5 2" xfId="7184" xr:uid="{922AB417-8F24-4732-AF45-39B5106FCE2B}"/>
    <cellStyle name="Change A&amp;ll 3 3 3 6" xfId="5072" xr:uid="{98A4A4BF-5B61-427A-A770-18B1488299E5}"/>
    <cellStyle name="Change A&amp;ll 3 3 3 6 2" xfId="6746" xr:uid="{D9D8AEF5-62F8-40B8-B296-43BBE063422F}"/>
    <cellStyle name="Change A&amp;ll 3 3 3 7" xfId="6268" xr:uid="{B2139D77-1604-44B1-8D67-EB89B040D74A}"/>
    <cellStyle name="Change A&amp;ll 3 3 3 7 2" xfId="7915" xr:uid="{2D45FE8F-D220-4530-AE5F-FF968C7319A5}"/>
    <cellStyle name="Change A&amp;ll 3 3 3 8" xfId="6193" xr:uid="{4ACC18BE-D168-46AE-924B-F4C15D88AE55}"/>
    <cellStyle name="Change A&amp;ll 3 3 3 8 2" xfId="7840" xr:uid="{D6EBBFE1-549E-4D1A-9046-117E78FCA1A4}"/>
    <cellStyle name="Change A&amp;ll 3 3 3 9" xfId="6483" xr:uid="{28DB91BD-DE6E-4181-BFB5-F2651E8166BB}"/>
    <cellStyle name="Change A&amp;ll 3 3 4" xfId="4933" xr:uid="{E0E6ADEC-6CF5-4AFB-8223-AF03EF493845}"/>
    <cellStyle name="Change A&amp;ll 3 3 4 2" xfId="5923" xr:uid="{2AE314E1-A7EE-4C3C-BE39-E23F431AD0E4}"/>
    <cellStyle name="Change A&amp;ll 3 3 4 2 2" xfId="7576" xr:uid="{BC1FB581-10DA-4C51-A297-070267701136}"/>
    <cellStyle name="Change A&amp;ll 3 3 4 3" xfId="6217" xr:uid="{01C66CEB-72F6-49DB-9F00-71530839D371}"/>
    <cellStyle name="Change A&amp;ll 3 3 4 3 2" xfId="7864" xr:uid="{DC9EF839-F568-498C-9DD9-1AB6B1A046C9}"/>
    <cellStyle name="Change A&amp;ll 3 3 4 4" xfId="6616" xr:uid="{4A47DE3F-7424-420D-9DFF-83E1E378161D}"/>
    <cellStyle name="Change A&amp;ll 3 3 5" xfId="5180" xr:uid="{E721CD22-9993-4EF6-85C2-CC3599234A03}"/>
    <cellStyle name="Change A&amp;ll 3 3 5 2" xfId="6854" xr:uid="{786C9EC0-E5AB-4ACD-B8E1-2CFB2A78BCC8}"/>
    <cellStyle name="Change A&amp;ll 3 3 6" xfId="5294" xr:uid="{C38C143C-D21A-4514-9225-67AAE80E23DB}"/>
    <cellStyle name="Change A&amp;ll 3 3 6 2" xfId="6960" xr:uid="{DD53C499-025A-41C7-AD94-47C43BE95FAF}"/>
    <cellStyle name="Change A&amp;ll 3 3 7" xfId="5283" xr:uid="{F25F6AB1-9739-4AD3-A028-7C60E653F10B}"/>
    <cellStyle name="Change A&amp;ll 3 3 7 2" xfId="6949" xr:uid="{BF60CCBB-C444-4363-838D-1EE4624A23AD}"/>
    <cellStyle name="Change A&amp;ll 3 3 8" xfId="5186" xr:uid="{3894159C-B5F1-4E2F-A1CC-7F1994F61BC8}"/>
    <cellStyle name="Change A&amp;ll 3 3 8 2" xfId="6860" xr:uid="{13267D0F-93FE-4800-9792-102E6A81AE2B}"/>
    <cellStyle name="Change A&amp;ll 3 3 9" xfId="6182" xr:uid="{A3EEB23B-CD90-4229-8CE8-0A7981143336}"/>
    <cellStyle name="Change A&amp;ll 3 3 9 2" xfId="7829" xr:uid="{BDA21DAB-8DBD-4BBA-86FC-9FB1D6C281A1}"/>
    <cellStyle name="Change A&amp;ll 3 4" xfId="4751" xr:uid="{AEF84DA8-5317-4EC8-8AC3-192063976F5D}"/>
    <cellStyle name="Change A&amp;ll 3 4 2" xfId="5746" xr:uid="{9AD62030-8125-4611-953B-115FE2EE41DB}"/>
    <cellStyle name="Change A&amp;ll 3 4 2 2" xfId="7399" xr:uid="{AC2E50E3-BC2A-4344-A51B-76358050FAAB}"/>
    <cellStyle name="Change A&amp;ll 3 4 3" xfId="5401" xr:uid="{A129C7E5-9967-46DA-8ABF-063CC9EDACF3}"/>
    <cellStyle name="Change A&amp;ll 3 4 3 2" xfId="7065" xr:uid="{61E43BB8-D137-4883-9275-872302591E57}"/>
    <cellStyle name="Change A&amp;ll 3 4 4" xfId="6442" xr:uid="{1D978B09-AE45-44A2-9B88-794038AD0410}"/>
    <cellStyle name="Change A&amp;ll 3 5" xfId="4935" xr:uid="{1BC30EE8-5B02-400A-BE39-9122CCADC5B8}"/>
    <cellStyle name="Change A&amp;ll 3 5 2" xfId="5925" xr:uid="{00F19ECD-61BE-403E-9466-44241D4EFD3C}"/>
    <cellStyle name="Change A&amp;ll 3 5 2 2" xfId="7578" xr:uid="{A685BE12-0233-4DCC-B156-19942E0F124C}"/>
    <cellStyle name="Change A&amp;ll 3 5 3" xfId="6219" xr:uid="{B2079C36-617E-445B-ABEB-6861C993A614}"/>
    <cellStyle name="Change A&amp;ll 3 5 3 2" xfId="7866" xr:uid="{934CCE57-13AB-4C94-88CB-D87CE6BA6DC7}"/>
    <cellStyle name="Change A&amp;ll 3 5 4" xfId="6618" xr:uid="{13A67335-B587-4677-831D-250B76FF313D}"/>
    <cellStyle name="Change A&amp;ll 3 6" xfId="5178" xr:uid="{154EF651-981B-4996-985D-CD45F2B6C919}"/>
    <cellStyle name="Change A&amp;ll 3 6 2" xfId="6852" xr:uid="{BF556463-9B52-4B71-AD07-ECAB62071A69}"/>
    <cellStyle name="Change A&amp;ll 3 7" xfId="5296" xr:uid="{6CFADF9D-98B9-4C92-ABC0-6AD34AFB8263}"/>
    <cellStyle name="Change A&amp;ll 3 7 2" xfId="6962" xr:uid="{A36E0B5D-0678-45D2-B04E-11882B6C5D65}"/>
    <cellStyle name="Change A&amp;ll 3 8" xfId="6360" xr:uid="{840D4570-715D-49E3-BD66-66DB87D6DF67}"/>
    <cellStyle name="Change A&amp;ll 4" xfId="1461" xr:uid="{C55E949A-43B6-4FA7-9A20-8CAB6046B01A}"/>
    <cellStyle name="Change A&amp;ll 4 10" xfId="5211" xr:uid="{8A7753AB-6CD9-484B-A869-C8EB01CC317D}"/>
    <cellStyle name="Change A&amp;ll 4 10 2" xfId="6882" xr:uid="{02C41C34-0445-474C-8962-F8ABDDFE7913}"/>
    <cellStyle name="Change A&amp;ll 4 11" xfId="5578" xr:uid="{04ADEAC3-85BE-447F-94A2-5B21B3DCA25F}"/>
    <cellStyle name="Change A&amp;ll 4 12" xfId="6363" xr:uid="{40B30870-92A5-40AF-AE30-BB369B072C6C}"/>
    <cellStyle name="Change A&amp;ll 4 2" xfId="1462" xr:uid="{80DB6430-5E5E-4D7E-A2D1-E59A709508B2}"/>
    <cellStyle name="Change A&amp;ll 4 2 10" xfId="5223" xr:uid="{C9ECAFBC-42E4-4BC8-B9CA-E314CADEC213}"/>
    <cellStyle name="Change A&amp;ll 4 2 11" xfId="6364" xr:uid="{8413A8CF-CA60-43AB-954A-5B1B53C45467}"/>
    <cellStyle name="Change A&amp;ll 4 2 2" xfId="4755" xr:uid="{5BD445C7-96E7-4A99-BDFF-A61D5898F7D1}"/>
    <cellStyle name="Change A&amp;ll 4 2 2 2" xfId="5750" xr:uid="{0E6A5741-613B-464F-90EF-074702529E47}"/>
    <cellStyle name="Change A&amp;ll 4 2 2 2 2" xfId="7403" xr:uid="{5623FBAA-A239-4A3E-BB10-F7B49C60108D}"/>
    <cellStyle name="Change A&amp;ll 4 2 2 3" xfId="5405" xr:uid="{41E8FBC1-A0F9-4B05-96F0-5994A36A5819}"/>
    <cellStyle name="Change A&amp;ll 4 2 2 3 2" xfId="7069" xr:uid="{72A2C757-D4B5-4AFF-ABBC-45F9977CDB45}"/>
    <cellStyle name="Change A&amp;ll 4 2 2 4" xfId="6446" xr:uid="{6CD18D39-E62C-4BAF-A559-06871A6CBAD4}"/>
    <cellStyle name="Change A&amp;ll 4 2 3" xfId="4791" xr:uid="{484A113D-A6AC-486D-8736-2BE3986CF9D4}"/>
    <cellStyle name="Change A&amp;ll 4 2 3 2" xfId="5785" xr:uid="{76712C2D-A130-4CD2-94AC-101B70061610}"/>
    <cellStyle name="Change A&amp;ll 4 2 3 2 2" xfId="7438" xr:uid="{8FCAC203-CDFD-4319-B429-0FFBA9136DBC}"/>
    <cellStyle name="Change A&amp;ll 4 2 3 3" xfId="5985" xr:uid="{B8C29D22-04C4-4D60-B9DF-85A350EAD076}"/>
    <cellStyle name="Change A&amp;ll 4 2 3 3 2" xfId="7637" xr:uid="{2811934C-DCC4-4F11-88D5-E01EA59CCEFD}"/>
    <cellStyle name="Change A&amp;ll 4 2 3 4" xfId="6138" xr:uid="{7F874FD8-9F8D-4B2B-B5C1-A481F35BACA9}"/>
    <cellStyle name="Change A&amp;ll 4 2 3 4 2" xfId="7788" xr:uid="{50D61B1C-0C7B-4F23-9205-023225E36C04}"/>
    <cellStyle name="Change A&amp;ll 4 2 3 5" xfId="5600" xr:uid="{0623E0D5-4FB7-4506-89D7-7A0566E655EB}"/>
    <cellStyle name="Change A&amp;ll 4 2 3 5 2" xfId="7261" xr:uid="{62E1B17C-E919-4978-A04F-0AD574B4456A}"/>
    <cellStyle name="Change A&amp;ll 4 2 3 6" xfId="5074" xr:uid="{CE926ED8-8713-4157-AD65-BBEBCF67CED2}"/>
    <cellStyle name="Change A&amp;ll 4 2 3 6 2" xfId="6748" xr:uid="{494B0F6A-6F0A-477B-9C6C-D9501B53BDCF}"/>
    <cellStyle name="Change A&amp;ll 4 2 3 7" xfId="6266" xr:uid="{EB695ECD-6F14-436F-8377-DD5BB1F7D588}"/>
    <cellStyle name="Change A&amp;ll 4 2 3 7 2" xfId="7913" xr:uid="{62DDADEB-5A65-4676-A110-51A27315F613}"/>
    <cellStyle name="Change A&amp;ll 4 2 3 8" xfId="5120" xr:uid="{7274783F-787A-4CFF-AE07-C4404497B47C}"/>
    <cellStyle name="Change A&amp;ll 4 2 3 8 2" xfId="6794" xr:uid="{449C3515-881B-4028-8411-9BC27469107C}"/>
    <cellStyle name="Change A&amp;ll 4 2 3 9" xfId="6481" xr:uid="{4C750391-E01E-418C-9F72-79BC7CCAF836}"/>
    <cellStyle name="Change A&amp;ll 4 2 4" xfId="4931" xr:uid="{EB62EA60-56A4-4908-BCEE-B636080F023F}"/>
    <cellStyle name="Change A&amp;ll 4 2 4 2" xfId="5921" xr:uid="{CAF73420-BE1D-4910-94C2-56C4B28E0C3B}"/>
    <cellStyle name="Change A&amp;ll 4 2 4 2 2" xfId="7574" xr:uid="{9EFD16EC-3A71-42EE-9D18-5D264ACF152B}"/>
    <cellStyle name="Change A&amp;ll 4 2 4 3" xfId="6215" xr:uid="{985AB7C1-04D7-4132-89B5-1773C2704DBD}"/>
    <cellStyle name="Change A&amp;ll 4 2 4 3 2" xfId="7862" xr:uid="{9351123E-C20B-47C8-83A2-83C3DA177D07}"/>
    <cellStyle name="Change A&amp;ll 4 2 4 4" xfId="6614" xr:uid="{D32EE1B6-FC05-4A7B-A5C5-53E327C7353A}"/>
    <cellStyle name="Change A&amp;ll 4 2 5" xfId="5182" xr:uid="{6F613151-D064-48CA-88F1-782BC7617BB8}"/>
    <cellStyle name="Change A&amp;ll 4 2 5 2" xfId="6856" xr:uid="{83C5FB0E-465D-4BB4-9532-761B96B262E5}"/>
    <cellStyle name="Change A&amp;ll 4 2 6" xfId="5292" xr:uid="{9905E10B-3943-42CD-9EBD-51E36C3F0DE4}"/>
    <cellStyle name="Change A&amp;ll 4 2 6 2" xfId="6958" xr:uid="{F1173EC8-61E4-4E86-B94D-D10141E867AB}"/>
    <cellStyle name="Change A&amp;ll 4 2 7" xfId="5281" xr:uid="{04681EC8-3271-4FDA-9FEE-F61BFB88C5F7}"/>
    <cellStyle name="Change A&amp;ll 4 2 7 2" xfId="6947" xr:uid="{ABFFD4AB-9E32-49FA-BE59-1B5A79333483}"/>
    <cellStyle name="Change A&amp;ll 4 2 8" xfId="5187" xr:uid="{2F5D6D84-6C49-40F7-AABC-D411499D2060}"/>
    <cellStyle name="Change A&amp;ll 4 2 8 2" xfId="6861" xr:uid="{E8724372-6260-492F-9354-C5E934855EB5}"/>
    <cellStyle name="Change A&amp;ll 4 2 9" xfId="5212" xr:uid="{654F5A44-3B4E-4F47-8305-D3AD30A0645B}"/>
    <cellStyle name="Change A&amp;ll 4 2 9 2" xfId="6883" xr:uid="{F68202AF-97CE-4AA7-9F22-044B0EB00F04}"/>
    <cellStyle name="Change A&amp;ll 4 3" xfId="4754" xr:uid="{847F0FB2-C883-491A-930B-8B42420322CC}"/>
    <cellStyle name="Change A&amp;ll 4 3 2" xfId="5749" xr:uid="{176E4B6F-F923-4834-9A90-90A91E30E3C4}"/>
    <cellStyle name="Change A&amp;ll 4 3 2 2" xfId="7402" xr:uid="{73DB11E7-5ECC-4C1E-A884-9578927FDEF6}"/>
    <cellStyle name="Change A&amp;ll 4 3 3" xfId="5404" xr:uid="{5341846B-AF9F-41E4-B959-1A8CF4C3E44C}"/>
    <cellStyle name="Change A&amp;ll 4 3 3 2" xfId="7068" xr:uid="{18468FC6-CEB6-44AA-8EB2-81C95F33E0A7}"/>
    <cellStyle name="Change A&amp;ll 4 3 4" xfId="6445" xr:uid="{9C2B624F-50C2-42DC-A3EC-96E3684760C5}"/>
    <cellStyle name="Change A&amp;ll 4 4" xfId="4792" xr:uid="{34F95E04-3B5B-4D8B-8915-6477388D4E32}"/>
    <cellStyle name="Change A&amp;ll 4 4 2" xfId="5786" xr:uid="{3DA2058C-1D65-4452-8F75-356B7DB49F2B}"/>
    <cellStyle name="Change A&amp;ll 4 4 2 2" xfId="7439" xr:uid="{6F8ADF93-F677-4E38-A74C-F1AEA45B5709}"/>
    <cellStyle name="Change A&amp;ll 4 4 3" xfId="5986" xr:uid="{AFFC0BF9-2DFE-4995-A404-15C3899A176B}"/>
    <cellStyle name="Change A&amp;ll 4 4 3 2" xfId="7638" xr:uid="{C259C4AA-470A-4A1B-A21C-7CC0AB8A5E41}"/>
    <cellStyle name="Change A&amp;ll 4 4 4" xfId="6139" xr:uid="{181693D6-715D-4B3C-8CE3-DBF95707D3A9}"/>
    <cellStyle name="Change A&amp;ll 4 4 4 2" xfId="7789" xr:uid="{1A96F767-C491-4B9F-A499-1A6BA004A8E9}"/>
    <cellStyle name="Change A&amp;ll 4 4 5" xfId="5644" xr:uid="{3B91287D-9722-434C-B052-6B3AE46B221E}"/>
    <cellStyle name="Change A&amp;ll 4 4 5 2" xfId="7304" xr:uid="{254FF0B6-E0B5-46D3-887B-A487D41CA59C}"/>
    <cellStyle name="Change A&amp;ll 4 4 6" xfId="5073" xr:uid="{FEF903AA-BFDC-4414-932A-060C00EF5EC5}"/>
    <cellStyle name="Change A&amp;ll 4 4 6 2" xfId="6747" xr:uid="{71BBA43E-E429-4BB7-9F32-01B4059909FB}"/>
    <cellStyle name="Change A&amp;ll 4 4 7" xfId="6267" xr:uid="{EF2C2400-5DC5-4EEC-AD1A-BB9361DA4E40}"/>
    <cellStyle name="Change A&amp;ll 4 4 7 2" xfId="7914" xr:uid="{6577A84B-9212-458A-9F3E-5958EE5719D1}"/>
    <cellStyle name="Change A&amp;ll 4 4 8" xfId="5022" xr:uid="{B0A0FC80-B546-430B-AC7E-7B59D589928B}"/>
    <cellStyle name="Change A&amp;ll 4 4 8 2" xfId="6701" xr:uid="{C1F9101C-98C6-4306-8B11-5F7CFBADF328}"/>
    <cellStyle name="Change A&amp;ll 4 4 9" xfId="6482" xr:uid="{BA56F772-C353-429A-88B0-4D894974CF8B}"/>
    <cellStyle name="Change A&amp;ll 4 5" xfId="4932" xr:uid="{5B9DB006-0305-45F1-AAB8-30BECCDF6D98}"/>
    <cellStyle name="Change A&amp;ll 4 5 2" xfId="5922" xr:uid="{A645D3C4-313B-4A59-A374-D41A9AFED2C1}"/>
    <cellStyle name="Change A&amp;ll 4 5 2 2" xfId="7575" xr:uid="{A121E1F8-4779-4120-968F-4AFD13DE8D24}"/>
    <cellStyle name="Change A&amp;ll 4 5 3" xfId="6216" xr:uid="{C6D4647B-B852-4CF2-8F1C-5A0A066F3F28}"/>
    <cellStyle name="Change A&amp;ll 4 5 3 2" xfId="7863" xr:uid="{D6479C60-B73D-4798-A255-133200DDC831}"/>
    <cellStyle name="Change A&amp;ll 4 5 4" xfId="6615" xr:uid="{22E48225-92C8-485A-9C27-750FD790CF2A}"/>
    <cellStyle name="Change A&amp;ll 4 6" xfId="5181" xr:uid="{1D771F94-1D3E-4D50-9DFF-483CEC6D52E4}"/>
    <cellStyle name="Change A&amp;ll 4 6 2" xfId="6855" xr:uid="{62D233EC-0A7B-4E38-A8D1-54811CB7EC5B}"/>
    <cellStyle name="Change A&amp;ll 4 7" xfId="5293" xr:uid="{7760AA77-5831-4C87-B205-A635E3621650}"/>
    <cellStyle name="Change A&amp;ll 4 7 2" xfId="6959" xr:uid="{4194748C-E564-416A-8F71-FE7435C0ABB9}"/>
    <cellStyle name="Change A&amp;ll 4 8" xfId="5282" xr:uid="{1380787B-9932-43A8-9D20-4FFF65524A4E}"/>
    <cellStyle name="Change A&amp;ll 4 8 2" xfId="6948" xr:uid="{8576C168-B92A-4C4F-82FA-47FB01921A44}"/>
    <cellStyle name="Change A&amp;ll 4 9" xfId="5703" xr:uid="{89ECC993-2296-4024-BD65-D9ADDC86F0A5}"/>
    <cellStyle name="Change A&amp;ll 4 9 2" xfId="7362" xr:uid="{69135FCF-71FF-4189-98B8-744760C09F1E}"/>
    <cellStyle name="Change A&amp;ll 5" xfId="4749" xr:uid="{B60FBED8-47B3-43D2-B151-0657A50376B2}"/>
    <cellStyle name="Change A&amp;ll 5 2" xfId="5744" xr:uid="{EC39E8E4-E932-4A62-981B-B363D65AFBD2}"/>
    <cellStyle name="Change A&amp;ll 5 2 2" xfId="7397" xr:uid="{C9940EC6-889E-4C8B-871D-8810736082A8}"/>
    <cellStyle name="Change A&amp;ll 5 3" xfId="5399" xr:uid="{343787EE-7E6E-40CF-A964-BAE6C2CEBB12}"/>
    <cellStyle name="Change A&amp;ll 5 3 2" xfId="7063" xr:uid="{FB23C1A9-DCB2-4460-A0ED-657BE1E676D7}"/>
    <cellStyle name="Change A&amp;ll 5 4" xfId="6440" xr:uid="{F0662A1C-4683-4264-8CAC-8B660E742719}"/>
    <cellStyle name="Change A&amp;ll 6" xfId="4937" xr:uid="{244C305B-2932-4BDA-8761-EA529704673C}"/>
    <cellStyle name="Change A&amp;ll 6 2" xfId="5927" xr:uid="{93ACA560-2979-4D9C-B065-D44F0750FE0C}"/>
    <cellStyle name="Change A&amp;ll 6 2 2" xfId="7580" xr:uid="{4CCF053F-1645-4BD5-AB1D-4217C0EBA4C4}"/>
    <cellStyle name="Change A&amp;ll 6 3" xfId="6221" xr:uid="{1B7083C6-1C27-4AF5-A2AD-58F435672A66}"/>
    <cellStyle name="Change A&amp;ll 6 3 2" xfId="7868" xr:uid="{F7D59AAF-B3C2-4E3A-B612-E92EC9C4110F}"/>
    <cellStyle name="Change A&amp;ll 6 4" xfId="6620" xr:uid="{549FC72F-01CC-47C6-9335-28C889321AED}"/>
    <cellStyle name="Change A&amp;ll 7" xfId="5176" xr:uid="{B2F94C81-A118-4F65-BC6F-B60695892340}"/>
    <cellStyle name="Change A&amp;ll 7 2" xfId="6850" xr:uid="{34C06BE2-DAD6-45CB-9F92-5291ED1C9E5B}"/>
    <cellStyle name="Change A&amp;ll 8" xfId="5298" xr:uid="{1E43AFA1-09F0-4ED9-B3DB-A2C3884331B0}"/>
    <cellStyle name="Change A&amp;ll 8 2" xfId="6964" xr:uid="{79F9F48E-7304-4429-8CEF-7EF6733F03E6}"/>
    <cellStyle name="Change A&amp;ll 9" xfId="6358" xr:uid="{3C06369C-9279-4123-9691-B66CE1EAC2FD}"/>
    <cellStyle name="Changeable" xfId="1463" xr:uid="{E829FBC5-55C4-4CE3-9249-C5C71F975BAE}"/>
    <cellStyle name="Changed" xfId="1464" xr:uid="{E171EDB4-85F0-42D1-979F-7936A19E3E0A}"/>
    <cellStyle name="Chapter" xfId="1465" xr:uid="{8BE9E0AB-91EF-4D4B-8974-88AA08ECB731}"/>
    <cellStyle name="Check Cell 2" xfId="1466" xr:uid="{C4C2B63C-AE1D-43EC-BC5C-0A4E13A35E74}"/>
    <cellStyle name="COL HEADINGS" xfId="1467" xr:uid="{D7355671-43FD-4E5A-94C5-93B1CA25B5FB}"/>
    <cellStyle name="COL HEADINGS 2" xfId="1468" xr:uid="{1DD5E37A-6FA6-48B2-A345-D54F924977E9}"/>
    <cellStyle name="ColHead" xfId="1469" xr:uid="{C6166ED9-BE35-4859-BF4D-CB043E88D5BB}"/>
    <cellStyle name="Column Headers" xfId="1470" xr:uid="{080A410B-B59A-4141-BB96-90B2BAC29630}"/>
    <cellStyle name="Column Headers 2" xfId="4756" xr:uid="{EE6E0907-3AA2-4126-B1CF-FBEDF7E379DA}"/>
    <cellStyle name="Column Headers 2 10" xfId="5312" xr:uid="{12D2E14D-E7EA-4509-9C25-717C0E97EDBB}"/>
    <cellStyle name="Column Headers 2 10 2" xfId="6978" xr:uid="{2436F9FA-76A8-4538-ADC4-79CCEBB1FB08}"/>
    <cellStyle name="Column Headers 2 11" xfId="5125" xr:uid="{A5F07FDF-22E9-4136-81EF-E1DD1DF2B654}"/>
    <cellStyle name="Column Headers 2 11 2" xfId="6799" xr:uid="{7A2E5EC1-09DE-48E4-BD61-87F3811B92EA}"/>
    <cellStyle name="Column Headers 2 12" xfId="5280" xr:uid="{C5DB26E3-C89F-4566-9C47-453EC59FB37D}"/>
    <cellStyle name="Column Headers 2 12 2" xfId="6946" xr:uid="{8989C332-3AD9-4347-99B9-ECD45B3807D2}"/>
    <cellStyle name="Column Headers 2 13" xfId="6447" xr:uid="{4D46C324-3804-4C0E-87BF-67E8657D22B9}"/>
    <cellStyle name="Column Headers 2 2" xfId="5751" xr:uid="{7DB0A196-1D62-4B4D-B155-3247F45021AC}"/>
    <cellStyle name="Column Headers 2 2 2" xfId="7404" xr:uid="{434250C9-C13F-4322-9247-8E123FAE8C53}"/>
    <cellStyle name="Column Headers 2 3" xfId="5958" xr:uid="{BA032787-87F7-492F-A670-3E6E608268B4}"/>
    <cellStyle name="Column Headers 2 3 2" xfId="7611" xr:uid="{397F4861-8998-40AB-AC61-1C30BCFA2E9B}"/>
    <cellStyle name="Column Headers 2 4" xfId="6125" xr:uid="{D3FDD34C-0D5E-4685-BB1B-B92051E46870}"/>
    <cellStyle name="Column Headers 2 4 2" xfId="7775" xr:uid="{1BCC9C1C-2C26-4D8A-BEA3-C422F3574827}"/>
    <cellStyle name="Column Headers 2 5" xfId="5581" xr:uid="{0CD275C4-D9FC-4204-9554-DEA032B184EE}"/>
    <cellStyle name="Column Headers 2 5 2" xfId="7242" xr:uid="{717A7905-033C-4CDD-B290-80837C32AE80}"/>
    <cellStyle name="Column Headers 2 6" xfId="6153" xr:uid="{6D6DAEAC-9B3B-4150-B877-5CB372A70027}"/>
    <cellStyle name="Column Headers 2 6 2" xfId="7803" xr:uid="{6A70B5F0-8E0B-4E53-A80C-098665920EF8}"/>
    <cellStyle name="Column Headers 2 7" xfId="5510" xr:uid="{FF14221D-B6BC-4FBC-9EAE-30ADFE1CD95F}"/>
    <cellStyle name="Column Headers 2 7 2" xfId="7174" xr:uid="{502F5085-BFF3-49DF-9A80-DC685DE872F1}"/>
    <cellStyle name="Column Headers 2 8" xfId="5406" xr:uid="{5C8C442C-F5BA-4D0D-8907-3BC4B32069E7}"/>
    <cellStyle name="Column Headers 2 8 2" xfId="7070" xr:uid="{5155A1D0-474A-4FAD-808A-4FBC5221D3BD}"/>
    <cellStyle name="Column Headers 2 9" xfId="6248" xr:uid="{6150A071-AE55-48EB-8E56-282269737257}"/>
    <cellStyle name="Column Headers 2 9 2" xfId="7895" xr:uid="{5FB254C8-2AFB-4F47-A2CB-45A7634C2E02}"/>
    <cellStyle name="Column Headers 3" xfId="4930" xr:uid="{003FF529-9654-40E5-9FD6-3780C13648F1}"/>
    <cellStyle name="Column Headers 3 10" xfId="6335" xr:uid="{3A1A67AD-FD99-401E-B1DE-32493596B419}"/>
    <cellStyle name="Column Headers 3 10 2" xfId="7982" xr:uid="{6540A995-B2CC-4014-95C6-7E26E63DA2DC}"/>
    <cellStyle name="Column Headers 3 11" xfId="6613" xr:uid="{A9AD872E-676F-4753-B8F8-FB5D0977F364}"/>
    <cellStyle name="Column Headers 3 2" xfId="5920" xr:uid="{7DC1EC93-80EA-44AD-AF89-1718D73C8E38}"/>
    <cellStyle name="Column Headers 3 2 2" xfId="7573" xr:uid="{23522A35-F7ED-42E7-BDC8-A5810F5432A9}"/>
    <cellStyle name="Column Headers 3 3" xfId="6108" xr:uid="{03F69BB4-7F8A-458F-90B5-6208308512F3}"/>
    <cellStyle name="Column Headers 3 3 2" xfId="7759" xr:uid="{44F722B0-4BAA-4544-AA82-37CA05196CBF}"/>
    <cellStyle name="Column Headers 3 4" xfId="6176" xr:uid="{E3B225E3-41F6-43C6-962E-10952819C6EA}"/>
    <cellStyle name="Column Headers 3 4 2" xfId="7823" xr:uid="{E92BABD2-8EC5-4637-B3AC-13DC67BC9A9E}"/>
    <cellStyle name="Column Headers 3 5" xfId="5008" xr:uid="{03D32A6D-B269-43B8-BF16-9154050D46BB}"/>
    <cellStyle name="Column Headers 3 5 2" xfId="6687" xr:uid="{DD91AAC0-B2EE-4E3E-AC8B-5AACF4C39DAA}"/>
    <cellStyle name="Column Headers 3 6" xfId="6200" xr:uid="{08073A26-B11C-4156-AAF1-D871CE33693B}"/>
    <cellStyle name="Column Headers 3 6 2" xfId="7847" xr:uid="{976D6929-5571-479B-A2A4-F098CDE16EFE}"/>
    <cellStyle name="Column Headers 3 7" xfId="6214" xr:uid="{2773284D-CA65-46A8-A7DC-4E3FA66C4D34}"/>
    <cellStyle name="Column Headers 3 7 2" xfId="7861" xr:uid="{363FD181-2653-4BAB-ACC5-8C9024CABF4A}"/>
    <cellStyle name="Column Headers 3 8" xfId="6325" xr:uid="{986CCAAC-C7B5-4733-BCB0-C1EBF22208AB}"/>
    <cellStyle name="Column Headers 3 8 2" xfId="7972" xr:uid="{5B233D21-A8FF-46EF-A4ED-39D18955C1C9}"/>
    <cellStyle name="Column Headers 3 9" xfId="6331" xr:uid="{9909E50B-C2EF-4FFE-B6FD-874694EF5136}"/>
    <cellStyle name="Column Headers 3 9 2" xfId="7978" xr:uid="{F5345912-433C-4EBB-85C5-4CDC9D1911C8}"/>
    <cellStyle name="Column Headers 4" xfId="5279" xr:uid="{DA905216-E06F-4AF2-B5BB-0DAFF1FDB4B0}"/>
    <cellStyle name="Column Headers 4 2" xfId="6945" xr:uid="{0E30349A-DAA6-4DE6-A140-E9B09830839D}"/>
    <cellStyle name="Column_Title" xfId="1471" xr:uid="{306505C9-8DB4-4050-946E-3DC703166755}"/>
    <cellStyle name="column1Big" xfId="1472" xr:uid="{C12FAA0A-55F6-40C2-BF9D-32404F909790}"/>
    <cellStyle name="column1Date" xfId="1473" xr:uid="{4089E86B-C9AF-47D0-9214-9065C3FBD95D}"/>
    <cellStyle name="ColumnHeading" xfId="1474" xr:uid="{15EC4E8F-7F03-4D92-BAB6-626F8035DDE9}"/>
    <cellStyle name="ColumnHeading 10" xfId="5967" xr:uid="{8606467A-1725-4A27-BE45-B2F6D6344CD0}"/>
    <cellStyle name="ColumnHeading 11" xfId="6365" xr:uid="{AFD2B308-8098-481B-BE73-9FDD279C4966}"/>
    <cellStyle name="ColumnHeading 2" xfId="4757" xr:uid="{E8BE63B3-2630-4036-A62F-5E12D723F5B7}"/>
    <cellStyle name="ColumnHeading 2 2" xfId="5752" xr:uid="{29725094-114B-45D0-99CC-09E152B9CCC5}"/>
    <cellStyle name="ColumnHeading 2 2 2" xfId="7405" xr:uid="{1DEB0A8B-66D2-4452-A8C2-35039BE36BC6}"/>
    <cellStyle name="ColumnHeading 2 3" xfId="5407" xr:uid="{A1024CD4-E95F-4B0E-8594-9C74C562D57A}"/>
    <cellStyle name="ColumnHeading 2 3 2" xfId="7071" xr:uid="{C3312A98-4861-4AB4-9327-D7FA2817A578}"/>
    <cellStyle name="ColumnHeading 2 4" xfId="6448" xr:uid="{5FBF6178-3E21-434B-89AA-3C01AD874B8C}"/>
    <cellStyle name="ColumnHeading 3" xfId="4790" xr:uid="{601FD29F-A78C-499B-9E7A-6923050A0E65}"/>
    <cellStyle name="ColumnHeading 3 2" xfId="5784" xr:uid="{69D4282A-AC90-403C-B87B-546A0F3B4FC3}"/>
    <cellStyle name="ColumnHeading 3 2 2" xfId="7437" xr:uid="{2430B5B9-C429-4CF9-923B-BEE87F36477A}"/>
    <cellStyle name="ColumnHeading 3 3" xfId="5984" xr:uid="{F7FD6EBC-3257-44D6-A007-A0978CFE8966}"/>
    <cellStyle name="ColumnHeading 3 3 2" xfId="7636" xr:uid="{E7688069-3968-43A4-99A1-32C2C5CB2E93}"/>
    <cellStyle name="ColumnHeading 3 4" xfId="6137" xr:uid="{F2B1DDB8-60A2-40D4-B1AB-307BFF79A524}"/>
    <cellStyle name="ColumnHeading 3 4 2" xfId="7787" xr:uid="{36953ACC-D0A5-4EA8-8690-4B19212F58D6}"/>
    <cellStyle name="ColumnHeading 3 5" xfId="5519" xr:uid="{5A902F2F-C0DB-4CB4-A076-14DFAADA6C19}"/>
    <cellStyle name="ColumnHeading 3 5 2" xfId="7183" xr:uid="{0FC6B960-845C-466F-900C-45B143CC8C05}"/>
    <cellStyle name="ColumnHeading 3 6" xfId="5075" xr:uid="{CEFC157C-3C5D-48B8-B723-853DBC9DB438}"/>
    <cellStyle name="ColumnHeading 3 6 2" xfId="6749" xr:uid="{DC10AA97-B125-4C49-8EF8-DF60A4772E06}"/>
    <cellStyle name="ColumnHeading 3 7" xfId="6265" xr:uid="{3F841B02-5402-4DA3-9DFD-4CEF1DC3EBAA}"/>
    <cellStyle name="ColumnHeading 3 7 2" xfId="7912" xr:uid="{F650A230-8585-4CFC-8EFF-393A8DA9B871}"/>
    <cellStyle name="ColumnHeading 3 8" xfId="6194" xr:uid="{64EFBF04-B935-42D0-B68F-CFBFCE32590B}"/>
    <cellStyle name="ColumnHeading 3 8 2" xfId="7841" xr:uid="{DF371019-C298-44E7-BDC4-DB7E65CA2C50}"/>
    <cellStyle name="ColumnHeading 3 9" xfId="6480" xr:uid="{0B600703-44A1-4646-B5B4-AB00CDB5EAA6}"/>
    <cellStyle name="ColumnHeading 4" xfId="4929" xr:uid="{3085879A-7EAB-4095-BC5D-D0FC0A5698D1}"/>
    <cellStyle name="ColumnHeading 4 2" xfId="5919" xr:uid="{ABFDEB44-0D1C-47D0-AF79-E804190A7C01}"/>
    <cellStyle name="ColumnHeading 4 2 2" xfId="7572" xr:uid="{58D576C4-E32D-4998-ADB6-EA2A0E860B77}"/>
    <cellStyle name="ColumnHeading 4 3" xfId="6213" xr:uid="{088224D3-F812-4A85-BE29-1F134E52AFFC}"/>
    <cellStyle name="ColumnHeading 4 3 2" xfId="7860" xr:uid="{8EEA1B21-2424-4916-92BF-28E520AAB9E7}"/>
    <cellStyle name="ColumnHeading 4 4" xfId="6612" xr:uid="{08F345E6-3FD2-4B53-9C34-C3D127E5EB08}"/>
    <cellStyle name="ColumnHeading 5" xfId="5183" xr:uid="{C8452EF5-F803-44CA-B5B2-695C33FB9090}"/>
    <cellStyle name="ColumnHeading 5 2" xfId="6857" xr:uid="{68BF2406-205F-47DF-AF57-9E30EB77C788}"/>
    <cellStyle name="ColumnHeading 6" xfId="5291" xr:uid="{C5E82F62-501A-4858-8821-65DB5308089A}"/>
    <cellStyle name="ColumnHeading 6 2" xfId="6957" xr:uid="{77446B33-C6B2-4EF9-B101-2BCC38E18A45}"/>
    <cellStyle name="ColumnHeading 7" xfId="5278" xr:uid="{A96B9926-FDF7-474D-BBA9-F4A002B38D8A}"/>
    <cellStyle name="ColumnHeading 7 2" xfId="6944" xr:uid="{E380F3D4-AA33-49F2-AF9A-04D99FA356A8}"/>
    <cellStyle name="ColumnHeading 8" xfId="5197" xr:uid="{4C71703D-CCE0-4718-A27A-51EDFA3DC941}"/>
    <cellStyle name="ColumnHeading 8 2" xfId="6871" xr:uid="{D6DD5040-3D56-46F7-A633-3394D635F932}"/>
    <cellStyle name="ColumnHeading 9" xfId="6181" xr:uid="{093E6292-B34B-4ADA-818E-76209B79B7DF}"/>
    <cellStyle name="ColumnHeading 9 2" xfId="7828" xr:uid="{0D156CF0-A868-4674-827E-703E6C876BEB}"/>
    <cellStyle name="Column-S" xfId="1475" xr:uid="{CC6B9E89-3E99-49AB-B5FA-91FB965B927F}"/>
    <cellStyle name="Column-S 10" xfId="6099" xr:uid="{68C1BE17-8F6C-4F4E-9127-466F9E5F525E}"/>
    <cellStyle name="Column-S 11" xfId="6366" xr:uid="{B08D172C-FF38-4809-A904-B0FD350771BA}"/>
    <cellStyle name="Column-S 2" xfId="4758" xr:uid="{D3138145-1C81-45DE-9D32-FD66CA3B7150}"/>
    <cellStyle name="Column-S 2 2" xfId="5753" xr:uid="{C1562603-45CF-4955-8654-1D2C8F440F8E}"/>
    <cellStyle name="Column-S 2 2 2" xfId="7406" xr:uid="{D69BD39B-4DA4-42B9-B3AB-9A69947240C4}"/>
    <cellStyle name="Column-S 2 3" xfId="5408" xr:uid="{D16666D4-6B10-4BEF-9CF5-10FD78887951}"/>
    <cellStyle name="Column-S 2 3 2" xfId="7072" xr:uid="{2E107B51-C95B-4985-954A-D2B19DF2FF02}"/>
    <cellStyle name="Column-S 2 4" xfId="6449" xr:uid="{FF11C72E-78F6-4A5D-8B04-5B3BA778CF58}"/>
    <cellStyle name="Column-S 3" xfId="4789" xr:uid="{4FA72AA2-5134-48C9-B669-587737D48A80}"/>
    <cellStyle name="Column-S 3 2" xfId="5783" xr:uid="{C3765AB6-3E5F-46D3-AD36-FC52B09AE2AE}"/>
    <cellStyle name="Column-S 3 2 2" xfId="7436" xr:uid="{B37AB313-A2F8-41C0-9D5D-A4017ECA08FB}"/>
    <cellStyle name="Column-S 3 3" xfId="5983" xr:uid="{58F5E610-2396-403A-BCE8-20919F2746E2}"/>
    <cellStyle name="Column-S 3 3 2" xfId="7635" xr:uid="{902C2404-14C6-4201-A89B-7A9F250A7BBF}"/>
    <cellStyle name="Column-S 3 4" xfId="6136" xr:uid="{58DE4748-8F1C-45B0-A16B-B66ED62436D0}"/>
    <cellStyle name="Column-S 3 4 2" xfId="7786" xr:uid="{CBC2A9AC-73C4-45F6-A06E-7CB4139A4573}"/>
    <cellStyle name="Column-S 3 5" xfId="5645" xr:uid="{5A93C76D-C0D4-4A12-A958-437ECE21A7D4}"/>
    <cellStyle name="Column-S 3 5 2" xfId="7305" xr:uid="{26636A50-DA5E-4755-84CD-B017C894A9C9}"/>
    <cellStyle name="Column-S 3 6" xfId="5076" xr:uid="{C36F6032-FFC2-4B60-9253-FFEFC04861FB}"/>
    <cellStyle name="Column-S 3 6 2" xfId="6750" xr:uid="{DC5B3656-F7EF-4CD5-9797-410098B45563}"/>
    <cellStyle name="Column-S 3 7" xfId="6264" xr:uid="{F6FDF611-6997-42B3-A742-C5764D5D03CB}"/>
    <cellStyle name="Column-S 3 7 2" xfId="7911" xr:uid="{C8166A6D-FA4C-4454-8881-29048E9C6C01}"/>
    <cellStyle name="Column-S 3 8" xfId="5028" xr:uid="{EC250089-DFAB-48C0-9A0B-5F8586DA2386}"/>
    <cellStyle name="Column-S 3 8 2" xfId="6705" xr:uid="{9B996642-D7C1-4373-81DC-343EC10394CB}"/>
    <cellStyle name="Column-S 3 9" xfId="6479" xr:uid="{91AC034A-BBDD-4D3B-B2B2-8F7276F8BA87}"/>
    <cellStyle name="Column-S 4" xfId="4928" xr:uid="{FDA3F539-6751-48A3-BDD5-21C203974142}"/>
    <cellStyle name="Column-S 4 2" xfId="5918" xr:uid="{DADF9B4A-AF12-46F3-8783-AD0A86CB270F}"/>
    <cellStyle name="Column-S 4 2 2" xfId="7571" xr:uid="{60044F33-97E3-4301-B3B1-FD9030A9CD4A}"/>
    <cellStyle name="Column-S 4 3" xfId="6212" xr:uid="{02BFE8C1-7C67-439C-86AA-47EE79E07A6B}"/>
    <cellStyle name="Column-S 4 3 2" xfId="7859" xr:uid="{5A0EF555-099C-4ACC-9D27-9B6D4488A072}"/>
    <cellStyle name="Column-S 4 4" xfId="6611" xr:uid="{6695C5A5-AE63-4F72-AE8F-5D6F875EFFE2}"/>
    <cellStyle name="Column-S 5" xfId="5184" xr:uid="{8753574A-7F67-4BF2-8699-0384F50D1FE1}"/>
    <cellStyle name="Column-S 5 2" xfId="6858" xr:uid="{B2038D21-3F91-4FE1-A89B-9CC4F4D1DDFC}"/>
    <cellStyle name="Column-S 6" xfId="5290" xr:uid="{F851253C-23B4-4656-B8D4-50A386CF1AB4}"/>
    <cellStyle name="Column-S 6 2" xfId="6956" xr:uid="{BED9075C-9BB3-4115-9831-9FDAC554DC65}"/>
    <cellStyle name="Column-S 7" xfId="5708" xr:uid="{BEB2693D-53CF-4D28-9F3F-FA871E9EF175}"/>
    <cellStyle name="Column-S 7 2" xfId="7366" xr:uid="{85FBE22E-7791-4CCC-AA78-FBE6A2BFB15D}"/>
    <cellStyle name="Column-S 8" xfId="5689" xr:uid="{18B6DB89-0FF7-407D-B846-9F713364D619}"/>
    <cellStyle name="Column-S 8 2" xfId="7348" xr:uid="{D96085EE-88E6-4583-8794-1BF5ED17E1E0}"/>
    <cellStyle name="Column-S 9" xfId="4960" xr:uid="{26CD4FEB-F4A3-4FE2-886D-49EF5D994F97}"/>
    <cellStyle name="Column-S 9 2" xfId="6640" xr:uid="{F4A73AF5-5876-455D-A071-5E39A50EFDFD}"/>
    <cellStyle name="Comma" xfId="1" builtinId="3"/>
    <cellStyle name="Comma  - Style1" xfId="1476" xr:uid="{89902C6D-3E38-44EB-9B1A-3D63F374AFA7}"/>
    <cellStyle name="Comma  - Style2" xfId="1477" xr:uid="{5ECCCE56-0236-4EED-9D9C-5C03AE13E46A}"/>
    <cellStyle name="Comma  - Style3" xfId="1478" xr:uid="{B0BB221B-0A05-43B5-BD87-C632A94DE70F}"/>
    <cellStyle name="Comma  - Style4" xfId="1479" xr:uid="{329429C6-BCA8-42AB-BB86-C0CC7B3E3AE7}"/>
    <cellStyle name="Comma  - Style5" xfId="1480" xr:uid="{8881B28B-A759-49D1-94D4-0092580E6F49}"/>
    <cellStyle name="Comma  - Style6" xfId="1481" xr:uid="{B251179E-69DC-40AE-8701-EC94F75AF114}"/>
    <cellStyle name="Comma  - Style7" xfId="1482" xr:uid="{7AA81982-97CB-448F-9E83-B140C5778BDF}"/>
    <cellStyle name="Comma  - Style8" xfId="1483" xr:uid="{F0225E8B-3CE9-4DA2-9F11-35EDF0AA43D0}"/>
    <cellStyle name="comma (1)" xfId="1484" xr:uid="{EF3EFB5F-1BB3-400A-9DEF-6837C59C6F9A}"/>
    <cellStyle name="Comma [0] 2" xfId="1485" xr:uid="{8B1B1AC1-F00F-4169-A81B-AC3D9EA6F878}"/>
    <cellStyle name="Comma [00]" xfId="1486" xr:uid="{471CBFAC-00F2-4F3A-A3A4-5AC826657077}"/>
    <cellStyle name="Comma [1]" xfId="1487" xr:uid="{FDA8F542-6E5C-40A7-B926-ED04A6A9822B}"/>
    <cellStyle name="Comma 0" xfId="1488" xr:uid="{FB1D5083-48C9-47B6-A285-8E9A17C3F9FC}"/>
    <cellStyle name="Comma 0*" xfId="1489" xr:uid="{D3C5B5DB-6001-49E7-AB7A-BCC9220BFBAD}"/>
    <cellStyle name="Comma 0.00" xfId="1490" xr:uid="{BE3D2BE0-9BFB-440E-8B04-106269143683}"/>
    <cellStyle name="Comma 10" xfId="18" xr:uid="{00000000-0005-0000-0000-000002000000}"/>
    <cellStyle name="Comma 10 2" xfId="1492" xr:uid="{54E147CE-195C-4A55-90B5-6BE54FC266ED}"/>
    <cellStyle name="Comma 10 2 2" xfId="54" xr:uid="{00000000-0005-0000-0000-000003000000}"/>
    <cellStyle name="Comma 10 2 2 2" xfId="12" xr:uid="{00000000-0005-0000-0000-000004000000}"/>
    <cellStyle name="Comma 10 3" xfId="1491" xr:uid="{483E8D69-428F-448C-B760-727E097EA6D4}"/>
    <cellStyle name="Comma 11" xfId="13" xr:uid="{00000000-0005-0000-0000-000005000000}"/>
    <cellStyle name="Comma 11 2" xfId="1494" xr:uid="{CD1E1C9D-B3F2-4F12-841F-EADB49387595}"/>
    <cellStyle name="Comma 11 3" xfId="1493" xr:uid="{6CB12A4C-8F1D-48FA-A2E2-42B4DC4C6A0B}"/>
    <cellStyle name="Comma 12" xfId="52" xr:uid="{00000000-0005-0000-0000-000006000000}"/>
    <cellStyle name="Comma 12 2" xfId="1495" xr:uid="{1DF9DFD0-5EC7-45DD-97C4-1DB5F57CF2CB}"/>
    <cellStyle name="Comma 13" xfId="23" xr:uid="{00000000-0005-0000-0000-000007000000}"/>
    <cellStyle name="Comma 13 2" xfId="1496" xr:uid="{351A0A90-1778-4C69-B409-994F4F72BF59}"/>
    <cellStyle name="Comma 14" xfId="93" xr:uid="{00000000-0005-0000-0000-000008000000}"/>
    <cellStyle name="Comma 14 2" xfId="1497" xr:uid="{371FADCF-8D78-421B-9374-8E5A9B573DEE}"/>
    <cellStyle name="Comma 15" xfId="99" xr:uid="{00000000-0005-0000-0000-000009000000}"/>
    <cellStyle name="Comma 15 2" xfId="1498" xr:uid="{8869E65F-573C-4A4D-874A-3A3FB140A79B}"/>
    <cellStyle name="Comma 16" xfId="39" xr:uid="{00000000-0005-0000-0000-00000A000000}"/>
    <cellStyle name="Comma 16 2" xfId="81" xr:uid="{00000000-0005-0000-0000-00000B000000}"/>
    <cellStyle name="Comma 16 3" xfId="1499" xr:uid="{12DE386D-698E-4272-8479-921D83C4A9D2}"/>
    <cellStyle name="Comma 17" xfId="115" xr:uid="{00000000-0005-0000-0000-00000C000000}"/>
    <cellStyle name="Comma 17 2" xfId="1500" xr:uid="{9365E4A1-BFE4-42A5-A9C2-3410FF9F7DAE}"/>
    <cellStyle name="Comma 18" xfId="41" xr:uid="{00000000-0005-0000-0000-00000D000000}"/>
    <cellStyle name="Comma 18 2" xfId="118" xr:uid="{00000000-0005-0000-0000-00000E000000}"/>
    <cellStyle name="Comma 18 3" xfId="1501" xr:uid="{F9A63BE1-5D29-4E1A-AE17-FB5CC3AD6F5B}"/>
    <cellStyle name="Comma 19" xfId="114" xr:uid="{00000000-0005-0000-0000-00000F000000}"/>
    <cellStyle name="Comma 19 2" xfId="1502" xr:uid="{B03B68C1-BD13-4B32-8D79-C86F86180C1C}"/>
    <cellStyle name="Comma 2" xfId="21" xr:uid="{00000000-0005-0000-0000-000010000000}"/>
    <cellStyle name="Comma 2 2" xfId="60" xr:uid="{00000000-0005-0000-0000-000011000000}"/>
    <cellStyle name="Comma 2 2 12" xfId="108" xr:uid="{00000000-0005-0000-0000-000012000000}"/>
    <cellStyle name="Comma 2 2 2" xfId="14" xr:uid="{00000000-0005-0000-0000-000013000000}"/>
    <cellStyle name="Comma 2 2 2 2" xfId="31" xr:uid="{00000000-0005-0000-0000-000014000000}"/>
    <cellStyle name="Comma 2 2 3" xfId="1503" xr:uid="{96401282-37DE-4FEF-9968-EFE6C69777E1}"/>
    <cellStyle name="Comma 2 3" xfId="35" xr:uid="{00000000-0005-0000-0000-000015000000}"/>
    <cellStyle name="Comma 2 3 2" xfId="44" xr:uid="{00000000-0005-0000-0000-000016000000}"/>
    <cellStyle name="Comma 2 3 3" xfId="73" xr:uid="{00000000-0005-0000-0000-000017000000}"/>
    <cellStyle name="Comma 2 3 4" xfId="1504" xr:uid="{738BDABA-8508-45CA-A5A1-149979C14565}"/>
    <cellStyle name="Comma 2 4" xfId="6" xr:uid="{00000000-0005-0000-0000-000018000000}"/>
    <cellStyle name="Comma 2 4 2" xfId="1505" xr:uid="{4BE35CAC-7945-4353-8649-06F89A2B40C8}"/>
    <cellStyle name="Comma 2 5" xfId="110" xr:uid="{00000000-0005-0000-0000-000019000000}"/>
    <cellStyle name="Comma 2 6" xfId="123" xr:uid="{09EAABA0-C16A-4B52-8B9D-8FE2B89FF1B1}"/>
    <cellStyle name="Comma 2*" xfId="1506" xr:uid="{D5C8E42E-8EAB-4F5A-8DFA-2DF6E7A83138}"/>
    <cellStyle name="Comma 2_05_01_09_Global" xfId="1507" xr:uid="{A4E94E47-6DE9-45E2-87F2-E4542708B2C8}"/>
    <cellStyle name="Comma 20" xfId="1508" xr:uid="{93B7F9FD-1A12-476B-B08A-4EC99CF16611}"/>
    <cellStyle name="Comma 21" xfId="1509" xr:uid="{DFBCF04D-603D-4CC7-A847-F4006D38E9BD}"/>
    <cellStyle name="Comma 22" xfId="1510" xr:uid="{71FA2761-B232-482B-88F0-A23E629D4BDB}"/>
    <cellStyle name="Comma 23" xfId="1511" xr:uid="{5ACF826C-761C-49E9-B528-1F0E762101D4}"/>
    <cellStyle name="Comma 24" xfId="1512" xr:uid="{BBC76BB9-9B81-4826-A783-0521D308B471}"/>
    <cellStyle name="Comma 25" xfId="1513" xr:uid="{16A74302-22AF-409C-8E1E-89A7312F6FC8}"/>
    <cellStyle name="Comma 26" xfId="1514" xr:uid="{87E88B51-B34C-42A4-AC28-DEFF2C05433D}"/>
    <cellStyle name="Comma 27" xfId="1515" xr:uid="{7ECD0384-F173-4FD2-8307-6AC48777A805}"/>
    <cellStyle name="Comma 28" xfId="1516" xr:uid="{F620480C-CA4D-4AD4-AF1A-874CF564FA66}"/>
    <cellStyle name="Comma 29" xfId="1517" xr:uid="{817F54D0-5C32-48CC-B498-6931919E20C4}"/>
    <cellStyle name="Comma 3" xfId="26" xr:uid="{00000000-0005-0000-0000-00001A000000}"/>
    <cellStyle name="Comma 3 2" xfId="9" xr:uid="{00000000-0005-0000-0000-00001B000000}"/>
    <cellStyle name="Comma 3 2 2" xfId="86" xr:uid="{00000000-0005-0000-0000-00001C000000}"/>
    <cellStyle name="Comma 3 2 2 2" xfId="1519" xr:uid="{E14B3398-E7B6-47F5-8E2B-6429FE050169}"/>
    <cellStyle name="Comma 3 2 3" xfId="1518" xr:uid="{03F1FB76-4C96-4587-A9C7-ECC6F3B24503}"/>
    <cellStyle name="Comma 3 3" xfId="50" xr:uid="{00000000-0005-0000-0000-00001D000000}"/>
    <cellStyle name="Comma 3 3 2" xfId="1521" xr:uid="{416BD037-DC98-4BCD-A156-25E05F26D7EB}"/>
    <cellStyle name="Comma 3 3 3" xfId="1520" xr:uid="{1CBEB34D-53F8-4102-A36A-62AC938F753D}"/>
    <cellStyle name="Comma 3 4" xfId="58" xr:uid="{00000000-0005-0000-0000-00001E000000}"/>
    <cellStyle name="Comma 3 4 2" xfId="1522" xr:uid="{65568E30-6927-441B-8DBD-3D368D9C6113}"/>
    <cellStyle name="Comma 3 5" xfId="37" xr:uid="{00000000-0005-0000-0000-00001F000000}"/>
    <cellStyle name="Comma 3 6" xfId="138" xr:uid="{FDD53007-F697-4578-AF85-DB8E8F87A2FB}"/>
    <cellStyle name="Comma 3*" xfId="1523" xr:uid="{5A01D4BE-4540-4FB1-954D-37B8803E0E3F}"/>
    <cellStyle name="Comma 30" xfId="1524" xr:uid="{ABD3DB8D-6D70-476C-9E53-4D465FB4B413}"/>
    <cellStyle name="Comma 31" xfId="1525" xr:uid="{E4643739-A10E-4E4B-AF8F-E3828C84EBFF}"/>
    <cellStyle name="Comma 32" xfId="1526" xr:uid="{42ACF224-46AB-4AC3-91A9-7EA824DAE093}"/>
    <cellStyle name="Comma 33" xfId="4725" xr:uid="{74CFE698-F414-483B-90F5-600404738E35}"/>
    <cellStyle name="Comma 34" xfId="4728" xr:uid="{81FD65E9-7E88-48CA-B04F-41D4EFC22D83}"/>
    <cellStyle name="Comma 35" xfId="1835" xr:uid="{54521916-5AC6-4AEA-865E-442E988176CD}"/>
    <cellStyle name="Comma 36" xfId="4854" xr:uid="{86B4AC3D-FB98-423F-B05E-AF0BEA72BB35}"/>
    <cellStyle name="Comma 37" xfId="4864" xr:uid="{4A84FF6D-1BED-4468-9760-8F6DDEA68394}"/>
    <cellStyle name="Comma 38" xfId="4956" xr:uid="{C8C36DD8-3F72-4494-9652-36A1FCD2EFA9}"/>
    <cellStyle name="Comma 39" xfId="4957" xr:uid="{3F03F571-B6B1-402F-BDB2-D8E886129CC1}"/>
    <cellStyle name="Comma 4" xfId="62" xr:uid="{00000000-0005-0000-0000-000020000000}"/>
    <cellStyle name="Comma 4 2" xfId="4" xr:uid="{00000000-0005-0000-0000-000021000000}"/>
    <cellStyle name="Comma 4 2 2" xfId="107" xr:uid="{00000000-0005-0000-0000-000022000000}"/>
    <cellStyle name="Comma 4 2 2 2" xfId="1529" xr:uid="{AF81107B-DE0A-45B8-BE44-FE3F34EADB55}"/>
    <cellStyle name="Comma 4 2 3" xfId="1528" xr:uid="{DF4C6D2F-E001-42AD-B29C-E0D49BB496F9}"/>
    <cellStyle name="Comma 4 3" xfId="85" xr:uid="{00000000-0005-0000-0000-000023000000}"/>
    <cellStyle name="Comma 4 4" xfId="1527" xr:uid="{E627798C-27D9-4326-B354-0AD7654AF065}"/>
    <cellStyle name="Comma 40" xfId="5687" xr:uid="{7A53E15B-5F29-46EF-B634-C95DCFC02F79}"/>
    <cellStyle name="Comma 41" xfId="5704" xr:uid="{CE903C51-3324-4D51-97F1-EA8C969FF7B9}"/>
    <cellStyle name="Comma 42" xfId="5277" xr:uid="{93720BC3-6AE7-425B-9247-FC39E6DC560F}"/>
    <cellStyle name="Comma 43" xfId="5579" xr:uid="{EA98224A-3199-46C7-81FF-9651C790C591}"/>
    <cellStyle name="Comma 5" xfId="69" xr:uid="{00000000-0005-0000-0000-000024000000}"/>
    <cellStyle name="Comma 5 2" xfId="32" xr:uid="{00000000-0005-0000-0000-000025000000}"/>
    <cellStyle name="Comma 5 2 2" xfId="75" xr:uid="{00000000-0005-0000-0000-000026000000}"/>
    <cellStyle name="Comma 5 2 3" xfId="1531" xr:uid="{D98C731A-9B5A-4B7F-99AE-F61F4726EAA3}"/>
    <cellStyle name="Comma 5 3" xfId="100" xr:uid="{00000000-0005-0000-0000-000027000000}"/>
    <cellStyle name="Comma 5 4" xfId="1530" xr:uid="{22E92FD4-FCC8-4F1E-9BF3-A6560B795021}"/>
    <cellStyle name="Comma 6" xfId="72" xr:uid="{00000000-0005-0000-0000-000028000000}"/>
    <cellStyle name="Comma 6 2" xfId="1533" xr:uid="{0722F325-FB06-454A-9E25-E8721E14911B}"/>
    <cellStyle name="Comma 6 2 2" xfId="1534" xr:uid="{ECACE238-F56B-4FBC-8A71-ED3610B4A4BF}"/>
    <cellStyle name="Comma 6 2 2 2" xfId="1535" xr:uid="{5C2ACD04-F6D7-43F6-BA9F-044E937E4D80}"/>
    <cellStyle name="Comma 6 2 2 3" xfId="1536" xr:uid="{2A64C2FB-45BC-44F4-9D62-51B20B7C43CD}"/>
    <cellStyle name="Comma 6 2 2 3 2" xfId="1537" xr:uid="{EEDAAF52-4C9D-4A96-A697-710B6DF5AEE0}"/>
    <cellStyle name="Comma 6 2 2 3 2 2" xfId="1538" xr:uid="{917AB1A4-3798-4692-8C51-AC3EF28285AB}"/>
    <cellStyle name="Comma 6 2 3" xfId="1539" xr:uid="{2D9BE7EE-D39A-4733-96DE-1547A6466B54}"/>
    <cellStyle name="Comma 6 3" xfId="1540" xr:uid="{2B21E09E-456A-4F2B-B71F-A891FCA8E8C9}"/>
    <cellStyle name="Comma 6 4" xfId="1541" xr:uid="{AAF03506-AFC1-4474-B3BD-57E762BAE27F}"/>
    <cellStyle name="Comma 6 5" xfId="1532" xr:uid="{854EE103-49EE-4D41-B0C9-C4BD87CFC5B9}"/>
    <cellStyle name="Comma 7" xfId="16" xr:uid="{00000000-0005-0000-0000-000029000000}"/>
    <cellStyle name="Comma 7 2" xfId="20" xr:uid="{00000000-0005-0000-0000-00002A000000}"/>
    <cellStyle name="Comma 7 2 2" xfId="120" xr:uid="{00000000-0005-0000-0000-00002B000000}"/>
    <cellStyle name="Comma 8" xfId="46" xr:uid="{00000000-0005-0000-0000-00002C000000}"/>
    <cellStyle name="Comma 8 2" xfId="78" xr:uid="{00000000-0005-0000-0000-00002D000000}"/>
    <cellStyle name="Comma 8 3" xfId="1542" xr:uid="{76170297-54DA-4355-8783-3D34F37CAE92}"/>
    <cellStyle name="Comma 9" xfId="83" xr:uid="{00000000-0005-0000-0000-00002E000000}"/>
    <cellStyle name="Comma 9 2" xfId="122" xr:uid="{00000000-0005-0000-0000-00002F000000}"/>
    <cellStyle name="Comma 9 3" xfId="1543" xr:uid="{94D3B95E-EE61-478B-AFAD-AE7F510496A5}"/>
    <cellStyle name="Comma Enter" xfId="1544" xr:uid="{0B09388F-257C-4FB9-B166-68690A63FBC7}"/>
    <cellStyle name="Comma Input" xfId="1545" xr:uid="{96420EC6-2415-4812-8F4E-DF1F7C44904B}"/>
    <cellStyle name="Comma Output" xfId="1546" xr:uid="{2492B7D3-05D3-45B9-96FA-44D5EE2469EE}"/>
    <cellStyle name="Comma*" xfId="1547" xr:uid="{B432ED6F-477F-4C69-AE40-1ABDE1D90B13}"/>
    <cellStyle name="comma[0]" xfId="1548" xr:uid="{1DB1014D-8013-44C1-A88D-7C42C0750B55}"/>
    <cellStyle name="Comma0" xfId="1549" xr:uid="{3A7B9865-FDC7-4BE4-8D42-4C6337D3D2D7}"/>
    <cellStyle name="comma2" xfId="1550" xr:uid="{55710343-73BA-430A-95F3-69A867BD0079}"/>
    <cellStyle name="commas" xfId="1551" xr:uid="{153CEA11-1F5D-472A-83EB-F498F68B3637}"/>
    <cellStyle name="Comment" xfId="1552" xr:uid="{7EE16652-801B-4B71-8FBE-A2718BA50A9E}"/>
    <cellStyle name="Comment 2" xfId="1553" xr:uid="{2C217689-EBD1-409A-8FFB-65AD985FFA1F}"/>
    <cellStyle name="Comment 2 2" xfId="4907" xr:uid="{645DE614-DDD3-4073-AB88-3043E3D68B75}"/>
    <cellStyle name="Comment 3" xfId="4906" xr:uid="{7C9BA313-0D31-44D0-9497-657BC067E030}"/>
    <cellStyle name="Copied" xfId="1554" xr:uid="{EDB91D69-3C81-4482-B418-4C4FDA3F717F}"/>
    <cellStyle name="corsivo" xfId="1555" xr:uid="{69B82392-8077-4461-8118-C2FB9937D346}"/>
    <cellStyle name="Curren - Style3" xfId="1556" xr:uid="{392A2C24-0582-49F5-ABBF-0052153A1A25}"/>
    <cellStyle name="Curren - Style4" xfId="1557" xr:uid="{558B466B-AB62-48A1-A527-83FA408AB302}"/>
    <cellStyle name="Currency (1)" xfId="1558" xr:uid="{C2C81171-C180-4F43-B0B0-24DC5A3D2D1D}"/>
    <cellStyle name="Currency [0.00]" xfId="1559" xr:uid="{E3954DA5-6670-4CFC-AFE3-540344C63FE7}"/>
    <cellStyle name="Currency [00]" xfId="1560" xr:uid="{658F6E7A-4C1E-46D0-A6E1-758372D8C7EA}"/>
    <cellStyle name="Currency [1]" xfId="1561" xr:uid="{195CCFE2-A55A-412C-9FED-F123C2148CF6}"/>
    <cellStyle name="Currency [2]" xfId="1562" xr:uid="{771E505B-35C7-48F3-B965-3B9B69798DA1}"/>
    <cellStyle name="Currency [2] 2" xfId="4759" xr:uid="{4C4B8443-6FED-4EF6-A873-50F404165746}"/>
    <cellStyle name="Currency [2] 2 2" xfId="5754" xr:uid="{5B679753-1536-4DB5-8FE6-4BB58A39E108}"/>
    <cellStyle name="Currency [2] 2 2 2" xfId="7407" xr:uid="{BC34954C-762C-4EC6-ADBC-64BEB3AF3BCC}"/>
    <cellStyle name="Currency [2] 2 3" xfId="5961" xr:uid="{0749BBF1-9A90-45CE-A059-32C29551C9CB}"/>
    <cellStyle name="Currency [2] 2 3 2" xfId="7614" xr:uid="{ED293DA1-7CBA-4B00-BC46-06135B3454CD}"/>
    <cellStyle name="Currency [2] 2 4" xfId="5409" xr:uid="{31C9E1CD-C563-43A4-9C5C-DBF5C93D87DC}"/>
    <cellStyle name="Currency [2] 2 4 2" xfId="7073" xr:uid="{F2AE9F2C-0F44-4EBF-A3BD-DA289A0FEC88}"/>
    <cellStyle name="Currency [2] 2 5" xfId="6450" xr:uid="{F31600EE-8B67-4672-88A6-CD94736AA983}"/>
    <cellStyle name="Currency [2] 3" xfId="4927" xr:uid="{629D49B7-ED1A-45F0-989C-B07DAC65015C}"/>
    <cellStyle name="Currency [2] 3 2" xfId="5917" xr:uid="{69664E79-C1EE-449C-B88E-F0D0132D4C94}"/>
    <cellStyle name="Currency [2] 3 2 2" xfId="7570" xr:uid="{17CC86DD-3172-4B8C-A865-24900F5B6B72}"/>
    <cellStyle name="Currency [2] 3 3" xfId="6105" xr:uid="{127167B9-DBF6-4921-A224-127BD8927600}"/>
    <cellStyle name="Currency [2] 3 3 2" xfId="7756" xr:uid="{27FD5D09-707F-4F54-BC15-B58603118E23}"/>
    <cellStyle name="Currency [2] 3 4" xfId="6211" xr:uid="{2303C73B-D261-4E23-BBF0-6FC076BC9165}"/>
    <cellStyle name="Currency [2] 3 4 2" xfId="7858" xr:uid="{CC149B2B-0604-4756-989D-CA01B0E76523}"/>
    <cellStyle name="Currency [2] 3 5" xfId="6610" xr:uid="{09DE8709-3D5E-4510-BD42-14B4B2F78EBE}"/>
    <cellStyle name="Currency [2] 4" xfId="5199" xr:uid="{7517863C-A32D-43C6-9931-9DC8F609164E}"/>
    <cellStyle name="Currency [2] 4 2" xfId="6873" xr:uid="{5BE67644-B229-4911-B77D-A145B0B7E9EE}"/>
    <cellStyle name="Currency [2] 5" xfId="5276" xr:uid="{9C290E89-BA53-435D-9E0D-C60074AFC3F4}"/>
    <cellStyle name="Currency [2] 5 2" xfId="6943" xr:uid="{A6C7172F-9D7F-4CDE-BB85-12B9D956D294}"/>
    <cellStyle name="Currency [2] 6" xfId="4967" xr:uid="{24B4F80F-455D-4DDA-B426-4AFBF61E2643}"/>
    <cellStyle name="Currency [2] 6 2" xfId="6647" xr:uid="{26FBDD4B-0A7D-4D68-B4B0-0CDD8AFBEBB2}"/>
    <cellStyle name="Currency [2] 7" xfId="6367" xr:uid="{3D8673A7-B896-47EA-BFB7-35628AC179B5}"/>
    <cellStyle name="Currency 0" xfId="1563" xr:uid="{D19D0CE0-5A47-4F6F-AF73-FED0DFED0781}"/>
    <cellStyle name="Currency 0.00" xfId="1564" xr:uid="{DE5BCDA3-D7C1-4E35-A3B9-1FA326D61074}"/>
    <cellStyle name="Currency 2" xfId="124" xr:uid="{1C97389A-9852-4DCC-B818-D17D92226A50}"/>
    <cellStyle name="Currency 2 2" xfId="1565" xr:uid="{41F9BBA8-E91B-4862-8363-B6EF31DCB42C}"/>
    <cellStyle name="Currency 2*" xfId="1566" xr:uid="{4BDB8772-CED1-440F-AFBC-4041E9D9F00A}"/>
    <cellStyle name="Currency 2_05_01_09_Global" xfId="1567" xr:uid="{CA83358F-80B3-43D6-A83F-5B2C53FDB24E}"/>
    <cellStyle name="Currency 3" xfId="140" xr:uid="{B8E13C55-2697-4FCF-A3D5-74CBF2DFA398}"/>
    <cellStyle name="Currency 3 2" xfId="1568" xr:uid="{2CA4E60F-CC49-4C04-B973-60D7A9E14DE2}"/>
    <cellStyle name="Currency 3*" xfId="1569" xr:uid="{0705DD94-0393-4B08-AB70-99ADD33B75B1}"/>
    <cellStyle name="Currency 4" xfId="1570" xr:uid="{5CEAFBB0-E52F-480E-86BA-2F01B1157A0B}"/>
    <cellStyle name="Currency 5" xfId="1571" xr:uid="{85BBB4F3-A1A2-43AE-AAD4-222AC5CD9541}"/>
    <cellStyle name="Currency Input" xfId="1572" xr:uid="{028EA1DE-E539-4B13-A44B-746D4D1E267E}"/>
    <cellStyle name="Currency*" xfId="1573" xr:uid="{49F33E19-82C2-4D0D-8758-261E6A2244CA}"/>
    <cellStyle name="Currency0" xfId="1574" xr:uid="{19826EA5-7D9C-44A6-AAF7-D4E0A8D8F583}"/>
    <cellStyle name="Currency2" xfId="1575" xr:uid="{7ADEB57D-C274-4521-81EC-7784C3C8E52C}"/>
    <cellStyle name="Currency-Denomination" xfId="125" xr:uid="{71BC5ED0-3E3D-4BC8-A37F-5F2E523F605D}"/>
    <cellStyle name="Currgncy [0]_VC" xfId="1576" xr:uid="{09640FF7-2FE4-4834-813E-8433282D88DB}"/>
    <cellStyle name="D.C.R." xfId="1577" xr:uid="{C014894C-9030-4C66-ACC6-F065E6C80CD5}"/>
    <cellStyle name="Dash" xfId="1578" xr:uid="{69114F43-6A93-46FB-B39F-38CD9177B3AA}"/>
    <cellStyle name="DATE" xfId="1579" xr:uid="{F5E0DC8F-155B-4750-B2B7-FBD00C4570DD}"/>
    <cellStyle name="Date [D-M-Y]" xfId="1580" xr:uid="{EA4A6FAB-6414-46ED-8E6B-48DAA29E1971}"/>
    <cellStyle name="Date [M-Y]" xfId="1581" xr:uid="{2C8254FB-503C-4592-B3F8-FB82E6697A2A}"/>
    <cellStyle name="Date Aligned" xfId="1582" xr:uid="{97D79CE8-60B8-4024-BBF2-190D74697FD2}"/>
    <cellStyle name="Date Aligned*" xfId="1583" xr:uid="{D7B7E8CA-BAF4-49F5-9A34-2B7AB9C8C2CF}"/>
    <cellStyle name="Date Short" xfId="1584" xr:uid="{0497B914-0F72-4593-BFC2-BFC6B84D6610}"/>
    <cellStyle name="DATE_05_01_09_Global" xfId="1585" xr:uid="{68A66D2F-FF83-4CFD-AC1C-5964E257E3AE}"/>
    <cellStyle name="Datum" xfId="1586" xr:uid="{2C7DC1A4-D48B-4CAF-AEE7-0FEEE26BA2B4}"/>
    <cellStyle name="david % 0.0" xfId="1587" xr:uid="{9129721D-4D51-4EE2-9BA8-AD632FEEAB72}"/>
    <cellStyle name="david 01" xfId="1588" xr:uid="{133BFAFE-201D-46F7-8473-843192EB1B13}"/>
    <cellStyle name="decimal 0" xfId="1589" xr:uid="{4EA7EE3A-8DF5-4CBD-B0B6-33C5FD4BC7C3}"/>
    <cellStyle name="decimal 1" xfId="1590" xr:uid="{23FC9971-FA6A-448E-B184-4FCE512D4A3A}"/>
    <cellStyle name="Decimal_0dp" xfId="126" xr:uid="{B8BA523E-0D9F-4866-81FF-4294EE247B05}"/>
    <cellStyle name="Del" xfId="1591" xr:uid="{8D900BD0-7EC8-4D0A-8DD8-E8548CB990E5}"/>
    <cellStyle name="DELTA" xfId="1592" xr:uid="{32B9FA48-AFE1-417D-AD66-448397F67A4F}"/>
    <cellStyle name="Des." xfId="1593" xr:uid="{C093BB23-97FE-4D9A-8292-3B50117AAF9B}"/>
    <cellStyle name="des_gras" xfId="1594" xr:uid="{394DC774-1CDB-4006-9EBB-C8A638F6EE0C}"/>
    <cellStyle name="Dex Doub Line" xfId="1595" xr:uid="{B39BC48D-DAB9-4F78-AFC8-520B03F90A50}"/>
    <cellStyle name="Dex Doub Line 2" xfId="4760" xr:uid="{7D0FABF0-B894-4709-B1F5-D4F28DA6236B}"/>
    <cellStyle name="Dex Doub Line 2 2" xfId="5755" xr:uid="{F40A4B46-37C6-4018-87F1-F6FF8E9F730E}"/>
    <cellStyle name="Dex Doub Line 2 2 2" xfId="7408" xr:uid="{9DD66D55-D318-435E-AC54-A123A8600C17}"/>
    <cellStyle name="Dex Doub Line 2 3" xfId="5962" xr:uid="{57CA91E8-65CB-414C-95BF-2793E147C784}"/>
    <cellStyle name="Dex Doub Line 2 3 2" xfId="7615" xr:uid="{ED2F5CA0-32D7-465B-9A4F-AD1A7DB92F74}"/>
    <cellStyle name="Dex Doub Line 2 4" xfId="5410" xr:uid="{49D45507-6354-408D-86F8-886ABDCDEC99}"/>
    <cellStyle name="Dex Doub Line 2 4 2" xfId="7074" xr:uid="{15E3C3E9-B9E2-4B63-8833-46F606290325}"/>
    <cellStyle name="Dex Doub Line 2 5" xfId="6451" xr:uid="{BA095947-CE87-488D-B116-BFEAD187A931}"/>
    <cellStyle name="Dex Doub Line 3" xfId="4926" xr:uid="{8A0093ED-5878-4AA0-8C07-1DFC01C8C3F0}"/>
    <cellStyle name="Dex Doub Line 3 2" xfId="5916" xr:uid="{D8A3397B-7153-4A80-B784-D6EB35F2EF04}"/>
    <cellStyle name="Dex Doub Line 3 2 2" xfId="7569" xr:uid="{88FFF8BB-D536-46C0-9385-10220539E842}"/>
    <cellStyle name="Dex Doub Line 3 3" xfId="6104" xr:uid="{B4B7B119-FD7F-4CAA-8B59-CE03992EB344}"/>
    <cellStyle name="Dex Doub Line 3 3 2" xfId="7755" xr:uid="{F3C3598E-D65B-4ED4-8BB5-F9310135E6ED}"/>
    <cellStyle name="Dex Doub Line 3 4" xfId="6210" xr:uid="{B1F5D899-1C69-4405-8919-A356D986D4BB}"/>
    <cellStyle name="Dex Doub Line 3 4 2" xfId="7857" xr:uid="{DD36C700-A09E-4432-8433-7E80F1F62022}"/>
    <cellStyle name="Dex Doub Line 3 5" xfId="6609" xr:uid="{C8C886BA-A110-4430-A206-9F4DA9B17AD3}"/>
    <cellStyle name="Dex Doub Line 4" xfId="5206" xr:uid="{C2E5C1FD-B24C-419E-B06A-1672A999C0A8}"/>
    <cellStyle name="Dex Doub Line 4 2" xfId="6877" xr:uid="{DFD3342C-37AD-45BB-A2B2-9979EBD3B572}"/>
    <cellStyle name="Dex Doub Line 5" xfId="5274" xr:uid="{7EA5DA83-60C5-4ECA-8621-1AEFD5DAD2A2}"/>
    <cellStyle name="Dex Doub Line 5 2" xfId="6941" xr:uid="{39B16B6A-4B13-4568-A90D-C215D7ED6809}"/>
    <cellStyle name="Dex Doub Line 6" xfId="6162" xr:uid="{881D023F-2CC1-4694-BCBB-11D9F1219708}"/>
    <cellStyle name="Dex Doub Line 6 2" xfId="7812" xr:uid="{96752798-CC28-4E0D-AACE-6593595EC315}"/>
    <cellStyle name="Dex Doub Line 7" xfId="6368" xr:uid="{D4890923-242F-48A5-ABCF-CB427B9BA767}"/>
    <cellStyle name="Dezimal [0]_Central Install 6-up" xfId="1596" xr:uid="{F8FAA542-11A7-4047-8816-D31B313208AF}"/>
    <cellStyle name="Dezimal_Central Install 6-up" xfId="1597" xr:uid="{AF60CE67-E813-484A-9035-8950D0C8B91C}"/>
    <cellStyle name="dollar" xfId="1598" xr:uid="{25F86C6B-2905-4C44-BD12-B01090984E4C}"/>
    <cellStyle name="dollar[0]" xfId="1599" xr:uid="{5DDFD294-65DF-484C-B14C-0D20368F80EB}"/>
    <cellStyle name="dollar0" xfId="1600" xr:uid="{EC0C6102-2658-43D8-A41E-77F14C67B6F8}"/>
    <cellStyle name="Dollars" xfId="1601" xr:uid="{28517582-315B-430A-98B3-ADB1D23B8B96}"/>
    <cellStyle name="Dotted Line" xfId="1602" xr:uid="{11C9A832-FA89-4D2D-A852-69E49F456D8A}"/>
    <cellStyle name="Dotted Line 2" xfId="4761" xr:uid="{0531882C-DFA3-4F12-8CA2-7C3A920773C2}"/>
    <cellStyle name="Double Accounting" xfId="1603" xr:uid="{16D25CBD-21C7-4AE0-AFA7-38FC897F1572}"/>
    <cellStyle name="DropDown" xfId="1604" xr:uid="{0AFD3E9B-4522-4C33-9871-D5DD8B95D17D}"/>
    <cellStyle name="Eingabe" xfId="1605" xr:uid="{8EBCAB10-52CB-40C5-B9BD-FD3465470504}"/>
    <cellStyle name="Eingabe 10" xfId="4970" xr:uid="{FD6C4484-3D4C-46C0-BB76-88FA3C6A88C3}"/>
    <cellStyle name="Eingabe 10 2" xfId="6650" xr:uid="{4212C82E-1E4A-4557-B42A-F1725A3EC648}"/>
    <cellStyle name="Eingabe 11" xfId="4965" xr:uid="{715ACDE2-B285-4B92-8B7A-6A25207D2E00}"/>
    <cellStyle name="Eingabe 11 2" xfId="6645" xr:uid="{EAC6B7C2-DACC-4A7B-9EB8-C18FA7B588A7}"/>
    <cellStyle name="Eingabe 2" xfId="4762" xr:uid="{2A303965-49E7-4834-AD02-5A6CD58CD19E}"/>
    <cellStyle name="Eingabe 2 2" xfId="5756" xr:uid="{DAE86623-6825-4148-B361-3A6604D92D0E}"/>
    <cellStyle name="Eingabe 2 2 2" xfId="7409" xr:uid="{F3C086C9-0807-4420-B6C7-E9B1A9DC5660}"/>
    <cellStyle name="Eingabe 2 3" xfId="5963" xr:uid="{55A9B28F-B449-4F55-9AC0-9BAC8AA7B6B4}"/>
    <cellStyle name="Eingabe 2 3 2" xfId="7616" xr:uid="{C465C0DD-7386-4845-BD83-05FD59F56585}"/>
    <cellStyle name="Eingabe 2 4" xfId="5411" xr:uid="{9740EC21-10AF-433A-AB23-DC1F5074B478}"/>
    <cellStyle name="Eingabe 2 4 2" xfId="7075" xr:uid="{2BD18686-7454-4447-BA6B-5F08EA87D864}"/>
    <cellStyle name="Eingabe 2 5" xfId="6249" xr:uid="{56AC2DA1-E28A-4490-99CF-ED5212ACC245}"/>
    <cellStyle name="Eingabe 2 5 2" xfId="7896" xr:uid="{BB7342F4-C112-42AC-B922-D8AF57C17DF4}"/>
    <cellStyle name="Eingabe 2 6" xfId="6452" xr:uid="{50A07D21-12FE-41EE-9E2A-697279ED6397}"/>
    <cellStyle name="Eingabe 3" xfId="4788" xr:uid="{85B8B34C-7688-4F09-A03B-5DE31ADF1931}"/>
    <cellStyle name="Eingabe 3 2" xfId="5782" xr:uid="{3949CEA4-5503-42D9-8294-DDAF92BA5220}"/>
    <cellStyle name="Eingabe 3 2 2" xfId="7435" xr:uid="{D5A41FF7-6259-4BBD-912F-F912E6678494}"/>
    <cellStyle name="Eingabe 3 3" xfId="5982" xr:uid="{DA6BF0A4-7CDE-4AD4-8337-C26A8AE8D457}"/>
    <cellStyle name="Eingabe 3 3 2" xfId="7634" xr:uid="{C167CC2D-ECA0-4643-AE4C-5C36F3170E24}"/>
    <cellStyle name="Eingabe 3 4" xfId="5426" xr:uid="{2930BA26-474C-4D5F-A159-562E045F87F3}"/>
    <cellStyle name="Eingabe 3 4 2" xfId="7090" xr:uid="{3CD23D8C-E13E-40E1-99F3-A231829F9F7C}"/>
    <cellStyle name="Eingabe 3 5" xfId="6478" xr:uid="{A40AC3CB-E909-4F5F-A621-B650BF236254}"/>
    <cellStyle name="Eingabe 4" xfId="4925" xr:uid="{A06CC8DC-7719-4794-AF89-E56EE80DEDA2}"/>
    <cellStyle name="Eingabe 4 2" xfId="5915" xr:uid="{B3D2E398-0216-4292-9AAB-90CF04AD8B26}"/>
    <cellStyle name="Eingabe 4 2 2" xfId="7568" xr:uid="{08D7073B-844F-4CC9-9644-7A9BE5B71E3A}"/>
    <cellStyle name="Eingabe 4 3" xfId="6103" xr:uid="{70C02049-5B83-4048-B287-CBEFF991E875}"/>
    <cellStyle name="Eingabe 4 3 2" xfId="7754" xr:uid="{5782727D-C5D7-4E5C-84DD-6F829D05AE36}"/>
    <cellStyle name="Eingabe 4 4" xfId="6209" xr:uid="{0BAF7836-B41D-443E-8F81-35CD7AECB5C5}"/>
    <cellStyle name="Eingabe 4 4 2" xfId="7856" xr:uid="{7CBD06AA-F057-41DD-A7B5-68860C43C774}"/>
    <cellStyle name="Eingabe 4 5" xfId="6608" xr:uid="{D0D5C560-5E9C-4733-8A35-F4142F167D99}"/>
    <cellStyle name="Eingabe 5" xfId="5207" xr:uid="{C2FBD97F-C0BF-4E42-A80E-E36E31AF8417}"/>
    <cellStyle name="Eingabe 5 2" xfId="6878" xr:uid="{9047EF6E-A539-40C7-8D6D-6F24484B3628}"/>
    <cellStyle name="Eingabe 6" xfId="5272" xr:uid="{BC1DC78A-52C3-41BE-8C05-5014FC3BE52F}"/>
    <cellStyle name="Eingabe 6 2" xfId="6939" xr:uid="{88461FFD-6FAD-4A4B-83AB-8BF03A748169}"/>
    <cellStyle name="Eingabe 7" xfId="5266" xr:uid="{E2374A51-C2EC-433A-80E3-0956C6105E83}"/>
    <cellStyle name="Eingabe 7 2" xfId="6933" xr:uid="{319D76AE-DA0F-4646-AB6B-AF5E07F30FF7}"/>
    <cellStyle name="Eingabe 8" xfId="5252" xr:uid="{087EDA83-D2F0-4687-B51A-43E7B10C4727}"/>
    <cellStyle name="Eingabe 8 2" xfId="6919" xr:uid="{6D7912F0-328A-420F-9DDA-41B250EE708F}"/>
    <cellStyle name="Eingabe 9" xfId="5229" xr:uid="{61000E72-0915-4C0E-8C91-71A3BA401211}"/>
    <cellStyle name="Eingabe 9 2" xfId="6898" xr:uid="{6C757B69-565D-42E1-AE2F-706F45576694}"/>
    <cellStyle name="Enter Currency (0)" xfId="1606" xr:uid="{18F5E10D-8E02-4459-B472-B1ACEB27F103}"/>
    <cellStyle name="Enter Currency (2)" xfId="1607" xr:uid="{B85EC9A5-DBDA-4AAA-AE36-CE6D7FBAC5C2}"/>
    <cellStyle name="Enter Units (0)" xfId="1608" xr:uid="{1AF7BC9B-1617-4402-8A0A-228BCD52644D}"/>
    <cellStyle name="Enter Units (1)" xfId="1609" xr:uid="{9F938A3C-68CE-4F63-AD70-E40B37AFB064}"/>
    <cellStyle name="Enter Units (2)" xfId="1610" xr:uid="{2B8D6310-9914-4E62-8F04-DDF2F8781902}"/>
    <cellStyle name="ENTER_DATA" xfId="1611" xr:uid="{01FB6CEF-0587-489D-8932-B43B19CC8239}"/>
    <cellStyle name="Entered" xfId="1612" xr:uid="{F9CFD148-6D94-4BAF-9D9A-6788467FF60F}"/>
    <cellStyle name="eps" xfId="1613" xr:uid="{4840626C-841F-450F-9973-B44DAB9FED11}"/>
    <cellStyle name="Ergebnis" xfId="1614" xr:uid="{DB2E2527-B70C-4EDB-A149-817135146D7C}"/>
    <cellStyle name="Ergebnis 2" xfId="4763" xr:uid="{C01E4983-B1EC-4391-BCC0-09A44AF3AC0B}"/>
    <cellStyle name="Ergebnis 2 2" xfId="5757" xr:uid="{1BC3E2D1-297A-41F1-AD44-C3B53B25BB78}"/>
    <cellStyle name="Ergebnis 2 2 2" xfId="7410" xr:uid="{FD73E809-495D-4880-85A0-F1199D524F32}"/>
    <cellStyle name="Ergebnis 2 3" xfId="5964" xr:uid="{3C436B51-84E8-45CD-8A75-3FAF905967B8}"/>
    <cellStyle name="Ergebnis 2 3 2" xfId="7617" xr:uid="{78259DA5-1A0C-4B4D-914E-E50CF5366B34}"/>
    <cellStyle name="Ergebnis 2 4" xfId="5412" xr:uid="{1F262EE7-9465-4668-8477-FF0E1C1BFD72}"/>
    <cellStyle name="Ergebnis 2 4 2" xfId="7076" xr:uid="{204D6668-5ECF-4F66-8567-F65B927A0BBA}"/>
    <cellStyle name="Ergebnis 2 5" xfId="6250" xr:uid="{666DB238-F685-4071-A01E-1A9F9BB3DB91}"/>
    <cellStyle name="Ergebnis 2 5 2" xfId="7897" xr:uid="{2D3F1B0C-490B-4A05-BB7A-DC6F0852C0A4}"/>
    <cellStyle name="Ergebnis 2 6" xfId="6453" xr:uid="{770F060F-B859-4EDD-8FF7-99569E3479AB}"/>
    <cellStyle name="Ergebnis 3" xfId="4924" xr:uid="{F07A2C99-854D-4514-9398-CF08697D0505}"/>
    <cellStyle name="Ergebnis 3 2" xfId="5914" xr:uid="{5F70CA3A-482B-46E4-85CF-B8CB6431ED0A}"/>
    <cellStyle name="Ergebnis 3 2 2" xfId="7567" xr:uid="{965DC8BB-28DB-4F42-98BF-51EA6940F1B9}"/>
    <cellStyle name="Ergebnis 3 3" xfId="6102" xr:uid="{7106B67C-14A4-4150-B709-38BB45667752}"/>
    <cellStyle name="Ergebnis 3 3 2" xfId="7753" xr:uid="{6C28A0BB-8812-4233-A188-9DCDA6398859}"/>
    <cellStyle name="Ergebnis 3 4" xfId="6208" xr:uid="{D75F2897-4C4C-4A28-A84A-84D24FC2C409}"/>
    <cellStyle name="Ergebnis 3 4 2" xfId="7855" xr:uid="{5D670572-58AB-418F-9174-58589544AE47}"/>
    <cellStyle name="Ergebnis 3 5" xfId="6607" xr:uid="{B9ACBB24-285D-460F-8730-1D758A4FE4EC}"/>
    <cellStyle name="Ergebnis 4" xfId="5210" xr:uid="{3D14002E-F88F-47BE-BEB9-6FC76F18411C}"/>
    <cellStyle name="Ergebnis 4 2" xfId="6881" xr:uid="{49ED4226-35A0-4178-8BEE-ECE1E2D46A15}"/>
    <cellStyle name="Ergebnis 5" xfId="5270" xr:uid="{57887542-8C49-4A5A-8A47-DC48FCAB475B}"/>
    <cellStyle name="Ergebnis 5 2" xfId="6937" xr:uid="{2893A462-651F-4DD2-8171-77BE0DE0A3EC}"/>
    <cellStyle name="Ergebnis 6" xfId="5230" xr:uid="{E2E6DEF8-5F2D-4818-A69C-FF66862D526F}"/>
    <cellStyle name="Ergebnis 6 2" xfId="6899" xr:uid="{52469185-12EE-46C2-A5F2-776945895A7F}"/>
    <cellStyle name="Ergebnis 7" xfId="6369" xr:uid="{107D18B0-0B8F-4D87-BA62-100941A5B3DA}"/>
    <cellStyle name="Erklärender Text" xfId="1615" xr:uid="{754656EF-0E95-483F-85A2-89B0F2BC1341}"/>
    <cellStyle name="Euro" xfId="1616" xr:uid="{008C2E34-BE0A-4105-A4D2-E6E031F2A4E2}"/>
    <cellStyle name="Explanatory Text 2" xfId="1617" xr:uid="{5142F0C7-EB50-444A-B688-EF95A58D2D4A}"/>
    <cellStyle name="Fest" xfId="1618" xr:uid="{DDD0E743-D64B-46B5-A6F2-B9FA5EE46795}"/>
    <cellStyle name="finals" xfId="1619" xr:uid="{1EDBBFB1-681D-4DA5-82EA-5A50B364E0BA}"/>
    <cellStyle name="Fix 0" xfId="1620" xr:uid="{55BA1E62-87E0-4D16-BC19-E6C6DDF72A36}"/>
    <cellStyle name="Fix 0.0" xfId="1621" xr:uid="{9FAD7E85-190E-42EB-89EF-0F5AB5D0A285}"/>
    <cellStyle name="Fix 0.00" xfId="1622" xr:uid="{DB2CBEB5-33E4-44C0-8346-7A0A7B571038}"/>
    <cellStyle name="Fixed" xfId="1623" xr:uid="{8CE13E47-389E-4157-BB6B-6F7CD4A87C39}"/>
    <cellStyle name="Fixed (1)" xfId="1624" xr:uid="{002A6551-D6F2-4B76-9E3C-297DF46EE810}"/>
    <cellStyle name="Fixed_5 YR Plan" xfId="1625" xr:uid="{0BBFFD3B-8E39-492B-A07B-34CAD6B48F81}"/>
    <cellStyle name="FOOTER - Style1" xfId="1626" xr:uid="{33B2A1C9-2337-4F25-84D9-22E6D0842E70}"/>
    <cellStyle name="Footnote" xfId="1627" xr:uid="{EF493064-A4D7-4A1F-9C94-892E1AD955F1}"/>
    <cellStyle name="Footnote8ital" xfId="1628" xr:uid="{DC99A9BB-776C-4969-924A-336A0F8B09C4}"/>
    <cellStyle name="Forecast Cell Column Heading" xfId="127" xr:uid="{93783B66-D837-4835-BEDA-D1EC638AF6C4}"/>
    <cellStyle name="General" xfId="1629" xr:uid="{894B0B09-8245-4DB0-8D54-116F9A7A9AF6}"/>
    <cellStyle name="General 2" xfId="4764" xr:uid="{8F1204FB-D7D7-4B19-B06E-FBA328273640}"/>
    <cellStyle name="General 2 2" xfId="5758" xr:uid="{83BFD7D4-B4BB-4A39-9AF0-28A694BD589F}"/>
    <cellStyle name="General 2 2 2" xfId="7411" xr:uid="{3821529A-57AB-4DFF-9FC8-1566A5ECC1C9}"/>
    <cellStyle name="General 2 3" xfId="6454" xr:uid="{83C57123-5329-470C-88E2-60D9301FBD56}"/>
    <cellStyle name="General 3" xfId="4923" xr:uid="{22A67AB5-EC6C-43E7-AF1D-8A4346392BF6}"/>
    <cellStyle name="General 3 2" xfId="5913" xr:uid="{C9A6A959-85AE-48B7-B8C7-632C02B90B90}"/>
    <cellStyle name="General 3 2 2" xfId="7566" xr:uid="{5F674508-599A-45B0-A1F9-34C72846AA88}"/>
    <cellStyle name="General 3 3" xfId="6606" xr:uid="{57EF4EC1-804B-420F-BD00-6F6D49E46B06}"/>
    <cellStyle name="General 4" xfId="5213" xr:uid="{D350A33E-11B7-4366-8B2D-FF0F95BA2FA2}"/>
    <cellStyle name="General 4 2" xfId="6884" xr:uid="{570243C5-7762-45FE-9F4F-ABCC321F680F}"/>
    <cellStyle name="General 5" xfId="5269" xr:uid="{1F89ED36-A36A-4684-BB1B-E2357E70BC44}"/>
    <cellStyle name="General 5 2" xfId="6936" xr:uid="{D84E9B00-8896-4BED-84AC-28F0E197E7EA}"/>
    <cellStyle name="General 6" xfId="6370" xr:uid="{92D3B585-7C3D-4C74-9A88-51EA6F910DBA}"/>
    <cellStyle name="Gesamt" xfId="1630" xr:uid="{6A2E3A86-7D7A-41A0-A237-9D323C4215C5}"/>
    <cellStyle name="Gesamt 2" xfId="1631" xr:uid="{71DF7876-7837-42DE-8E6F-AF78AF4F6859}"/>
    <cellStyle name="Good 2" xfId="1632" xr:uid="{082AA771-FD39-470E-BF83-CAF462212B62}"/>
    <cellStyle name="grass_centr" xfId="1633" xr:uid="{7FEAC0EE-5DBE-4BE4-B323-5E1DF2D02454}"/>
    <cellStyle name="Grey" xfId="1634" xr:uid="{1CCE45E5-41BC-42C3-96CC-7984253E5432}"/>
    <cellStyle name="Gut" xfId="1635" xr:uid="{40854C29-5075-454C-AF8B-2D10A322DE0B}"/>
    <cellStyle name="Hard Percent" xfId="1636" xr:uid="{927759F2-8843-4C40-B839-40D8A93C3F4F}"/>
    <cellStyle name="Header" xfId="1637" xr:uid="{35318A85-3697-4DE5-9223-F2679205CE71}"/>
    <cellStyle name="Header 2" xfId="4765" xr:uid="{99BD965E-562B-40E8-8858-9201791C0D32}"/>
    <cellStyle name="Header 2 10" xfId="5313" xr:uid="{CD2FD565-B1C7-4752-AFCE-D92501F4A2A1}"/>
    <cellStyle name="Header 2 10 2" xfId="6979" xr:uid="{64430B65-8307-47EA-869E-D8A56740CF39}"/>
    <cellStyle name="Header 2 11" xfId="5124" xr:uid="{599F35FB-11E8-49C5-B461-53124BB611F9}"/>
    <cellStyle name="Header 2 11 2" xfId="6798" xr:uid="{83E3189B-C75F-4AFD-BED6-0CEA2C0F245F}"/>
    <cellStyle name="Header 2 12" xfId="5285" xr:uid="{7EC81B35-0CB0-4513-B29D-04B2D4417209}"/>
    <cellStyle name="Header 2 12 2" xfId="6951" xr:uid="{3696EC63-E83A-48CC-AF5A-4B385F317BD2}"/>
    <cellStyle name="Header 2 13" xfId="6455" xr:uid="{738C0571-C292-4BC6-B0A8-C063854AE17B}"/>
    <cellStyle name="Header 2 2" xfId="5759" xr:uid="{9EEF63C8-E2BF-4E47-803A-61EEC1123E5B}"/>
    <cellStyle name="Header 2 2 2" xfId="7412" xr:uid="{909997F1-303D-42D6-B744-CFE40FEBCD88}"/>
    <cellStyle name="Header 2 3" xfId="5965" xr:uid="{704268AF-3BC5-43BC-A17C-7B33AF133645}"/>
    <cellStyle name="Header 2 3 2" xfId="7618" xr:uid="{C7DB3E31-6945-45EA-B350-60FEB743A973}"/>
    <cellStyle name="Header 2 4" xfId="6127" xr:uid="{2153704E-3972-4459-A957-EE4488AF7458}"/>
    <cellStyle name="Header 2 4 2" xfId="7777" xr:uid="{9D4B3FD3-D9E8-42C7-8876-55B2D1BF0457}"/>
    <cellStyle name="Header 2 5" xfId="5582" xr:uid="{925A64C8-7713-4928-AE02-9C3F19B0B861}"/>
    <cellStyle name="Header 2 5 2" xfId="7243" xr:uid="{CFD268A9-5463-4C1D-9FAC-B7398F98AC26}"/>
    <cellStyle name="Header 2 6" xfId="6154" xr:uid="{232E2737-977B-4CB5-AEA1-EA487A30488A}"/>
    <cellStyle name="Header 2 6 2" xfId="7804" xr:uid="{FD3B64A1-EEEF-430A-AF35-EE54140E6038}"/>
    <cellStyle name="Header 2 7" xfId="5598" xr:uid="{AF2E884D-0CBA-459A-963E-9D2C750D774B}"/>
    <cellStyle name="Header 2 7 2" xfId="7259" xr:uid="{6DE7026C-B91F-4E87-9431-916A59FC0D62}"/>
    <cellStyle name="Header 2 8" xfId="5413" xr:uid="{9CF057B6-2BBD-4261-9CA8-29EE945957EC}"/>
    <cellStyle name="Header 2 8 2" xfId="7077" xr:uid="{D2388F46-585C-482E-BA98-ABFF29EBC1D8}"/>
    <cellStyle name="Header 2 9" xfId="6251" xr:uid="{71DFD988-E399-413C-9802-41EE707937DD}"/>
    <cellStyle name="Header 2 9 2" xfId="7898" xr:uid="{2F0924AF-3635-4EA5-BA37-B47EDA247843}"/>
    <cellStyle name="Header 3" xfId="4922" xr:uid="{A8DB5250-0C00-4769-9D0A-446C5D2F7BF3}"/>
    <cellStyle name="Header 3 10" xfId="6330" xr:uid="{E82A99B8-5CF4-483E-B0DD-CA8EAF427E4E}"/>
    <cellStyle name="Header 3 10 2" xfId="7977" xr:uid="{32F94F06-E99D-4177-8582-C26405C4D8F9}"/>
    <cellStyle name="Header 3 11" xfId="6334" xr:uid="{2A1D64F4-10A1-4286-AD9D-584BDACEBC87}"/>
    <cellStyle name="Header 3 11 2" xfId="7981" xr:uid="{6D45BA46-1A1E-4FA5-A28A-9FD309F07C0E}"/>
    <cellStyle name="Header 3 12" xfId="6337" xr:uid="{B3DE1882-8AA1-4309-B685-7C1E98B60A32}"/>
    <cellStyle name="Header 3 12 2" xfId="7984" xr:uid="{72B16A56-7F36-48DD-8D51-7B82F2C4490F}"/>
    <cellStyle name="Header 3 13" xfId="6605" xr:uid="{3D9CBF82-D112-4FA0-85C5-00D0C02918A7}"/>
    <cellStyle name="Header 3 2" xfId="5912" xr:uid="{C2A9D136-2445-4541-B912-8A29905D9A4C}"/>
    <cellStyle name="Header 3 2 2" xfId="7565" xr:uid="{2AFC299A-E110-4BD2-A601-EF92F5E0DC32}"/>
    <cellStyle name="Header 3 3" xfId="6101" xr:uid="{60FCA058-85C2-4BD2-A86A-23F163D6641F}"/>
    <cellStyle name="Header 3 3 2" xfId="7752" xr:uid="{4C35AF38-D9F8-4E77-B267-CB99E473F2AE}"/>
    <cellStyle name="Header 3 4" xfId="6174" xr:uid="{05D801EC-A6CF-4FCC-8F2D-0696E870E8DF}"/>
    <cellStyle name="Header 3 4 2" xfId="7821" xr:uid="{9BA86893-0A84-4707-A148-EDB690531D82}"/>
    <cellStyle name="Header 3 5" xfId="6180" xr:uid="{718D6E0A-AE3B-48B3-AA4A-9D524A217040}"/>
    <cellStyle name="Header 3 5 2" xfId="7827" xr:uid="{F0DF6C3C-A737-4ADF-ADCA-730C609B0E42}"/>
    <cellStyle name="Header 3 6" xfId="5011" xr:uid="{49346882-393D-4A5C-8453-D4F15809B7FB}"/>
    <cellStyle name="Header 3 6 2" xfId="6690" xr:uid="{8CFB89DC-EF54-40C9-AC6B-5FBF2668FCC3}"/>
    <cellStyle name="Header 3 7" xfId="6199" xr:uid="{1524D881-5B0E-434D-8294-F61B76D59A4B}"/>
    <cellStyle name="Header 3 7 2" xfId="7846" xr:uid="{247A987D-1F38-4005-BCCA-972A636D36E5}"/>
    <cellStyle name="Header 3 8" xfId="6207" xr:uid="{8587FB3F-AD8A-4949-AC24-169C6CCAD815}"/>
    <cellStyle name="Header 3 8 2" xfId="7854" xr:uid="{B04F6BEC-FEED-4067-AC00-18FE4E6764C1}"/>
    <cellStyle name="Header 3 9" xfId="6324" xr:uid="{8A11B2CD-A360-4B93-996A-9390626914ED}"/>
    <cellStyle name="Header 3 9 2" xfId="7971" xr:uid="{42E1F708-0D5A-4C36-B4D4-4ADF18D41E8D}"/>
    <cellStyle name="Header 4" xfId="5682" xr:uid="{3E61EE22-1778-4D7B-AA1B-7C39C042F9FA}"/>
    <cellStyle name="Header 4 2" xfId="7342" xr:uid="{342DFFC7-8B4B-4FAB-B917-935691C545C3}"/>
    <cellStyle name="Header1" xfId="1638" xr:uid="{8C3580D2-637B-4B1E-A701-5E33A7816ACE}"/>
    <cellStyle name="Header1 2" xfId="4766" xr:uid="{7EBF539B-96EC-415C-B98D-DAE03093AB1F}"/>
    <cellStyle name="Header1 2 10" xfId="6321" xr:uid="{C4586A4D-8B64-40D7-B5DA-BE9E2D3A587C}"/>
    <cellStyle name="Header1 2 10 2" xfId="7968" xr:uid="{0F7FAC5D-7D6F-4E43-968E-F0B3B193D9DE}"/>
    <cellStyle name="Header1 2 11" xfId="5286" xr:uid="{20E6CD83-F2AC-495F-B371-36165979DBC4}"/>
    <cellStyle name="Header1 2 11 2" xfId="6952" xr:uid="{D66A7202-80C1-469B-9710-00DE2F36D652}"/>
    <cellStyle name="Header1 2 12" xfId="6456" xr:uid="{B028EF41-7CB1-4832-B116-7BA481EC1AB4}"/>
    <cellStyle name="Header1 2 2" xfId="5760" xr:uid="{7C7AA1BE-8FB6-4A95-9428-BEE93F81D7D4}"/>
    <cellStyle name="Header1 2 2 2" xfId="7413" xr:uid="{BAE29AFD-CEFD-49E2-9B48-D7AB481775D3}"/>
    <cellStyle name="Header1 2 3" xfId="5966" xr:uid="{371392FC-F220-4FD1-B33B-636419125050}"/>
    <cellStyle name="Header1 2 3 2" xfId="7619" xr:uid="{09C0F1C6-F669-49B1-B0C8-4B8CDFA1B175}"/>
    <cellStyle name="Header1 2 4" xfId="6128" xr:uid="{A822E091-28C4-4FBE-A101-C6E7CBB7CB1D}"/>
    <cellStyle name="Header1 2 4 2" xfId="7778" xr:uid="{DB82223D-592C-4F2A-BCDA-B5E949B54C20}"/>
    <cellStyle name="Header1 2 5" xfId="5583" xr:uid="{DA891E2D-CC71-4007-B2C6-3D3CB6628406}"/>
    <cellStyle name="Header1 2 5 2" xfId="7244" xr:uid="{1F9C04EA-440B-4593-AAE2-BB84B12F5AEA}"/>
    <cellStyle name="Header1 2 6" xfId="6171" xr:uid="{52541ABA-9F9E-4909-BAE7-6D4FCE9EAFA5}"/>
    <cellStyle name="Header1 2 6 2" xfId="7818" xr:uid="{9708A233-4164-445D-9663-A9715C080665}"/>
    <cellStyle name="Header1 2 7" xfId="5511" xr:uid="{1E2611C2-70CB-4751-A3D8-C7521E25C915}"/>
    <cellStyle name="Header1 2 7 2" xfId="7175" xr:uid="{29F8F9BC-2409-4D81-B3C4-E7C64789CD53}"/>
    <cellStyle name="Header1 2 8" xfId="6252" xr:uid="{8EF42948-2D47-4E6B-A14C-3C644C6D91F6}"/>
    <cellStyle name="Header1 2 8 2" xfId="7899" xr:uid="{4786557D-F8AD-4DDC-A8E6-457091C350C4}"/>
    <cellStyle name="Header1 2 9" xfId="5315" xr:uid="{A3D1858B-B00C-4E84-96B8-4431BB83C569}"/>
    <cellStyle name="Header1 2 9 2" xfId="6981" xr:uid="{0841E61A-93B8-4C1A-8C62-1F10E36ED9D4}"/>
    <cellStyle name="Header1 3" xfId="4921" xr:uid="{FA361B2A-62D2-488E-85D5-60FBD2E946C6}"/>
    <cellStyle name="Header1 3 10" xfId="6329" xr:uid="{5C8B9820-2657-4CCE-AB89-C32C05A5FD32}"/>
    <cellStyle name="Header1 3 10 2" xfId="7976" xr:uid="{7B91728C-08A0-4985-966A-0505852C92A0}"/>
    <cellStyle name="Header1 3 11" xfId="6333" xr:uid="{2C3D4129-D2AD-4B58-AFD8-3299EF94C1A7}"/>
    <cellStyle name="Header1 3 11 2" xfId="7980" xr:uid="{EC065B88-93BC-41C1-AAF8-9A2B3199309A}"/>
    <cellStyle name="Header1 3 12" xfId="6336" xr:uid="{3B72637F-403B-481B-A17C-40E1B4B05594}"/>
    <cellStyle name="Header1 3 12 2" xfId="7983" xr:uid="{999D4ED8-090D-4592-9220-DE54F642D55C}"/>
    <cellStyle name="Header1 3 13" xfId="6604" xr:uid="{1A3A60CF-8634-4722-9139-C1CDA5934DAD}"/>
    <cellStyle name="Header1 3 2" xfId="5911" xr:uid="{106FBC76-1220-40C3-8531-8A267DB1D9F0}"/>
    <cellStyle name="Header1 3 2 2" xfId="7564" xr:uid="{36824A9C-A1D0-4071-8159-D902649AEF75}"/>
    <cellStyle name="Header1 3 3" xfId="6100" xr:uid="{DF676A35-92B4-4EF7-9549-835F2111BBD3}"/>
    <cellStyle name="Header1 3 3 2" xfId="7751" xr:uid="{5C08A721-6969-4117-A52A-2AF9C313F680}"/>
    <cellStyle name="Header1 3 4" xfId="6173" xr:uid="{97CDD79F-A3CD-497C-A3DA-7CC4044C86B3}"/>
    <cellStyle name="Header1 3 4 2" xfId="7820" xr:uid="{CA509803-81B9-4B13-921F-77E7AC8B3FC1}"/>
    <cellStyle name="Header1 3 5" xfId="6179" xr:uid="{7D004D20-D0D2-4C78-82DB-6FB45E8E7619}"/>
    <cellStyle name="Header1 3 5 2" xfId="7826" xr:uid="{C7968798-0B81-4325-A62B-8C0316763DEB}"/>
    <cellStyle name="Header1 3 6" xfId="5012" xr:uid="{BC9F9778-6458-42C8-A814-6B60D561B001}"/>
    <cellStyle name="Header1 3 6 2" xfId="6691" xr:uid="{730232C3-993E-4EF1-9B90-D06DDC976686}"/>
    <cellStyle name="Header1 3 7" xfId="6198" xr:uid="{800E8B37-49F3-444C-8721-2ECEEC7F5AB0}"/>
    <cellStyle name="Header1 3 7 2" xfId="7845" xr:uid="{EE274999-DC92-41D8-821E-42B40E3D399C}"/>
    <cellStyle name="Header1 3 8" xfId="6206" xr:uid="{B55926F9-A7EF-4A62-8474-FDA2E4CF8CBF}"/>
    <cellStyle name="Header1 3 8 2" xfId="7853" xr:uid="{AAF03404-9EDA-4733-B64A-7C1FE5413DE7}"/>
    <cellStyle name="Header1 3 9" xfId="6323" xr:uid="{A821A549-B653-40DC-94C0-B384275F3577}"/>
    <cellStyle name="Header1 3 9 2" xfId="7970" xr:uid="{A654AB98-9B46-4986-B478-847E30B871F3}"/>
    <cellStyle name="Header1 4" xfId="5260" xr:uid="{87B90FE1-146C-4433-8E24-381CD59FBDBB}"/>
    <cellStyle name="Header1 4 2" xfId="6927" xr:uid="{260A3833-15F1-421B-8F92-D3691C4CBED1}"/>
    <cellStyle name="Header2" xfId="1639" xr:uid="{2C14E7F1-050C-4378-BFC1-BDB3A68E7542}"/>
    <cellStyle name="Header2 2" xfId="4767" xr:uid="{6E8E59A2-58F2-47B2-A1D8-72CDA8C6A5DE}"/>
    <cellStyle name="Header2 2 2" xfId="5761" xr:uid="{95627C5F-C9B6-4974-9BF3-DA5B5B186A67}"/>
    <cellStyle name="Header2 2 2 2" xfId="7414" xr:uid="{DECCE53E-5FEA-4C26-807B-0503D2CA8843}"/>
    <cellStyle name="Header2 2 3" xfId="6457" xr:uid="{8C702D47-90EE-4F62-ABDE-92EFCFB7BF2B}"/>
    <cellStyle name="Header2 3" xfId="4920" xr:uid="{7A069388-6323-4D4D-924B-870CCFDAD963}"/>
    <cellStyle name="Header2 3 2" xfId="5910" xr:uid="{5473159D-FC3A-453B-8F6A-78233336F3C0}"/>
    <cellStyle name="Header2 3 2 2" xfId="7563" xr:uid="{7ECBB611-7BC5-4779-9689-660BE7364C5C}"/>
    <cellStyle name="Header2 3 3" xfId="6603" xr:uid="{C4CCD391-7FF5-4747-9CF7-48B32D51AE22}"/>
    <cellStyle name="Header2 4" xfId="5214" xr:uid="{8EB227CB-75C5-4DF6-99D2-F7DD2D6D25B9}"/>
    <cellStyle name="Header2 4 2" xfId="6885" xr:uid="{ABA18C5F-9562-49F5-895A-CBA36506B81F}"/>
    <cellStyle name="Header2 5" xfId="5267" xr:uid="{61EF451E-A2F5-40C2-AFD2-07D1F8A405B5}"/>
    <cellStyle name="Header2 5 2" xfId="6934" xr:uid="{71D738C5-A8B4-46AA-9C47-8C795667F7D9}"/>
    <cellStyle name="Header2 6" xfId="6371" xr:uid="{5A80866E-668B-4E1E-8F44-6B1A87E6A916}"/>
    <cellStyle name="Headers" xfId="1640" xr:uid="{4F1F6281-33D7-4C9B-9CAE-A3BC716E3B2E}"/>
    <cellStyle name="Heading" xfId="1641" xr:uid="{4B7C1FFB-01B5-4994-888B-1D8932D288B0}"/>
    <cellStyle name="Heading 1 2" xfId="1642" xr:uid="{9582D05C-9341-47E6-B83B-56A8D445161A}"/>
    <cellStyle name="Heading 2 2" xfId="1643" xr:uid="{9FC028D7-41DA-4EA1-B6BB-D95936262BE5}"/>
    <cellStyle name="Heading 3 2" xfId="1644" xr:uid="{3A84159C-C375-41B5-8C0B-F44A6E03EF97}"/>
    <cellStyle name="Heading 4 2" xfId="1645" xr:uid="{0951FA3F-8A62-4912-B663-272CB5F75843}"/>
    <cellStyle name="Heading1" xfId="1646" xr:uid="{42336E85-B26C-427E-8BD5-D4FFFDF58667}"/>
    <cellStyle name="Heading11Bold" xfId="1647" xr:uid="{02106B80-6F4C-421A-8207-167983221812}"/>
    <cellStyle name="Heading12Bold" xfId="1648" xr:uid="{73FD7947-E67D-44E6-9FF9-540D52B14CB7}"/>
    <cellStyle name="Heading2" xfId="1649" xr:uid="{81F878A6-18FE-435D-B1F2-65F3B0BF637C}"/>
    <cellStyle name="HEADINGS" xfId="1650" xr:uid="{1D29800A-4EE4-4E61-92B6-ADD9C59E608A}"/>
    <cellStyle name="HEADINGSTOP" xfId="1651" xr:uid="{FC2B1CB0-B829-461D-B0EC-FDF80A0B9747}"/>
    <cellStyle name="help" xfId="1652" xr:uid="{6587E34F-8E97-43A2-858A-A6A4C316A3CF}"/>
    <cellStyle name="Hidden" xfId="1653" xr:uid="{4CBA20CE-3720-4309-B902-417E2C425F86}"/>
    <cellStyle name="HIGHLIGHT" xfId="1654" xr:uid="{6710495A-21DD-4798-9297-5AC2B7CF5F94}"/>
    <cellStyle name="Hipervínculo" xfId="1655" xr:uid="{B1473661-DFA1-4BFE-A152-491CC0C01561}"/>
    <cellStyle name="Hipervínculo visitado" xfId="1656" xr:uid="{99A76623-8530-4BAF-88E9-280AC08A7832}"/>
    <cellStyle name="Hipervínculo_5 YR Plan" xfId="1657" xr:uid="{423423BC-AEB6-4058-B031-43AD381D96DD}"/>
    <cellStyle name="Hyperlink 2" xfId="116" xr:uid="{00000000-0005-0000-0000-000030000000}"/>
    <cellStyle name="inplacea" xfId="1658" xr:uid="{1DDA5855-9D99-4074-A9EE-38AF4D1F0AB4}"/>
    <cellStyle name="inplaceb&amp;c" xfId="1659" xr:uid="{0A951F6A-2837-40C6-855C-09C6E85E1B32}"/>
    <cellStyle name="Input [yellow]" xfId="1660" xr:uid="{8A61134D-8AE8-43BA-8DF9-4BF73569CAEC}"/>
    <cellStyle name="Input [yellow] 10" xfId="5047" xr:uid="{EFE68199-7D1F-40CC-ABD5-E3C51878E64B}"/>
    <cellStyle name="Input [yellow] 11" xfId="6372" xr:uid="{652EB851-330D-4B25-98DD-EBC459B47DE5}"/>
    <cellStyle name="Input [yellow] 2" xfId="4768" xr:uid="{8E2F8488-6414-482D-A277-79AF2719574E}"/>
    <cellStyle name="Input [yellow] 2 2" xfId="5762" xr:uid="{5E27BD60-DE08-4700-93A2-9DA8472ADB75}"/>
    <cellStyle name="Input [yellow] 2 2 2" xfId="7415" xr:uid="{199F04FC-1704-4B36-85EB-7E963D8192C5}"/>
    <cellStyle name="Input [yellow] 2 3" xfId="5414" xr:uid="{2715B06C-D5D2-4921-9C72-72589D77DC5A}"/>
    <cellStyle name="Input [yellow] 2 3 2" xfId="7078" xr:uid="{D8463A8F-32E9-4792-8F8C-FDED14F356CE}"/>
    <cellStyle name="Input [yellow] 2 4" xfId="6458" xr:uid="{C155FEDE-2623-4F9C-87EB-E6D2E74F7DEC}"/>
    <cellStyle name="Input [yellow] 3" xfId="4787" xr:uid="{FC79DC97-BA26-4A8F-8F72-851A61EA72CA}"/>
    <cellStyle name="Input [yellow] 3 2" xfId="5781" xr:uid="{475E2492-D236-4B3E-842A-29FBAD9B3EEE}"/>
    <cellStyle name="Input [yellow] 3 2 2" xfId="7434" xr:uid="{63466BAA-049B-4159-9CF8-2A3EB21DCE29}"/>
    <cellStyle name="Input [yellow] 3 3" xfId="5981" xr:uid="{3B6FCDE6-67B9-4B17-ACEB-F77D73831607}"/>
    <cellStyle name="Input [yellow] 3 3 2" xfId="7633" xr:uid="{44333303-F1BB-4B1E-8AD4-C8729C542552}"/>
    <cellStyle name="Input [yellow] 3 4" xfId="6135" xr:uid="{4BC0301D-BA28-481B-895D-D1CCFF811AA6}"/>
    <cellStyle name="Input [yellow] 3 4 2" xfId="7785" xr:uid="{60D1E545-E62E-45BB-A909-00DDDDAC440F}"/>
    <cellStyle name="Input [yellow] 3 5" xfId="5518" xr:uid="{20BEF586-7605-4F9D-9A05-842E02B53B30}"/>
    <cellStyle name="Input [yellow] 3 5 2" xfId="7182" xr:uid="{37412E30-83BD-441B-8373-B25F2E461C64}"/>
    <cellStyle name="Input [yellow] 3 6" xfId="5077" xr:uid="{10862B6D-718B-4E93-8D9F-1470AEC3F986}"/>
    <cellStyle name="Input [yellow] 3 6 2" xfId="6751" xr:uid="{7D39B417-6290-49B9-A437-6FB1E6F4C30E}"/>
    <cellStyle name="Input [yellow] 3 7" xfId="6263" xr:uid="{A8D8B69E-89C3-4989-B4FF-B26D515D0A5E}"/>
    <cellStyle name="Input [yellow] 3 7 2" xfId="7910" xr:uid="{8E39A6A0-6B2A-4C8F-8FEB-939D62B72C0F}"/>
    <cellStyle name="Input [yellow] 3 8" xfId="6195" xr:uid="{829EC0E5-8443-4CC8-A8A1-F191B8291959}"/>
    <cellStyle name="Input [yellow] 3 8 2" xfId="7842" xr:uid="{E99B1AC5-39A9-4B2D-BA5A-7948863D36D3}"/>
    <cellStyle name="Input [yellow] 3 9" xfId="6477" xr:uid="{44641B37-9798-4113-8EA1-2A7F7E3C0B48}"/>
    <cellStyle name="Input [yellow] 4" xfId="4919" xr:uid="{5333D96D-31EB-4CF0-804E-0A06BFC0EE5F}"/>
    <cellStyle name="Input [yellow] 4 2" xfId="5909" xr:uid="{221ECD82-18B9-4F86-BF2D-62D08BED68C6}"/>
    <cellStyle name="Input [yellow] 4 2 2" xfId="7562" xr:uid="{FF7AE672-2302-49B8-8A98-9D49C5B04762}"/>
    <cellStyle name="Input [yellow] 4 3" xfId="6205" xr:uid="{42C0868E-4B9E-445A-AD47-0B75CF752002}"/>
    <cellStyle name="Input [yellow] 4 3 2" xfId="7852" xr:uid="{ACAD575F-6CF5-4945-B03D-1DD0494CF006}"/>
    <cellStyle name="Input [yellow] 4 4" xfId="6602" xr:uid="{A33B8802-3169-42B0-AE4B-81D1212DD2B6}"/>
    <cellStyle name="Input [yellow] 5" xfId="5215" xr:uid="{D9C52489-DF11-4451-9894-12A55B24216E}"/>
    <cellStyle name="Input [yellow] 5 2" xfId="6886" xr:uid="{ECEF9E40-61D3-437E-9101-A92911070010}"/>
    <cellStyle name="Input [yellow] 6" xfId="5265" xr:uid="{9F187749-77C8-4C13-B3E6-72FE1B4F3B6D}"/>
    <cellStyle name="Input [yellow] 6 2" xfId="6932" xr:uid="{B7F61918-504E-4CB8-BCC1-6D3D64A0E766}"/>
    <cellStyle name="Input [yellow] 7" xfId="5256" xr:uid="{3EBEBFDB-BAD1-41D5-8361-EA4DFA82C509}"/>
    <cellStyle name="Input [yellow] 7 2" xfId="6923" xr:uid="{0CA83710-A830-4B57-80F0-B3399A41F605}"/>
    <cellStyle name="Input [yellow] 8" xfId="5700" xr:uid="{27FB0E64-C878-44F7-872E-62AD50944617}"/>
    <cellStyle name="Input [yellow] 8 2" xfId="7359" xr:uid="{56CF4C27-FA2E-4476-85DC-1E7211F6BCDD}"/>
    <cellStyle name="Input [yellow] 9" xfId="5690" xr:uid="{C9244AC2-E167-4851-89C1-BF0C55B751FA}"/>
    <cellStyle name="Input [yellow] 9 2" xfId="7349" xr:uid="{EBD1D582-1065-4A26-A33D-25A913E0E0BC}"/>
    <cellStyle name="Input 2" xfId="47" xr:uid="{00000000-0005-0000-0000-000031000000}"/>
    <cellStyle name="Input 2 2" xfId="1661" xr:uid="{F1D996E2-BA91-44F1-84F5-E2A62BDFB86D}"/>
    <cellStyle name="Input 2 2 2" xfId="5688" xr:uid="{EC640994-E4EE-4F67-9BD1-FD4E59C18CFC}"/>
    <cellStyle name="Input 2 2 2 2" xfId="7347" xr:uid="{9496BA8B-302F-4DB6-92DE-C28E1B8288F2}"/>
    <cellStyle name="Input 2 2 3" xfId="5224" xr:uid="{9E6565E3-76E3-4FAE-A90E-E4A2EA017400}"/>
    <cellStyle name="Input 2 2 3 2" xfId="6893" xr:uid="{7B6DFB30-568E-4FF7-8846-2E78A10DD824}"/>
    <cellStyle name="Input 2 2 4" xfId="5712" xr:uid="{ED1DD1A6-FD89-48BD-B74E-8CA4A2446378}"/>
    <cellStyle name="Input 2 2 4 2" xfId="7370" xr:uid="{ACCA28F4-E24F-4AE4-9FAB-F742FE629764}"/>
    <cellStyle name="Input 2 2 5" xfId="5947" xr:uid="{3D3921CB-9E86-4909-9EB1-CE6BE75C3F37}"/>
    <cellStyle name="Input 2 2 5 2" xfId="7600" xr:uid="{1015595D-4FAF-4248-A780-608CDF9B7994}"/>
    <cellStyle name="Input 2 2 6" xfId="5577" xr:uid="{79F1FE99-5C78-49C7-B8B3-91C35F1FFD31}"/>
    <cellStyle name="Input 2 2 6 2" xfId="7240" xr:uid="{CF35D7A6-4E5A-4D83-B4EE-A392231D12AA}"/>
    <cellStyle name="Input 2 2 7" xfId="5058" xr:uid="{FDF4701F-536B-47F4-B044-26754CF9862A}"/>
    <cellStyle name="Input 2 2 7 2" xfId="6733" xr:uid="{33FEF38C-CBF9-4461-B8B0-C1B11536C890}"/>
    <cellStyle name="Input 2 2 8" xfId="5244" xr:uid="{4487BA6D-0FB6-4D17-BEB6-4CD5AFC52DCA}"/>
    <cellStyle name="Input 2 2 8 2" xfId="6911" xr:uid="{D1C13227-D007-4D54-9FC5-72D815BCF73E}"/>
    <cellStyle name="Input 2 2 9" xfId="5059" xr:uid="{604A3DAE-C7D1-4C24-A3BF-162B8460F0E3}"/>
    <cellStyle name="Input 2 2 9 2" xfId="6734" xr:uid="{80FCBB1A-5BDD-42E6-A96D-D0C5A03B40C2}"/>
    <cellStyle name="Input 2 3" xfId="4769" xr:uid="{26D54877-D6B5-487A-8302-77F3C4D0227B}"/>
    <cellStyle name="Input 2 3 2" xfId="5763" xr:uid="{46CF30D2-C82A-435F-9F76-2452131988E2}"/>
    <cellStyle name="Input 2 3 2 2" xfId="7416" xr:uid="{4F64CC0B-AA95-4337-A284-9EA11472E7CD}"/>
    <cellStyle name="Input 2 3 3" xfId="5968" xr:uid="{79BDDCCE-1C41-477A-A053-0AB2D9DD8649}"/>
    <cellStyle name="Input 2 3 3 2" xfId="7620" xr:uid="{4A111850-92EF-4C5C-AAF3-5DFF5646688B}"/>
    <cellStyle name="Input 2 3 4" xfId="5415" xr:uid="{D14A59B1-A257-448A-98E2-096FAE884C1B}"/>
    <cellStyle name="Input 2 3 4 2" xfId="7079" xr:uid="{8D2E5C98-C322-426B-82F9-DA20920889C7}"/>
    <cellStyle name="Input 2 3 5" xfId="6253" xr:uid="{D0E87AC2-51A6-43D1-8EDE-961C9A2B252E}"/>
    <cellStyle name="Input 2 3 5 2" xfId="7900" xr:uid="{865A940D-A3B0-4F2C-BA17-9AE031F907DE}"/>
    <cellStyle name="Input 2 3 6" xfId="6459" xr:uid="{AF4EDB4E-CC94-4F88-A895-98DFAEA8663E}"/>
    <cellStyle name="Input 2 4" xfId="4786" xr:uid="{79D45CBC-092A-4966-9B51-CC79DD54144F}"/>
    <cellStyle name="Input 2 4 2" xfId="5780" xr:uid="{EDB8A822-611D-4320-A314-AD9EB17627BC}"/>
    <cellStyle name="Input 2 4 2 2" xfId="7433" xr:uid="{FEE8091A-203A-4F48-977F-FDA5EED5F94F}"/>
    <cellStyle name="Input 2 4 3" xfId="5980" xr:uid="{CBEB200E-48D8-4C69-9140-24C3E02A1C4C}"/>
    <cellStyle name="Input 2 4 3 2" xfId="7632" xr:uid="{965B3F56-6A98-4398-AC00-0889ECB8F073}"/>
    <cellStyle name="Input 2 4 4" xfId="5425" xr:uid="{B0F8F3F1-846B-4848-90F1-A28B0990ED97}"/>
    <cellStyle name="Input 2 4 4 2" xfId="7089" xr:uid="{E71B8D42-8484-41D9-B7CC-D4B5216EA3A0}"/>
    <cellStyle name="Input 2 4 5" xfId="6476" xr:uid="{00F33DF7-76D8-4046-A333-AE1F0AEEAB5C}"/>
    <cellStyle name="Input 2 5" xfId="4918" xr:uid="{811CAB8F-9A14-4867-8B13-00320FF7E1C6}"/>
    <cellStyle name="Input 2 5 2" xfId="5908" xr:uid="{8295F6C8-94B6-432D-90AA-9F12D5745586}"/>
    <cellStyle name="Input 2 5 2 2" xfId="7561" xr:uid="{01E0F414-DACC-4610-AF9A-7DE79C8FB073}"/>
    <cellStyle name="Input 2 5 3" xfId="6098" xr:uid="{42010A14-8825-4CEA-BBE4-D1F072764233}"/>
    <cellStyle name="Input 2 5 3 2" xfId="7750" xr:uid="{744B6A16-5A71-401A-B8BC-879B99DEA2FB}"/>
    <cellStyle name="Input 2 5 4" xfId="6204" xr:uid="{BA2F7CC5-8EDC-48C5-BEE8-B80BB32FB718}"/>
    <cellStyle name="Input 2 5 4 2" xfId="7851" xr:uid="{E1FDB255-4C55-4500-967B-62C8205F3440}"/>
    <cellStyle name="Input 2 5 5" xfId="6601" xr:uid="{061F8F79-3EEA-42B6-A60C-96732157358B}"/>
    <cellStyle name="Input 2 6" xfId="5216" xr:uid="{BC95C2BC-43D9-4768-BA05-5FB22D464C20}"/>
    <cellStyle name="Input 2 6 2" xfId="6887" xr:uid="{74075839-C65A-4B57-86A0-D3B7FD25B241}"/>
    <cellStyle name="Input 2 7" xfId="5264" xr:uid="{3006C616-AC33-4D8C-B65F-91CDB74AA80A}"/>
    <cellStyle name="Input 2 7 2" xfId="6931" xr:uid="{2593474E-874F-4FDF-8186-5D75612630D7}"/>
    <cellStyle name="Input Cells" xfId="1662" xr:uid="{BAC04CDB-7CE6-47D8-B4AF-AB090985D3B8}"/>
    <cellStyle name="InputBlueFont" xfId="1663" xr:uid="{CFAB323A-38A8-41DC-B733-E1F499F9E8C2}"/>
    <cellStyle name="InputCell" xfId="1664" xr:uid="{A4238C52-B07C-45A5-B57F-83725A8FD30C}"/>
    <cellStyle name="InputCell 10" xfId="6165" xr:uid="{8F17BCC1-A0D9-4954-A98B-51F6FB7FC7A4}"/>
    <cellStyle name="InputCell 11" xfId="6373" xr:uid="{89BB3BA9-910B-4477-9D74-4F83512FEE06}"/>
    <cellStyle name="InputCell 2" xfId="4770" xr:uid="{F6BE85D8-D87B-4FD3-92F8-B23649A64405}"/>
    <cellStyle name="InputCell 2 2" xfId="5764" xr:uid="{013D20F0-A566-4977-89F4-994A46CA5D81}"/>
    <cellStyle name="InputCell 2 2 2" xfId="7417" xr:uid="{A76F69C9-AC89-4626-B097-8373DC16FCBD}"/>
    <cellStyle name="InputCell 2 3" xfId="5416" xr:uid="{A978B817-761A-40B4-9BDA-E10DFE382816}"/>
    <cellStyle name="InputCell 2 3 2" xfId="7080" xr:uid="{3988D3CB-0A86-421C-ABB2-AD24491055CD}"/>
    <cellStyle name="InputCell 2 4" xfId="6460" xr:uid="{093FB108-C589-444E-AE37-4259290565AF}"/>
    <cellStyle name="InputCell 3" xfId="4785" xr:uid="{B09D616F-3EBA-4816-BC0B-CABA0EF9444D}"/>
    <cellStyle name="InputCell 3 2" xfId="5779" xr:uid="{45799199-02C7-4D1C-8122-031463C80C0D}"/>
    <cellStyle name="InputCell 3 2 2" xfId="7432" xr:uid="{0663A3C5-42C7-4DEE-ACCB-57D5B51A9DCC}"/>
    <cellStyle name="InputCell 3 3" xfId="5979" xr:uid="{A5850C08-BD31-4B49-99A3-5D49E6EDD95C}"/>
    <cellStyle name="InputCell 3 3 2" xfId="7631" xr:uid="{00BEF8AD-91D5-403E-87DA-81D4E3BCCB44}"/>
    <cellStyle name="InputCell 3 4" xfId="6134" xr:uid="{23A7E2EC-4CB8-4061-9097-4809D02D163E}"/>
    <cellStyle name="InputCell 3 4 2" xfId="7784" xr:uid="{11BBF223-66DB-4909-BF11-A43CCC46818B}"/>
    <cellStyle name="InputCell 3 5" xfId="5599" xr:uid="{CB0125B2-1165-4ADA-922D-F03C478B8F66}"/>
    <cellStyle name="InputCell 3 5 2" xfId="7260" xr:uid="{AA275F0E-653E-40ED-820D-09E59608C40C}"/>
    <cellStyle name="InputCell 3 6" xfId="5078" xr:uid="{33717623-1BA4-4C44-8DC4-2730F7099703}"/>
    <cellStyle name="InputCell 3 6 2" xfId="6752" xr:uid="{FA348873-8D36-4064-BA61-654A1687143B}"/>
    <cellStyle name="InputCell 3 7" xfId="6262" xr:uid="{925348DB-FE60-4787-A721-7C3AB16F2722}"/>
    <cellStyle name="InputCell 3 7 2" xfId="7909" xr:uid="{70155E67-F030-46F8-BA5E-A9738D7C8C54}"/>
    <cellStyle name="InputCell 3 8" xfId="5121" xr:uid="{C0D1EDEA-6B39-44D2-9EE3-341D33817271}"/>
    <cellStyle name="InputCell 3 8 2" xfId="6795" xr:uid="{2B70CAA4-17CA-4D68-90E6-5C053FA4613C}"/>
    <cellStyle name="InputCell 3 9" xfId="6475" xr:uid="{2FDC4449-E5B7-4F6C-8A87-352F85E44586}"/>
    <cellStyle name="InputCell 4" xfId="4917" xr:uid="{B4B7ABA5-01FF-465A-B8B8-B27A0FAE1AE6}"/>
    <cellStyle name="InputCell 4 2" xfId="5907" xr:uid="{B5DE5774-9F9A-421D-89FF-C93685A8521F}"/>
    <cellStyle name="InputCell 4 2 2" xfId="7560" xr:uid="{C3BC6C03-2C7B-4C39-859B-A038B488C94C}"/>
    <cellStyle name="InputCell 4 3" xfId="6203" xr:uid="{6BDAF828-9D10-42DB-B5E5-0688730CEE27}"/>
    <cellStyle name="InputCell 4 3 2" xfId="7850" xr:uid="{52094298-6C1C-4325-9E3C-C24A235F900C}"/>
    <cellStyle name="InputCell 4 4" xfId="6600" xr:uid="{3C2BB7F1-817C-4B08-AFBA-DEFEE2D78EB9}"/>
    <cellStyle name="InputCell 5" xfId="5217" xr:uid="{19A1E21A-D00B-4CA9-A45C-F23459640549}"/>
    <cellStyle name="InputCell 5 2" xfId="6888" xr:uid="{FE530CEE-EBC4-4A7F-B19A-39E313E4F40C}"/>
    <cellStyle name="InputCell 6" xfId="5263" xr:uid="{D8A1468B-0418-408A-9E6B-C5B01B9BE17D}"/>
    <cellStyle name="InputCell 6 2" xfId="6930" xr:uid="{44D661F4-A607-4261-9858-9096478B891D}"/>
    <cellStyle name="InputCell 7" xfId="5255" xr:uid="{81B16351-517C-4357-867A-9D3CDF2FCF0D}"/>
    <cellStyle name="InputCell 7 2" xfId="6922" xr:uid="{F4C6A39E-1072-4CDA-87A5-A054C58A0815}"/>
    <cellStyle name="InputCell 8" xfId="5225" xr:uid="{5BA3F11A-CE96-4C48-9EC0-F0F79B72F9BF}"/>
    <cellStyle name="InputCell 8 2" xfId="6894" xr:uid="{306DCD06-CF0E-4336-817D-AF3164A18843}"/>
    <cellStyle name="InputCell 9" xfId="5693" xr:uid="{F081ABE2-D352-4F53-99C6-609D5DAAB670}"/>
    <cellStyle name="InputCell 9 2" xfId="7352" xr:uid="{24446D01-BAC9-4045-B4D3-3C85814D75CD}"/>
    <cellStyle name="InputCurrency" xfId="1665" xr:uid="{FE3B1883-7038-4B24-8AAE-38F3B2BF65E2}"/>
    <cellStyle name="InputCurrency2" xfId="1666" xr:uid="{E5FCAECD-0DCF-4734-BEB1-E49D559C303B}"/>
    <cellStyle name="InputMultiple1" xfId="1667" xr:uid="{68D3735D-2EFC-4B8C-BFA6-02D6F86E6D96}"/>
    <cellStyle name="InputPercent1" xfId="1668" xr:uid="{70647B40-6CFF-4F40-A838-53C72743EAEE}"/>
    <cellStyle name="Integer" xfId="1669" xr:uid="{1CA763F1-CD1A-470E-9F3A-260530E4FD21}"/>
    <cellStyle name="Komma" xfId="1670" xr:uid="{37B404D4-B9CB-435E-B751-88268856D310}"/>
    <cellStyle name="Komma0" xfId="1671" xr:uid="{F19DF3FF-E751-40A6-B565-A489C7ACECD6}"/>
    <cellStyle name="Kopfzeile1" xfId="1672" xr:uid="{C913F6DE-635A-45EC-8268-D94919FDCF1F}"/>
    <cellStyle name="Kopfzeile2" xfId="1673" xr:uid="{CCD0AAC2-20DF-43C8-A568-88A74BF5FF05}"/>
    <cellStyle name="L1" xfId="1674" xr:uid="{7112AAC1-80B9-426B-AD5E-406F6BEA6371}"/>
    <cellStyle name="L11" xfId="1675" xr:uid="{001C700C-B557-4B2A-91D3-BFBD95C22A8D}"/>
    <cellStyle name="L11 2" xfId="4771" xr:uid="{0BF986E6-5D88-4EE3-BFA1-3B79E7021BB8}"/>
    <cellStyle name="L11 2 2" xfId="5765" xr:uid="{942333B1-086F-4897-8DEC-99B6183CB37C}"/>
    <cellStyle name="L11 2 2 2" xfId="7418" xr:uid="{7638D46F-CF31-45B9-8BC8-1BB22F1E728F}"/>
    <cellStyle name="L11 2 3" xfId="5969" xr:uid="{7F1757D9-D9A3-4979-B93B-6410352C44EF}"/>
    <cellStyle name="L11 2 3 2" xfId="7621" xr:uid="{66C4DDA9-3EBF-41BF-B554-4EA7B79C18D2}"/>
    <cellStyle name="L11 2 4" xfId="5417" xr:uid="{D4564B2D-686F-4F9D-B9DD-D4A8D7F94640}"/>
    <cellStyle name="L11 2 4 2" xfId="7081" xr:uid="{7D8B2080-DFFB-4733-BA90-5E1658AED379}"/>
    <cellStyle name="L11 2 5" xfId="6461" xr:uid="{56421BFC-BE49-4435-A721-525534072C83}"/>
    <cellStyle name="L11 3" xfId="4916" xr:uid="{8A4B6F1E-2EB3-4AA7-997A-08F99F6F4FEB}"/>
    <cellStyle name="L11 3 2" xfId="5906" xr:uid="{8D616D6A-E2BC-4D7F-A635-FDD1CA7326BE}"/>
    <cellStyle name="L11 3 2 2" xfId="7559" xr:uid="{81D76733-A696-4CE0-B677-A940605CE7F1}"/>
    <cellStyle name="L11 3 3" xfId="6097" xr:uid="{5F2149C5-1BFB-428B-AC04-8971B9D002BA}"/>
    <cellStyle name="L11 3 3 2" xfId="7749" xr:uid="{E91CD158-DFD1-419B-B413-A6F0C1134BEE}"/>
    <cellStyle name="L11 3 4" xfId="6202" xr:uid="{5A0128E3-B37E-4079-9D47-94F7266CDA0A}"/>
    <cellStyle name="L11 3 4 2" xfId="7849" xr:uid="{8081E7B9-238B-421D-A895-196AC9C31D71}"/>
    <cellStyle name="L11 3 5" xfId="6599" xr:uid="{238EA19E-1CAF-40E6-81C2-C00A44741AEE}"/>
    <cellStyle name="L11 4" xfId="5218" xr:uid="{0B42F5BA-395E-4205-8617-93D492CC8FEE}"/>
    <cellStyle name="L11 4 2" xfId="6889" xr:uid="{66FDEEE0-20C3-4D68-B26C-10C4F41988A7}"/>
    <cellStyle name="L11 5" xfId="5262" xr:uid="{C7C21170-D282-410F-A044-93142BB3F07A}"/>
    <cellStyle name="L11 5 2" xfId="6929" xr:uid="{3FD25F0F-8C9D-44CC-B8B6-CBA9D05EA3C1}"/>
    <cellStyle name="L11 6" xfId="5227" xr:uid="{4341619B-B3E5-43CD-A16A-260027A393F5}"/>
    <cellStyle name="L11 6 2" xfId="6896" xr:uid="{2D2C8A3B-3B2F-496A-ACDB-5C24234BCCE5}"/>
    <cellStyle name="L11 7" xfId="4966" xr:uid="{B49F8792-C521-4C6D-854F-C90B3A8E1756}"/>
    <cellStyle name="L11 7 2" xfId="6646" xr:uid="{977AB10D-2390-4DED-AC41-5D2214757E03}"/>
    <cellStyle name="L11 8" xfId="6374" xr:uid="{72A47874-CE06-4DE2-A760-7F63104DDAEB}"/>
    <cellStyle name="L2" xfId="1676" xr:uid="{95A4ACC2-1121-4609-972F-4A5E050A37CE}"/>
    <cellStyle name="L3" xfId="1677" xr:uid="{FD25CEC0-6252-4983-B12D-DAEE5FFB572E}"/>
    <cellStyle name="L4" xfId="1678" xr:uid="{474E292C-36FF-4D37-AB77-C77CC701F5F8}"/>
    <cellStyle name="L5" xfId="1679" xr:uid="{A47A3AD9-97B0-4EBF-B00C-EC9F844DE21E}"/>
    <cellStyle name="Label" xfId="1680" xr:uid="{9B3F6C6A-5262-4A72-8310-9FEF46FEA0E6}"/>
    <cellStyle name="Label 10" xfId="5026" xr:uid="{F26AE1E1-FE4E-49C9-B8AE-5452108D1352}"/>
    <cellStyle name="Label 11" xfId="6375" xr:uid="{84DC1C3A-0EC2-48B4-9E2A-87B10FF52BF1}"/>
    <cellStyle name="Label 2" xfId="4772" xr:uid="{FFC16E30-1837-4C05-A1FF-5FB0AF100B1F}"/>
    <cellStyle name="Label 2 2" xfId="5766" xr:uid="{192417F0-84C2-41D0-BD02-0F62F5F7805B}"/>
    <cellStyle name="Label 2 2 2" xfId="7419" xr:uid="{ABA6DC23-7B9A-4879-9CA6-20B77FAE0648}"/>
    <cellStyle name="Label 2 3" xfId="5418" xr:uid="{F7142412-B5A0-47D6-AF72-F26F9D860785}"/>
    <cellStyle name="Label 2 3 2" xfId="7082" xr:uid="{CB9E5B82-A999-4178-84E3-FD681888B0F7}"/>
    <cellStyle name="Label 2 4" xfId="6462" xr:uid="{59AF9AF1-B927-4B4C-9DEA-A3ECA1CC8D0E}"/>
    <cellStyle name="Label 3" xfId="4784" xr:uid="{08165FB5-EBC3-4EE9-8FA7-F3475658E270}"/>
    <cellStyle name="Label 3 2" xfId="5778" xr:uid="{8F894D03-03B1-4A24-92CA-E19F66690D0E}"/>
    <cellStyle name="Label 3 2 2" xfId="7431" xr:uid="{147802A6-3477-46F4-B13A-1124B32966B8}"/>
    <cellStyle name="Label 3 3" xfId="5978" xr:uid="{07ACB466-3E0F-41BA-B0A4-1D3839264520}"/>
    <cellStyle name="Label 3 3 2" xfId="7630" xr:uid="{D40E8DD2-9D62-4A4F-A5D0-83BB0132ACEF}"/>
    <cellStyle name="Label 3 4" xfId="6133" xr:uid="{2126EF0F-AD8D-45FC-9536-649AD660A263}"/>
    <cellStyle name="Label 3 4 2" xfId="7783" xr:uid="{D837F334-9452-4A9F-BB02-43F4CA5486D8}"/>
    <cellStyle name="Label 3 5" xfId="5517" xr:uid="{5C4D2657-C996-41A5-BA33-331DD9C46220}"/>
    <cellStyle name="Label 3 5 2" xfId="7181" xr:uid="{C8AD5D6F-0197-4EFE-9935-A538593DF95F}"/>
    <cellStyle name="Label 3 6" xfId="5079" xr:uid="{955905EC-AC20-4933-A754-FECC9A2CD894}"/>
    <cellStyle name="Label 3 6 2" xfId="6753" xr:uid="{664D0FC6-E1F7-4D1D-9F00-A2D99BD61727}"/>
    <cellStyle name="Label 3 7" xfId="6261" xr:uid="{5605A0B7-9D10-4EF5-A2CC-03FF1A215885}"/>
    <cellStyle name="Label 3 7 2" xfId="7908" xr:uid="{BB457BF5-06C9-4B01-9C50-CF85822C161D}"/>
    <cellStyle name="Label 3 8" xfId="6196" xr:uid="{13F1C442-8DCE-4F60-9F13-E378CF6F1DF0}"/>
    <cellStyle name="Label 3 8 2" xfId="7843" xr:uid="{07AC668E-D181-409C-8137-18A6AE8DA9F5}"/>
    <cellStyle name="Label 3 9" xfId="6474" xr:uid="{DF7114D1-E541-49A3-9360-38439A8ABAAA}"/>
    <cellStyle name="Label 4" xfId="4915" xr:uid="{420D9C07-829C-407C-A67D-B2A4C2790934}"/>
    <cellStyle name="Label 4 2" xfId="5905" xr:uid="{8FC0B4CB-4D06-46CB-8825-A644F90638B5}"/>
    <cellStyle name="Label 4 2 2" xfId="7558" xr:uid="{44C61013-A5E3-4B4A-86AD-C476B0E95798}"/>
    <cellStyle name="Label 4 3" xfId="5499" xr:uid="{A39D3FB4-4BD9-420C-BE72-6F153C2A4B9B}"/>
    <cellStyle name="Label 4 3 2" xfId="7163" xr:uid="{25A087C4-4F4A-4C77-B21B-0EBD41B25ABD}"/>
    <cellStyle name="Label 4 4" xfId="6598" xr:uid="{84082C70-E091-4CA2-837C-D724E2FB4A65}"/>
    <cellStyle name="Label 5" xfId="5219" xr:uid="{37E4C021-83BA-48D1-BDBE-64D05CC61F3D}"/>
    <cellStyle name="Label 5 2" xfId="6890" xr:uid="{8D2CEDE1-85B5-41A4-AB48-D79787B60E49}"/>
    <cellStyle name="Label 6" xfId="5261" xr:uid="{AE366E9B-566E-4523-804F-3C536EAA76EA}"/>
    <cellStyle name="Label 6 2" xfId="6928" xr:uid="{920E550B-6040-4EF3-A59D-1D0CB49CC910}"/>
    <cellStyle name="Label 7" xfId="5254" xr:uid="{B7C4C257-48DC-401A-AE42-576587D56BE2}"/>
    <cellStyle name="Label 7 2" xfId="6921" xr:uid="{04F375BE-89A0-4080-B37B-597930B11D5B}"/>
    <cellStyle name="Label 8" xfId="5228" xr:uid="{27A2A52B-8647-441D-9094-A892DAE8765D}"/>
    <cellStyle name="Label 8 2" xfId="6897" xr:uid="{1E438240-DB77-4086-ABFE-9E3B53DD3C6A}"/>
    <cellStyle name="Label 9" xfId="5692" xr:uid="{97185148-E64F-4CB1-BA9D-80617A09AC21}"/>
    <cellStyle name="Label 9 2" xfId="7351" xr:uid="{481D31DE-1F72-4B76-8CD7-87A32A34A353}"/>
    <cellStyle name="Large Header" xfId="1681" xr:uid="{E1843C4A-A755-4C53-869A-6CA35CA66235}"/>
    <cellStyle name="leftStyle" xfId="1682" xr:uid="{94B77830-055C-4A89-B1AF-8D6549EE4E45}"/>
    <cellStyle name="Link" xfId="1683" xr:uid="{CFDA2575-B769-4770-B02E-E71BD62A361F}"/>
    <cellStyle name="Link Currency (0)" xfId="1684" xr:uid="{A41BE65F-ECC8-4A36-8CEB-5AEC3FE7AC98}"/>
    <cellStyle name="Link Currency (2)" xfId="1685" xr:uid="{0057E4AA-D3EC-4BC8-A0AD-ADEBB526BF33}"/>
    <cellStyle name="Link Units (0)" xfId="1686" xr:uid="{848B5416-E676-479D-A66E-D251EDE88A44}"/>
    <cellStyle name="Link Units (1)" xfId="1687" xr:uid="{7DDEBCFE-1B74-44DC-A7A4-1BBF8AC8EB00}"/>
    <cellStyle name="Link Units (2)" xfId="1688" xr:uid="{98963BB5-2429-4C70-BF3F-39D598879EC3}"/>
    <cellStyle name="Linked Cell 2" xfId="1689" xr:uid="{B63345EC-74C4-4DB0-8596-B9662FF318CE}"/>
    <cellStyle name="Linked Cells" xfId="1690" xr:uid="{A7C7DB7D-769D-4704-93C8-215E8ACD0E94}"/>
    <cellStyle name="Locked" xfId="1691" xr:uid="{5010AD78-D058-41FD-BCA8-EFE315EB9A60}"/>
    <cellStyle name="LTM Cell Column Heading" xfId="128" xr:uid="{5B9609E5-140C-45D4-9B29-8AF86B77F88E}"/>
    <cellStyle name="Migliaia (0)_Abbinamenti" xfId="1692" xr:uid="{D72C59EC-B4FF-4EE4-8701-A28ABABCD117}"/>
    <cellStyle name="Migliaia_INGLESE,1" xfId="1693" xr:uid="{AF5D9610-ED78-41C0-960B-B052BF59DDD8}"/>
    <cellStyle name="Millares [0]_laroux" xfId="1694" xr:uid="{6DD6B017-1C3E-41B8-A9F5-5A44D351A191}"/>
    <cellStyle name="Millares_laroux" xfId="1695" xr:uid="{A23AF932-31EA-40DE-AD2B-AACF3DB189D3}"/>
    <cellStyle name="Milliers [0]_COMPAR" xfId="1696" xr:uid="{79AFC83A-09F2-4C3B-907F-7A2236C85B95}"/>
    <cellStyle name="Milliers_COMPAR" xfId="1697" xr:uid="{BED62CEB-7587-431D-9247-BD6B90BB7FB1}"/>
    <cellStyle name="Moneda [0]_laroux" xfId="1698" xr:uid="{71C53C59-9986-4429-A10E-F627F99B5DD9}"/>
    <cellStyle name="Moneda_laroux" xfId="1699" xr:uid="{125310B4-857A-45E2-B6C0-A57AAEFDCDB6}"/>
    <cellStyle name="Monétaire [0]_COMPAR" xfId="1700" xr:uid="{5A20171A-921C-4E36-82C6-DF5A2F62A648}"/>
    <cellStyle name="Monétaire_COMPAR" xfId="1701" xr:uid="{9F209AD6-7A44-4A93-BA48-096040641F39}"/>
    <cellStyle name="mult" xfId="1702" xr:uid="{BE359E96-E4F9-42E6-9C70-0ACE872B580C}"/>
    <cellStyle name="Multiple" xfId="1703" xr:uid="{932A7DBB-9B1F-4E8F-9000-68DD2854079E}"/>
    <cellStyle name="Multiple [0]" xfId="1704" xr:uid="{35603A38-6202-4D24-B518-00EB4543D049}"/>
    <cellStyle name="Multiple Cell Column Heading" xfId="129" xr:uid="{1B522878-EA60-4490-A490-FEC0E4C63845}"/>
    <cellStyle name="Multiple_05_01_09_Global" xfId="1705" xr:uid="{74803FC8-245F-4F48-ABF4-4DB3046F7773}"/>
    <cellStyle name="Multiple1" xfId="1706" xr:uid="{5B8BFDDE-EFFE-4B1D-81A9-CFD5CA4F1C59}"/>
    <cellStyle name="MultipleBelow" xfId="1707" xr:uid="{7A84D86F-7F04-4D7F-A928-9659BF797DC5}"/>
    <cellStyle name="NACC" xfId="1708" xr:uid="{841DD60C-9E55-4DC4-A369-9A5B3E3BEABD}"/>
    <cellStyle name="nascondi" xfId="1709" xr:uid="{5C8B6ECB-3189-487F-B09C-169E7E16690C}"/>
    <cellStyle name="Neutral 2" xfId="1710" xr:uid="{A19AF3F2-304E-4F07-9984-0E7DC8CEAB3C}"/>
    <cellStyle name="no dec" xfId="1711" xr:uid="{530AF80A-358A-4515-9424-E8BE63A86DA4}"/>
    <cellStyle name="No-Action" xfId="1712" xr:uid="{9F33E500-92A1-4232-84AC-3042F0100CE5}"/>
    <cellStyle name="NoEntry" xfId="1713" xr:uid="{C04FC6C0-ACAE-4AD0-98D1-65CB36685875}"/>
    <cellStyle name="NoEntry 10" xfId="5053" xr:uid="{2FEF803D-2AA2-46B7-9063-2E4E9BFCE21E}"/>
    <cellStyle name="NoEntry 11" xfId="6376" xr:uid="{F43B9308-6A9E-4185-BBC7-E3259B0F754E}"/>
    <cellStyle name="NoEntry 2" xfId="4773" xr:uid="{42CDBA9A-7980-40D7-A34B-2A5DE0073DF9}"/>
    <cellStyle name="NoEntry 2 2" xfId="5767" xr:uid="{6120DDA1-E21B-4057-ABDA-7DD76E046F8E}"/>
    <cellStyle name="NoEntry 2 2 2" xfId="7420" xr:uid="{CC38B90F-1918-43E7-8AE3-35C167E47434}"/>
    <cellStyle name="NoEntry 2 3" xfId="5419" xr:uid="{53899B33-6CDB-47D8-83C1-03749461155A}"/>
    <cellStyle name="NoEntry 2 3 2" xfId="7083" xr:uid="{06E37AFA-4F94-4F9B-B343-47595A6757A9}"/>
    <cellStyle name="NoEntry 2 4" xfId="6463" xr:uid="{F29331F3-D6A2-4A06-9A8B-4292C3AD3980}"/>
    <cellStyle name="NoEntry 3" xfId="4783" xr:uid="{FD3FD09F-87F9-4C65-B590-500106E81209}"/>
    <cellStyle name="NoEntry 3 2" xfId="5777" xr:uid="{D549FC59-EB89-46EB-806F-E53E54A62496}"/>
    <cellStyle name="NoEntry 3 2 2" xfId="7430" xr:uid="{0AEAE8DF-6AD2-47B9-A184-DEA7CA2DB337}"/>
    <cellStyle name="NoEntry 3 3" xfId="5977" xr:uid="{DDB9C6DC-9F00-4D1E-BB8E-B8F9D057E044}"/>
    <cellStyle name="NoEntry 3 3 2" xfId="7629" xr:uid="{A6A2B935-E696-4F19-9ECD-2A94309C5D12}"/>
    <cellStyle name="NoEntry 3 4" xfId="6132" xr:uid="{155A24D1-98F7-4974-BE02-7AFBBA34D2EE}"/>
    <cellStyle name="NoEntry 3 4 2" xfId="7782" xr:uid="{EAFF3109-53A3-4DC4-8031-7A07545ECB5A}"/>
    <cellStyle name="NoEntry 3 5" xfId="5516" xr:uid="{ECC3BAA3-DB64-46D5-8A93-7995AEBF70E6}"/>
    <cellStyle name="NoEntry 3 5 2" xfId="7180" xr:uid="{12679D29-D3B4-4D9E-B19D-4160C602A3C3}"/>
    <cellStyle name="NoEntry 3 6" xfId="5080" xr:uid="{E3C77FFD-94D3-4344-B698-6C0012A8DCFD}"/>
    <cellStyle name="NoEntry 3 6 2" xfId="6754" xr:uid="{9171633A-1CA3-4622-A689-67868AC8CF5E}"/>
    <cellStyle name="NoEntry 3 7" xfId="6260" xr:uid="{7A5167F7-B9F3-45CD-9B4C-1C344B686069}"/>
    <cellStyle name="NoEntry 3 7 2" xfId="7907" xr:uid="{BCD19EC0-169E-4689-B6F8-E80EFD419B8C}"/>
    <cellStyle name="NoEntry 3 8" xfId="5061" xr:uid="{DBC78C4E-C851-4B1D-88C5-A9ED336E7EBA}"/>
    <cellStyle name="NoEntry 3 8 2" xfId="6735" xr:uid="{55981D7C-29EF-4517-929C-AEB718579C0A}"/>
    <cellStyle name="NoEntry 3 9" xfId="6473" xr:uid="{141F1406-AEE9-4C74-99FA-BEC435A5B53F}"/>
    <cellStyle name="NoEntry 4" xfId="4914" xr:uid="{F3F689F7-863E-4683-9D1B-F9153BE2FFEA}"/>
    <cellStyle name="NoEntry 4 2" xfId="5904" xr:uid="{C34C3B51-A27D-4D9C-A1DA-CE6F8A197882}"/>
    <cellStyle name="NoEntry 4 2 2" xfId="7557" xr:uid="{F623EBDD-F1A4-4651-BD83-4061EC01189B}"/>
    <cellStyle name="NoEntry 4 3" xfId="5498" xr:uid="{C7FEDF64-28B1-4BB3-96B6-F7FA60DF8900}"/>
    <cellStyle name="NoEntry 4 3 2" xfId="7162" xr:uid="{2187C07D-E375-40B1-B11A-2F4B78C5EF69}"/>
    <cellStyle name="NoEntry 4 4" xfId="6597" xr:uid="{0A8A993C-ACB9-4883-A2BE-33472F976799}"/>
    <cellStyle name="NoEntry 5" xfId="5226" xr:uid="{18BCAD81-C0CB-4015-85D2-3CA9201C11A6}"/>
    <cellStyle name="NoEntry 5 2" xfId="6895" xr:uid="{33258AFE-3CC1-44E2-94F3-50A4055AFBAB}"/>
    <cellStyle name="NoEntry 6" xfId="5257" xr:uid="{B590E379-52B8-43A8-8B67-AF060486C031}"/>
    <cellStyle name="NoEntry 6 2" xfId="6924" xr:uid="{B4BB3C92-7ED5-41D3-BA7E-719946BB4744}"/>
    <cellStyle name="NoEntry 7" xfId="5253" xr:uid="{CFB5C09B-CB88-4655-8D44-FF09C6F04E92}"/>
    <cellStyle name="NoEntry 7 2" xfId="6920" xr:uid="{ACC3CFB7-A475-4998-9B37-C417B5D461DE}"/>
    <cellStyle name="NoEntry 8" xfId="5714" xr:uid="{E1A92F0D-58B6-4785-ACA5-34298265498B}"/>
    <cellStyle name="NoEntry 8 2" xfId="7372" xr:uid="{D697AE49-6D6F-45CA-8A0F-07F37CF7F7F2}"/>
    <cellStyle name="NoEntry 9" xfId="5698" xr:uid="{147747D7-E450-4B12-84FD-F60A54A65D59}"/>
    <cellStyle name="NoEntry 9 2" xfId="7357" xr:uid="{722CD975-70E5-4184-8DFD-97AB724875EB}"/>
    <cellStyle name="Norm1D" xfId="1714" xr:uid="{13EA4607-4430-4E28-95A5-EE01FCDA28FF}"/>
    <cellStyle name="Normal" xfId="0" builtinId="0"/>
    <cellStyle name="Normal - Style1" xfId="1715" xr:uid="{A0AD82ED-8E36-4CC1-819F-B5DC11E1AA4D}"/>
    <cellStyle name="Normal - Style5" xfId="1716" xr:uid="{BF41AF9C-E4BC-44D8-9C18-6BF664EC5E29}"/>
    <cellStyle name="Normal - Style6" xfId="1717" xr:uid="{037A43B7-84DD-4498-8620-C18DC058F335}"/>
    <cellStyle name="Normal - Style7" xfId="1718" xr:uid="{8FD386B1-88A3-417E-A3F3-04EEE6BF9526}"/>
    <cellStyle name="Normal - Style8" xfId="1719" xr:uid="{2CEF2FEF-7F08-4D8F-A9D7-BE2302CBDCC0}"/>
    <cellStyle name="Normal 1" xfId="1720" xr:uid="{335546F3-8422-4DEF-8B4D-AB2F381BA2E2}"/>
    <cellStyle name="Normal 10" xfId="5" xr:uid="{00000000-0005-0000-0000-000033000000}"/>
    <cellStyle name="Normal 10 2" xfId="98" xr:uid="{00000000-0005-0000-0000-000034000000}"/>
    <cellStyle name="Normal 10 3" xfId="1721" xr:uid="{01507A22-A6F7-40B3-BF67-B8A7209A64E7}"/>
    <cellStyle name="Normal 11" xfId="77" xr:uid="{00000000-0005-0000-0000-000035000000}"/>
    <cellStyle name="Normal 11 2" xfId="33" xr:uid="{00000000-0005-0000-0000-000036000000}"/>
    <cellStyle name="Normal 12" xfId="79" xr:uid="{00000000-0005-0000-0000-000037000000}"/>
    <cellStyle name="Normal 13" xfId="89" xr:uid="{00000000-0005-0000-0000-000038000000}"/>
    <cellStyle name="Normal 13 2" xfId="119" xr:uid="{00000000-0005-0000-0000-000039000000}"/>
    <cellStyle name="Normal 14" xfId="92" xr:uid="{00000000-0005-0000-0000-00003A000000}"/>
    <cellStyle name="Normal 143" xfId="4727" xr:uid="{E5608881-42FE-4E4E-8B7A-7726F803B1D9}"/>
    <cellStyle name="Normal 15" xfId="95" xr:uid="{00000000-0005-0000-0000-00003B000000}"/>
    <cellStyle name="Normal 16" xfId="96" xr:uid="{00000000-0005-0000-0000-00003C000000}"/>
    <cellStyle name="Normal 17" xfId="42" xr:uid="{00000000-0005-0000-0000-00003D000000}"/>
    <cellStyle name="Normal 17 2" xfId="141" xr:uid="{FE1260F4-F9FA-49FF-9016-F3A038BD5B7C}"/>
    <cellStyle name="Normal 18" xfId="111" xr:uid="{00000000-0005-0000-0000-00003E000000}"/>
    <cellStyle name="Normal 18 2" xfId="1722" xr:uid="{4D7DBEF9-FC13-47A0-A1FB-F61A9EB5717E}"/>
    <cellStyle name="Normal 19" xfId="36" xr:uid="{00000000-0005-0000-0000-00003F000000}"/>
    <cellStyle name="Normal 19 2" xfId="113" xr:uid="{00000000-0005-0000-0000-000040000000}"/>
    <cellStyle name="Normal 19 2 2" xfId="1724" xr:uid="{FDE9269F-7993-4177-BB96-6EC28E1A5986}"/>
    <cellStyle name="Normal 19 3" xfId="1725" xr:uid="{2628D5C6-D095-419E-A7AE-568483BF52AE}"/>
    <cellStyle name="Normal 19 4" xfId="1723" xr:uid="{5379CDE7-DC4B-4673-9E23-704D385F86D2}"/>
    <cellStyle name="Normal 2" xfId="15" xr:uid="{00000000-0005-0000-0000-000041000000}"/>
    <cellStyle name="Normal 2 10" xfId="51" xr:uid="{00000000-0005-0000-0000-000042000000}"/>
    <cellStyle name="Normal 2 10 2" xfId="22" xr:uid="{00000000-0005-0000-0000-000043000000}"/>
    <cellStyle name="Normal 2 2" xfId="49" xr:uid="{00000000-0005-0000-0000-000044000000}"/>
    <cellStyle name="Normal 2 2 2" xfId="11" xr:uid="{00000000-0005-0000-0000-000045000000}"/>
    <cellStyle name="Normal 2 2 2 2" xfId="1727" xr:uid="{2AC5AE38-E5B7-416B-9DED-7D6FD1B86C5B}"/>
    <cellStyle name="Normal 2 2 3" xfId="112" xr:uid="{00000000-0005-0000-0000-000046000000}"/>
    <cellStyle name="Normal 2 2 4" xfId="109" xr:uid="{00000000-0005-0000-0000-000047000000}"/>
    <cellStyle name="Normal 2 2 5" xfId="1726" xr:uid="{99269F33-873A-4A9E-B24C-23912EB3FA11}"/>
    <cellStyle name="Normal 2 3" xfId="59" xr:uid="{00000000-0005-0000-0000-000048000000}"/>
    <cellStyle name="Normal 2 3 2" xfId="1728" xr:uid="{94CDA3E0-309E-4626-88A1-906891DEF0F8}"/>
    <cellStyle name="Normal 2 3 3" xfId="7985" xr:uid="{7F9B3860-FE08-4985-9C85-706A92F56DA6}"/>
    <cellStyle name="Normal 2 3 4" xfId="38" xr:uid="{00000000-0005-0000-0000-000049000000}"/>
    <cellStyle name="Normal 2 4" xfId="34" xr:uid="{00000000-0005-0000-0000-00004A000000}"/>
    <cellStyle name="Normal 2 5" xfId="91" xr:uid="{00000000-0005-0000-0000-00004B000000}"/>
    <cellStyle name="Normal 2 6" xfId="130" xr:uid="{93F74F2B-C5CA-4FB6-BC64-A7DDB597D9E2}"/>
    <cellStyle name="Normal 20" xfId="40" xr:uid="{00000000-0005-0000-0000-00004C000000}"/>
    <cellStyle name="Normal 20 2" xfId="1729" xr:uid="{E6B97D95-E845-4DEA-AB0A-D0F2B2113E78}"/>
    <cellStyle name="Normal 21" xfId="117" xr:uid="{00000000-0005-0000-0000-00004D000000}"/>
    <cellStyle name="Normal 21 2" xfId="1730" xr:uid="{03811301-6524-4D39-B0EE-A9990D184388}"/>
    <cellStyle name="Normal 22" xfId="1731" xr:uid="{47FF5074-5CDC-48C8-A143-260447C5609E}"/>
    <cellStyle name="Normal 23" xfId="1732" xr:uid="{7FE522B7-299F-4192-9C3F-4BE844A1810E}"/>
    <cellStyle name="Normal 24" xfId="4729" xr:uid="{65408F37-8152-4B75-B25A-D93A7604AF17}"/>
    <cellStyle name="Normal 3" xfId="27" xr:uid="{00000000-0005-0000-0000-00004E000000}"/>
    <cellStyle name="Normal 3 10" xfId="1734" xr:uid="{FFAA2C15-1C1D-4387-AD9D-E4AFD1E9456D}"/>
    <cellStyle name="Normal 3 10 2" xfId="1735" xr:uid="{7744644B-7ECF-4178-8A1B-26470A4200DF}"/>
    <cellStyle name="Normal 3 2" xfId="70" xr:uid="{00000000-0005-0000-0000-00004F000000}"/>
    <cellStyle name="Normal 3 2 2" xfId="53" xr:uid="{00000000-0005-0000-0000-000050000000}"/>
    <cellStyle name="Normal 3 2 2 2" xfId="8" xr:uid="{00000000-0005-0000-0000-000051000000}"/>
    <cellStyle name="Normal 3 2 3" xfId="1736" xr:uid="{44D1E1E3-100B-4E66-BC78-375CAEDEDF12}"/>
    <cellStyle name="Normal 3 3" xfId="19" xr:uid="{00000000-0005-0000-0000-000052000000}"/>
    <cellStyle name="Normal 3 3 2" xfId="1737" xr:uid="{A69F39A3-2DCB-4DA0-82BD-7F9B3FBC248D}"/>
    <cellStyle name="Normal 3 4" xfId="55" xr:uid="{00000000-0005-0000-0000-000053000000}"/>
    <cellStyle name="Normal 3 5" xfId="1733" xr:uid="{BA94869F-C98A-4E0A-93D2-10CA8599BEEE}"/>
    <cellStyle name="Normal 36" xfId="67" xr:uid="{00000000-0005-0000-0000-000054000000}"/>
    <cellStyle name="Normal 4" xfId="30" xr:uid="{00000000-0005-0000-0000-000055000000}"/>
    <cellStyle name="Normal 4 2" xfId="106" xr:uid="{00000000-0005-0000-0000-000056000000}"/>
    <cellStyle name="Normal 4 2 2" xfId="1739" xr:uid="{9A859051-4263-420F-9E1A-436CFBC2BEA3}"/>
    <cellStyle name="Normal 4 3" xfId="48" xr:uid="{00000000-0005-0000-0000-000057000000}"/>
    <cellStyle name="Normal 4 4" xfId="1738" xr:uid="{B5FFE1AD-79DF-4A3D-AA65-37CB79E252A8}"/>
    <cellStyle name="Normal 5" xfId="61" xr:uid="{00000000-0005-0000-0000-000058000000}"/>
    <cellStyle name="Normal 5 2" xfId="3" xr:uid="{00000000-0005-0000-0000-000059000000}"/>
    <cellStyle name="Normal 5 2 2" xfId="25" xr:uid="{00000000-0005-0000-0000-00005A000000}"/>
    <cellStyle name="Normal 5 2 2 2" xfId="1742" xr:uid="{2C6B6861-D12B-446A-8B89-4E3F9F54FA76}"/>
    <cellStyle name="Normal 5 2 3" xfId="1741" xr:uid="{DB74FF1C-5929-4CA7-B792-1F742BDA06B1}"/>
    <cellStyle name="Normal 5 3" xfId="1743" xr:uid="{BA171FB9-2D9F-497C-A0A5-C25255E055E1}"/>
    <cellStyle name="Normal 5 4" xfId="1740" xr:uid="{D6022C29-71BF-48AF-81A8-361027369EB5}"/>
    <cellStyle name="Normal 6" xfId="63" xr:uid="{00000000-0005-0000-0000-00005B000000}"/>
    <cellStyle name="Normal 6 2" xfId="1744" xr:uid="{E0874D89-3417-4544-9745-484F887D7E03}"/>
    <cellStyle name="Normal 7" xfId="64" xr:uid="{00000000-0005-0000-0000-00005C000000}"/>
    <cellStyle name="Normal 7 2" xfId="97" xr:uid="{00000000-0005-0000-0000-00005D000000}"/>
    <cellStyle name="Normal 7 3" xfId="1745" xr:uid="{EF405C20-050E-40A7-9933-8F81AF07C046}"/>
    <cellStyle name="Normal 8" xfId="65" xr:uid="{00000000-0005-0000-0000-00005E000000}"/>
    <cellStyle name="Normal 8 2" xfId="90" xr:uid="{00000000-0005-0000-0000-00005F000000}"/>
    <cellStyle name="Normal 8 2 2" xfId="1748" xr:uid="{5A85FB57-73B4-4FE6-A4B1-50DD828DCA0F}"/>
    <cellStyle name="Normal 8 2 2 2" xfId="1749" xr:uid="{8EB13E79-A985-4984-971B-52589E214B63}"/>
    <cellStyle name="Normal 8 2 2 3" xfId="1750" xr:uid="{A42DA26F-B7B1-4363-89DD-0ABD11F8B77E}"/>
    <cellStyle name="Normal 8 2 2 3 2" xfId="1751" xr:uid="{AEC9B991-4657-4DBB-B037-FEF267228576}"/>
    <cellStyle name="Normal 8 2 2 3 2 2" xfId="1752" xr:uid="{4AECE599-EA5B-4DE2-BD66-3B4FB956A62A}"/>
    <cellStyle name="Normal 8 2 2 3 2 2 2" xfId="1753" xr:uid="{D9353B1C-CC16-497A-9B5D-12DA01C841F9}"/>
    <cellStyle name="Normal 8 2 2 3 2 2 2 2" xfId="1754" xr:uid="{9CBF86BF-E1EE-4AC1-BA93-DB87B6DF0238}"/>
    <cellStyle name="Normal 8 2 2 3 2 2 2 2 2" xfId="1755" xr:uid="{62591957-05B1-4C2E-A1D5-A6B2C360135F}"/>
    <cellStyle name="Normal 8 2 2 3 2 2 2 3" xfId="1756" xr:uid="{488F23CA-72F1-418F-9A15-576A5FC520A9}"/>
    <cellStyle name="Normal 8 2 2 3 2 2 2 3 2" xfId="1757" xr:uid="{B0FB9005-0F9E-49E0-BC32-2EFF47A03B4F}"/>
    <cellStyle name="Normal 8 2 2 3 2 2 2 3 2 2" xfId="1758" xr:uid="{B8E610C8-0745-45A7-B2AC-19518F2B1839}"/>
    <cellStyle name="Normal 8 2 2 3 3" xfId="1759" xr:uid="{937B8E4D-E48C-45A9-8CD2-F39198A65BEA}"/>
    <cellStyle name="Normal 8 2 2 3 3 2" xfId="1760" xr:uid="{96E2DDC7-81B7-47B4-9DD0-EC92DC470ECF}"/>
    <cellStyle name="Normal 8 2 2 3 3 2 2" xfId="1761" xr:uid="{82295DB4-2BC1-400A-920B-B787BCD19308}"/>
    <cellStyle name="Normal 8 2 3" xfId="1762" xr:uid="{43B1B788-F84B-46F5-854D-AA59304A95B9}"/>
    <cellStyle name="Normal 8 2 4" xfId="1763" xr:uid="{A92269FF-755A-4F49-AD10-45405EB667D5}"/>
    <cellStyle name="Normal 8 2 4 2" xfId="1764" xr:uid="{A072729C-3795-4999-9A7A-93E7838896CF}"/>
    <cellStyle name="Normal 8 2 4 2 2" xfId="1765" xr:uid="{5B97892D-92A7-4A8A-B02B-9996A1A8B429}"/>
    <cellStyle name="Normal 8 2 5" xfId="1766" xr:uid="{B466890A-98CA-466E-9D7E-E151BB149000}"/>
    <cellStyle name="Normal 8 2 6" xfId="1767" xr:uid="{D48248FC-C787-49F6-A130-1681E5B3CA14}"/>
    <cellStyle name="Normal 8 2 7" xfId="1768" xr:uid="{4387EAE3-0BBB-4F4B-ADB5-41DF148D1C2B}"/>
    <cellStyle name="Normal 8 2 8" xfId="1747" xr:uid="{67B4F9B6-E088-46F1-8009-6677C5286ED3}"/>
    <cellStyle name="Normal 8 3" xfId="1769" xr:uid="{D0923B75-F7A4-4D7C-B071-33FBED45D810}"/>
    <cellStyle name="Normal 8 4" xfId="1770" xr:uid="{E1B43387-E022-4318-85B5-71368E9A50A7}"/>
    <cellStyle name="Normal 8 4 2" xfId="1771" xr:uid="{29931D5A-EBAA-4169-BEBF-21FE96C79935}"/>
    <cellStyle name="Normal 8 5" xfId="1772" xr:uid="{831FC6EE-2379-4778-8104-C82CDBC311B6}"/>
    <cellStyle name="Normal 8 6" xfId="1773" xr:uid="{A572739B-53D5-4EC8-9750-2F243223A59A}"/>
    <cellStyle name="Normal 8 7" xfId="1746" xr:uid="{F572D9E7-5B43-4CF1-A96B-CA6248C1D8D8}"/>
    <cellStyle name="Normal 9" xfId="68" xr:uid="{00000000-0005-0000-0000-000060000000}"/>
    <cellStyle name="Normal 9 2" xfId="74" xr:uid="{00000000-0005-0000-0000-000061000000}"/>
    <cellStyle name="Normal 9 2 2" xfId="43" xr:uid="{00000000-0005-0000-0000-000062000000}"/>
    <cellStyle name="Normal TmsRmn 7" xfId="1774" xr:uid="{4A1748A2-5B86-429A-9DA1-0D0C7829D721}"/>
    <cellStyle name="Normal TmsRmn 8" xfId="1775" xr:uid="{F44E1478-2A79-4614-B6AD-DA278CF714EF}"/>
    <cellStyle name="Normal TmsRmn 8 Bold" xfId="1776" xr:uid="{0F8F90E6-E063-43C1-9259-D9303F05004D}"/>
    <cellStyle name="Normal_Giang_2" xfId="28" xr:uid="{00000000-0005-0000-0000-000063000000}"/>
    <cellStyle name="Normal1" xfId="1777" xr:uid="{00340AF5-BBC6-42FB-BC35-25E26653BA6B}"/>
    <cellStyle name="Normal10pt" xfId="1778" xr:uid="{919F5272-22DB-4EFC-9BC1-C23B4DBAA181}"/>
    <cellStyle name="Normal2" xfId="1779" xr:uid="{E909F5FE-5B5E-48E4-B891-D7B42E4E0514}"/>
    <cellStyle name="Normal9pt" xfId="1780" xr:uid="{C97903CB-097D-410C-996C-29066E70F607}"/>
    <cellStyle name="Normale_CAP PROPRES 30 06 2006" xfId="1781" xr:uid="{7EE8DA4C-3827-4D80-B19B-87C545073766}"/>
    <cellStyle name="NormalInput" xfId="1782" xr:uid="{26E19209-B398-46DA-892F-9FE4FD8733E0}"/>
    <cellStyle name="Normalny_2210  HARMONOGRAM RZECZOWO_ FINANSOWY OF1" xfId="1783" xr:uid="{1A776157-9BB8-4328-9E4A-719EB76111E9}"/>
    <cellStyle name="Not Implemented" xfId="1784" xr:uid="{A635DC55-C6C8-4291-9348-41CEC19419A7}"/>
    <cellStyle name="Not Implemented 10" xfId="6163" xr:uid="{C3104DBA-412A-4BB7-B0B4-961E825872A1}"/>
    <cellStyle name="Not Implemented 11" xfId="6377" xr:uid="{365ED28A-5407-487B-98C2-DEF424962B66}"/>
    <cellStyle name="Not Implemented 2" xfId="4774" xr:uid="{0FBE099C-9532-46EF-AA64-483AD8346987}"/>
    <cellStyle name="Not Implemented 2 2" xfId="5768" xr:uid="{AF454DF3-11EA-4C5A-B1E3-35789B639C04}"/>
    <cellStyle name="Not Implemented 2 2 2" xfId="7421" xr:uid="{EADC2E53-4279-42E0-A1A1-4D9642D91AB4}"/>
    <cellStyle name="Not Implemented 2 3" xfId="5420" xr:uid="{240D19D7-4752-4262-BDB9-6AFC1407E845}"/>
    <cellStyle name="Not Implemented 2 3 2" xfId="7084" xr:uid="{720EC66C-CF02-4064-A5AC-B53545FF2039}"/>
    <cellStyle name="Not Implemented 2 4" xfId="6464" xr:uid="{E8360F7E-6F8B-4F96-82D3-FFBCEF17F7C4}"/>
    <cellStyle name="Not Implemented 3" xfId="4782" xr:uid="{9846ECD9-C98B-455A-8DE9-D1042BB056FF}"/>
    <cellStyle name="Not Implemented 3 2" xfId="5776" xr:uid="{4C3644EE-F0D1-46CA-866C-D8811D6228D4}"/>
    <cellStyle name="Not Implemented 3 2 2" xfId="7429" xr:uid="{3C0520C8-8A0E-4958-8631-465C803BD4EA}"/>
    <cellStyle name="Not Implemented 3 3" xfId="5976" xr:uid="{01529ED6-E9D0-4BAC-A3C6-0EB34F13B6B5}"/>
    <cellStyle name="Not Implemented 3 3 2" xfId="7628" xr:uid="{A16ACF0E-1CBB-4A0A-B825-40B2CE9E7480}"/>
    <cellStyle name="Not Implemented 3 4" xfId="6131" xr:uid="{A552A7DB-AF06-4D7D-B854-4C4946100C7E}"/>
    <cellStyle name="Not Implemented 3 4 2" xfId="7781" xr:uid="{3B0C1D6C-1ADE-4985-8C16-9FAFA96A835F}"/>
    <cellStyle name="Not Implemented 3 5" xfId="5515" xr:uid="{65BE9D1E-8A4A-418D-9532-DAFFC946AB32}"/>
    <cellStyle name="Not Implemented 3 5 2" xfId="7179" xr:uid="{925484CA-03FD-4BEF-9783-F9D3E83DF5E9}"/>
    <cellStyle name="Not Implemented 3 6" xfId="5081" xr:uid="{416CCA45-2E9F-4208-9F11-286AA2D852DE}"/>
    <cellStyle name="Not Implemented 3 6 2" xfId="6755" xr:uid="{A9769EDC-F2E1-4116-BF2E-E6D48C0437AE}"/>
    <cellStyle name="Not Implemented 3 7" xfId="6259" xr:uid="{C802E2F6-6D98-4215-B8B3-4259C9A3AC11}"/>
    <cellStyle name="Not Implemented 3 7 2" xfId="7906" xr:uid="{95F5DD45-BA04-4598-B963-873F399DC766}"/>
    <cellStyle name="Not Implemented 3 8" xfId="5122" xr:uid="{0BDD7FC8-CFE9-4CA0-B765-D06574726392}"/>
    <cellStyle name="Not Implemented 3 8 2" xfId="6796" xr:uid="{558D8B7A-65EE-428F-9153-D75DFEF29072}"/>
    <cellStyle name="Not Implemented 3 9" xfId="6472" xr:uid="{1E07EEF0-1FFD-4972-B363-BA8810ED8CE5}"/>
    <cellStyle name="Not Implemented 4" xfId="4913" xr:uid="{7A7D9730-A71A-4205-82C4-9A6572396CE3}"/>
    <cellStyle name="Not Implemented 4 2" xfId="5903" xr:uid="{D9CD69FC-E9F2-4E9D-9E03-B886D4DC76BA}"/>
    <cellStyle name="Not Implemented 4 2 2" xfId="7556" xr:uid="{9A06C20A-6774-47A4-AE0D-0C0E3CE0144B}"/>
    <cellStyle name="Not Implemented 4 3" xfId="5497" xr:uid="{8E508D95-A56B-4E64-A7A5-0E325EB395D5}"/>
    <cellStyle name="Not Implemented 4 3 2" xfId="7161" xr:uid="{95AFB7C0-201F-41E0-8EA5-9F20151EC021}"/>
    <cellStyle name="Not Implemented 4 4" xfId="6596" xr:uid="{0AA58861-38B1-43A0-A482-3ED169F992EF}"/>
    <cellStyle name="Not Implemented 5" xfId="5231" xr:uid="{0D95A0D1-B83C-4EB1-B31F-D1F2BA5FEDE2}"/>
    <cellStyle name="Not Implemented 5 2" xfId="6900" xr:uid="{B5A3A4BE-0AF6-4F27-99E3-CEECC76602FE}"/>
    <cellStyle name="Not Implemented 6" xfId="5251" xr:uid="{2E35632A-7A7C-49FE-9171-EFF29172E6EF}"/>
    <cellStyle name="Not Implemented 6 2" xfId="6918" xr:uid="{1D3BD4A5-3E07-42B8-9A3B-F56907390FD1}"/>
    <cellStyle name="Not Implemented 7" xfId="5247" xr:uid="{305E00EE-9261-4033-9FE2-3043056D17B1}"/>
    <cellStyle name="Not Implemented 7 2" xfId="6914" xr:uid="{0ECB3DE2-F2E7-42A1-A3F8-060F3189A2AC}"/>
    <cellStyle name="Not Implemented 8" xfId="4958" xr:uid="{C1223243-C8F0-408B-BB78-2D6410977B7C}"/>
    <cellStyle name="Not Implemented 8 2" xfId="6639" xr:uid="{F7EBA2CC-EE1C-4603-B11D-34CB43F2EA3F}"/>
    <cellStyle name="Not Implemented 9" xfId="6161" xr:uid="{91314BF7-5055-4391-93E3-A5F34E2D4C24}"/>
    <cellStyle name="Not Implemented 9 2" xfId="7811" xr:uid="{359D9BAB-23BF-4248-9513-FBFC2202DB9D}"/>
    <cellStyle name="Note 2" xfId="1785" xr:uid="{FE34FC77-0298-4BA0-AD56-69E56B383D23}"/>
    <cellStyle name="Note 2 2" xfId="4775" xr:uid="{5D132991-BC5C-47D9-9755-90E1C076F16A}"/>
    <cellStyle name="Note 2 2 2" xfId="5769" xr:uid="{FF4650DC-6628-4072-9910-72AC77E8BD07}"/>
    <cellStyle name="Note 2 2 2 2" xfId="7422" xr:uid="{3BC3CE68-CC39-43C8-AF01-9934DB76A585}"/>
    <cellStyle name="Note 2 2 3" xfId="5970" xr:uid="{FE8B4603-BCB3-40D8-929E-E5778F24F379}"/>
    <cellStyle name="Note 2 2 3 2" xfId="7622" xr:uid="{35BDFD6F-D3D1-4818-BBBD-C8B3E4E7BEB2}"/>
    <cellStyle name="Note 2 2 4" xfId="5421" xr:uid="{9063BCEC-4D8A-4491-B402-074E0201CD76}"/>
    <cellStyle name="Note 2 2 4 2" xfId="7085" xr:uid="{7C59A768-7661-4A34-8E55-60AEBA38D6F6}"/>
    <cellStyle name="Note 2 2 5" xfId="6254" xr:uid="{5A2B1388-879D-444B-A307-E06DF7768557}"/>
    <cellStyle name="Note 2 2 5 2" xfId="7901" xr:uid="{7920DCF4-4A73-402A-92C0-A4F141F8943B}"/>
    <cellStyle name="Note 2 2 6" xfId="6465" xr:uid="{25107E61-D2C6-4835-8DBA-8B1DBA6DAFAB}"/>
    <cellStyle name="Note 2 3" xfId="4912" xr:uid="{81F925C4-288C-4AA4-A716-0944B69B5F77}"/>
    <cellStyle name="Note 2 3 2" xfId="5902" xr:uid="{E69813F6-7C82-40AB-8AE5-66E765AC81D4}"/>
    <cellStyle name="Note 2 3 2 2" xfId="7555" xr:uid="{DD503C48-9C64-4835-819A-64C638FC5964}"/>
    <cellStyle name="Note 2 3 3" xfId="6096" xr:uid="{3B891BB8-6931-40A5-8B5D-00553955E4D9}"/>
    <cellStyle name="Note 2 3 3 2" xfId="7748" xr:uid="{FEC0D498-5821-49AE-BED5-EFC3A01A3E26}"/>
    <cellStyle name="Note 2 3 4" xfId="5496" xr:uid="{B93262EF-2191-4993-9C89-971199C9720C}"/>
    <cellStyle name="Note 2 3 4 2" xfId="7160" xr:uid="{CD650DB6-3CA9-434A-B3DB-1D5DDC9B8A52}"/>
    <cellStyle name="Note 2 3 5" xfId="6595" xr:uid="{C12EDF1E-9246-4A79-923D-F24BDCC768E9}"/>
    <cellStyle name="Note 2 4" xfId="5232" xr:uid="{41689149-DB12-4DA7-82BC-9DA32562050F}"/>
    <cellStyle name="Note 2 4 2" xfId="6901" xr:uid="{C406D585-5024-4E20-9AE0-B4E22C5D9540}"/>
    <cellStyle name="Note 2 5" xfId="5250" xr:uid="{087698A8-0A1E-4098-B7AA-FD154FE62C89}"/>
    <cellStyle name="Note 2 5 2" xfId="6917" xr:uid="{BE3DEC56-B175-4D51-9F94-CF5E342CA666}"/>
    <cellStyle name="Note 2 6" xfId="5236" xr:uid="{B30D4A85-7867-402F-8E7E-F03F2DEB0778}"/>
    <cellStyle name="Note 2 6 2" xfId="6905" xr:uid="{60E1C33C-9C73-4916-9DD3-A5A56893F3D3}"/>
    <cellStyle name="Note 2 7" xfId="4962" xr:uid="{A346CE48-F4A8-4B8E-909C-489F40772E6E}"/>
    <cellStyle name="Note 2 7 2" xfId="6642" xr:uid="{FA23A0C6-EAE2-4156-B0FD-2E5E565CB5B8}"/>
    <cellStyle name="Note 2 8" xfId="6378" xr:uid="{4D347A09-9BA9-4DD0-94A8-4D1A799929E4}"/>
    <cellStyle name="Notes_multi" xfId="131" xr:uid="{8BCBA659-7F8D-4D22-9644-2E073AA48A43}"/>
    <cellStyle name="Notiz" xfId="1786" xr:uid="{D627F968-6306-4093-A67C-18B4E3770E23}"/>
    <cellStyle name="Notiz 2" xfId="4776" xr:uid="{2FD689E9-FF0F-4FE7-A3BE-0323247D0C73}"/>
    <cellStyle name="Notiz 2 2" xfId="5770" xr:uid="{F032B91F-14B3-430B-B5B4-10612AB84433}"/>
    <cellStyle name="Notiz 2 2 2" xfId="7423" xr:uid="{F8E45AE1-330D-4D39-923F-234DC7508D61}"/>
    <cellStyle name="Notiz 2 3" xfId="5971" xr:uid="{09CCDEA4-21EA-480E-AB78-E0332F119ECC}"/>
    <cellStyle name="Notiz 2 3 2" xfId="7623" xr:uid="{5927E930-4624-4047-B5B1-4B03A7B922FE}"/>
    <cellStyle name="Notiz 2 4" xfId="5530" xr:uid="{CEDBDBA1-53FA-4B86-90EE-9C0F66351A30}"/>
    <cellStyle name="Notiz 2 4 2" xfId="7194" xr:uid="{ACBC42A2-FA8E-460E-8FE1-85E9D22937EF}"/>
    <cellStyle name="Notiz 2 5" xfId="6255" xr:uid="{C3C58E8C-835D-4A81-9175-5C3C5F3A18EB}"/>
    <cellStyle name="Notiz 2 5 2" xfId="7902" xr:uid="{BE992A4A-B288-4597-A338-22CAA9F1C241}"/>
    <cellStyle name="Notiz 2 6" xfId="6466" xr:uid="{9A50F2D5-491A-449C-AF91-A91F1BA91734}"/>
    <cellStyle name="Notiz 3" xfId="4911" xr:uid="{E9B3864F-DE3F-4799-B29A-4F2C51190B2A}"/>
    <cellStyle name="Notiz 3 2" xfId="5901" xr:uid="{A61CAA3C-10B6-4500-83AE-A74CF9B69CC6}"/>
    <cellStyle name="Notiz 3 2 2" xfId="7554" xr:uid="{45077581-8190-4E05-8A8C-DC9A7AE458BE}"/>
    <cellStyle name="Notiz 3 3" xfId="6095" xr:uid="{D2D11AA1-4CAD-4A3D-9F5B-05BB67C94739}"/>
    <cellStyle name="Notiz 3 3 2" xfId="7747" xr:uid="{C154247F-5E28-44AB-8474-96957C9B31B1}"/>
    <cellStyle name="Notiz 3 4" xfId="5495" xr:uid="{23337913-5B00-4A06-B5A9-EAE66284AC4F}"/>
    <cellStyle name="Notiz 3 4 2" xfId="7159" xr:uid="{938A5ECA-59B4-4CFD-9048-8DF8C9592FFC}"/>
    <cellStyle name="Notiz 3 5" xfId="6594" xr:uid="{E4478FAD-DD63-4CC0-A769-B1FBA379E3F5}"/>
    <cellStyle name="Notiz 4" xfId="5233" xr:uid="{5F2BE9A9-5653-41B4-A4B5-14AE32FDA801}"/>
    <cellStyle name="Notiz 4 2" xfId="6902" xr:uid="{C50DFDDE-97FC-4969-8059-C40A77EE2159}"/>
    <cellStyle name="Notiz 5" xfId="5249" xr:uid="{F6CC2792-C374-455C-B08E-4FE6EEF4021F}"/>
    <cellStyle name="Notiz 5 2" xfId="6916" xr:uid="{D96AC18D-6209-4056-98E4-2386573B1FBC}"/>
    <cellStyle name="Notiz 6" xfId="5237" xr:uid="{BE05B4A9-37E6-4720-AE71-BA1A995CE987}"/>
    <cellStyle name="Notiz 6 2" xfId="6906" xr:uid="{70909CB9-A290-4121-AF47-BAAC44608829}"/>
    <cellStyle name="Notiz 7" xfId="4969" xr:uid="{05A61A86-893F-4765-A6B4-AF5831A01DBA}"/>
    <cellStyle name="Notiz 7 2" xfId="6649" xr:uid="{07C03B70-43B4-4864-A989-AF12F056994C}"/>
    <cellStyle name="Notiz 8" xfId="6379" xr:uid="{F3980B61-931D-4B80-9AFF-5AA13EC1290E}"/>
    <cellStyle name="numero" xfId="1787" xr:uid="{AE901953-0B84-4472-A2C4-69A3968476F9}"/>
    <cellStyle name="numPStyle" xfId="1788" xr:uid="{C982276B-F692-4D20-832C-C2C3E13AF719}"/>
    <cellStyle name="Œ…‹æØ‚è [0.00]_GE 3 MINIMUM" xfId="1789" xr:uid="{6DFC0A4F-9C1C-4A38-A028-0C5DC6E9888C}"/>
    <cellStyle name="Œ…‹æØ‚è_GE 3 MINIMUM" xfId="1790" xr:uid="{55E50AA8-169A-4DE4-8C3C-20C102201264}"/>
    <cellStyle name="ombr_subtot" xfId="1791" xr:uid="{CB971ECA-35FA-4E45-B53A-14C5CECED854}"/>
    <cellStyle name="Output 2" xfId="1792" xr:uid="{215CC502-FC10-4D41-8A5B-0400925FFDA4}"/>
    <cellStyle name="Output 2 10" xfId="5044" xr:uid="{05D09B8E-FD25-49A7-9AEC-A213E9F17A90}"/>
    <cellStyle name="Output 2 10 2" xfId="6721" xr:uid="{E4126A90-029B-498A-B2D9-39307F3B4E7E}"/>
    <cellStyle name="Output 2 11" xfId="5088" xr:uid="{7F2BEF97-FE0A-4380-BAFF-44097B2BD1B7}"/>
    <cellStyle name="Output 2 11 2" xfId="6762" xr:uid="{5355FA6B-799D-43AE-AB9B-549F09523A9C}"/>
    <cellStyle name="Output 2 2" xfId="4777" xr:uid="{FDDA208B-EDD2-4C05-B74B-3ABD143A9483}"/>
    <cellStyle name="Output 2 2 2" xfId="5771" xr:uid="{FAE9F0CC-53B5-4348-96A2-328AA169441A}"/>
    <cellStyle name="Output 2 2 2 2" xfId="7424" xr:uid="{4DC3F33F-5F76-41CF-9821-F13D788C2E45}"/>
    <cellStyle name="Output 2 2 3" xfId="5972" xr:uid="{F6B13369-C63B-448A-9B6C-67C0B3ED9F9C}"/>
    <cellStyle name="Output 2 2 3 2" xfId="7624" xr:uid="{F2C2D372-D7D2-4056-84CA-328A155C8019}"/>
    <cellStyle name="Output 2 2 4" xfId="5038" xr:uid="{74238C69-3698-40D5-B107-BD8C5367C26E}"/>
    <cellStyle name="Output 2 2 4 2" xfId="6715" xr:uid="{C56C8375-C91B-4DF8-875D-0CEF4A01E2BC}"/>
    <cellStyle name="Output 2 2 5" xfId="5017" xr:uid="{3C570125-09C0-44F1-B897-02113639A53D}"/>
    <cellStyle name="Output 2 2 5 2" xfId="6696" xr:uid="{56E84907-5AE2-406C-B336-3F67E32E9B08}"/>
    <cellStyle name="Output 2 2 6" xfId="5559" xr:uid="{2CFBA068-9C8D-4C81-96E9-E7E9BE456337}"/>
    <cellStyle name="Output 2 2 6 2" xfId="7222" xr:uid="{18FBE49D-CFD9-425B-BA02-FACEF91C0EE6}"/>
    <cellStyle name="Output 2 2 7" xfId="6256" xr:uid="{019BEFB8-2DFA-4C17-82F4-6EB052419EE3}"/>
    <cellStyle name="Output 2 2 7 2" xfId="7903" xr:uid="{A1DACC0D-0E9B-4E10-B93E-D5EB06FCFA3F}"/>
    <cellStyle name="Output 2 2 8" xfId="5063" xr:uid="{72204636-D778-4B27-A904-E5513F08A269}"/>
    <cellStyle name="Output 2 2 8 2" xfId="6737" xr:uid="{7E1C3D5F-1BD4-4736-A72F-0D4378E0FEE7}"/>
    <cellStyle name="Output 2 2 9" xfId="6467" xr:uid="{F7351077-3FD5-48C0-B776-FAE1367F3F1E}"/>
    <cellStyle name="Output 2 3" xfId="4781" xr:uid="{111DD720-F89B-4D8B-9B64-237AA5D42C5F}"/>
    <cellStyle name="Output 2 3 2" xfId="5775" xr:uid="{158F8A9B-926F-4194-8945-F73A15FDF1D2}"/>
    <cellStyle name="Output 2 3 2 2" xfId="7428" xr:uid="{2207455C-1A29-41DB-AE56-B3BC6564A344}"/>
    <cellStyle name="Output 2 3 3" xfId="5975" xr:uid="{365B0147-114C-486C-9B00-C2509E6B43F7}"/>
    <cellStyle name="Output 2 3 3 2" xfId="7627" xr:uid="{F439DC55-F806-486F-8EB1-30D94A666650}"/>
    <cellStyle name="Output 2 3 4" xfId="5036" xr:uid="{F6277742-EBB5-4D07-92D9-00EC131B6989}"/>
    <cellStyle name="Output 2 3 4 2" xfId="6713" xr:uid="{E273A86B-9ED7-4993-BCB9-122B557CED7A}"/>
    <cellStyle name="Output 2 3 5" xfId="5514" xr:uid="{2D4EA594-510C-4D0F-B9FC-9772706E6191}"/>
    <cellStyle name="Output 2 3 5 2" xfId="7178" xr:uid="{3840928D-FB65-49B4-BC7C-174BA6DD1A5A}"/>
    <cellStyle name="Output 2 3 6" xfId="5424" xr:uid="{74A48C57-550E-493B-B207-7093419611F6}"/>
    <cellStyle name="Output 2 3 6 2" xfId="7088" xr:uid="{86E8F7EE-E4CC-46AD-83C0-E801B946E620}"/>
    <cellStyle name="Output 2 3 7" xfId="5332" xr:uid="{7CF9F950-B3F1-44C0-915C-0C58D6ED4724}"/>
    <cellStyle name="Output 2 3 7 2" xfId="6998" xr:uid="{FCA58524-D218-4BC9-98EC-272F5197D1E2}"/>
    <cellStyle name="Output 2 3 8" xfId="6471" xr:uid="{8E80143D-D9C0-4864-8890-AE4F0E4CE4A5}"/>
    <cellStyle name="Output 2 4" xfId="4910" xr:uid="{BC900015-02C2-43CB-9038-BFEDEED36D43}"/>
    <cellStyle name="Output 2 4 2" xfId="5900" xr:uid="{18A0CC3C-6DD5-468B-BDD1-79AE86CC92BA}"/>
    <cellStyle name="Output 2 4 2 2" xfId="7553" xr:uid="{1BBA6E85-FD61-42C9-B1B2-B6A91409487E}"/>
    <cellStyle name="Output 2 4 3" xfId="6094" xr:uid="{385ED227-B820-40BF-8220-3A2984F2F7C9}"/>
    <cellStyle name="Output 2 4 3 2" xfId="7746" xr:uid="{489458F7-1B2F-4855-AB68-A109D4AB73C9}"/>
    <cellStyle name="Output 2 4 4" xfId="5013" xr:uid="{40D104AF-AD8F-44FF-AEF5-0AB1E01D3AE7}"/>
    <cellStyle name="Output 2 4 4 2" xfId="6692" xr:uid="{C2D5CBAC-6D14-4351-BD8A-D9FEE93071DA}"/>
    <cellStyle name="Output 2 4 5" xfId="5568" xr:uid="{F506520F-F754-4774-BF24-CA156005C0D3}"/>
    <cellStyle name="Output 2 4 5 2" xfId="7231" xr:uid="{4341904D-08E0-4F67-8F0F-B87A5AFDCB6E}"/>
    <cellStyle name="Output 2 4 6" xfId="5494" xr:uid="{9486C4FA-7B2B-47E3-A6BD-97791D8F10CC}"/>
    <cellStyle name="Output 2 4 6 2" xfId="7158" xr:uid="{39FBABE1-5F79-4440-B453-E734D9CCDD87}"/>
    <cellStyle name="Output 2 4 7" xfId="6328" xr:uid="{E68C7C82-7CB1-4D97-9E81-07B765CA49C2}"/>
    <cellStyle name="Output 2 4 7 2" xfId="7975" xr:uid="{6AD53C71-9C78-4D7D-84E5-72CD8218A1A3}"/>
    <cellStyle name="Output 2 4 8" xfId="6593" xr:uid="{9794475D-33E6-4072-95F6-D9EDF0C9C3D2}"/>
    <cellStyle name="Output 2 5" xfId="5234" xr:uid="{0601A097-887A-44F1-B430-35C81FABAAC0}"/>
    <cellStyle name="Output 2 5 2" xfId="6903" xr:uid="{E1FB56E0-5F63-44CE-A6D7-834E7DA3FE4B}"/>
    <cellStyle name="Output 2 6" xfId="5248" xr:uid="{870DD5AA-C50B-4E41-A139-E1730E2FD720}"/>
    <cellStyle name="Output 2 6 2" xfId="6915" xr:uid="{79D92E88-7773-43BE-BD6A-7B3712C0A08C}"/>
    <cellStyle name="Output 2 7" xfId="5246" xr:uid="{59AF0AB9-7023-499B-B5C6-0AABDD97D81E}"/>
    <cellStyle name="Output 2 7 2" xfId="6913" xr:uid="{9BD9EE10-D61C-4370-82A6-1645DCE5611A}"/>
    <cellStyle name="Output 2 8" xfId="5709" xr:uid="{A849A70C-E83B-4E37-BE21-281804E8A31D}"/>
    <cellStyle name="Output 2 8 2" xfId="7367" xr:uid="{2AE59413-1B7F-41FF-9070-A10A1F2DF6D1}"/>
    <cellStyle name="Output 2 9" xfId="4964" xr:uid="{6C2185EC-1AC6-433E-A9BA-16284D9B0130}"/>
    <cellStyle name="Output 2 9 2" xfId="6644" xr:uid="{B8E9D0D3-3818-42B3-9449-6A39FD9AF2B2}"/>
    <cellStyle name="OUTPUT AMOUNTS" xfId="1793" xr:uid="{CA28B4C8-68E5-4FC0-B569-F8B265D94EDC}"/>
    <cellStyle name="OUTPUT COLUMN HEADINGS" xfId="1794" xr:uid="{E2524DDC-27C7-4456-827B-1C7197D2FCF4}"/>
    <cellStyle name="OUTPUT LINE ITEMS" xfId="1795" xr:uid="{228BB5EF-395A-4504-A038-4A7858DEBFE9}"/>
    <cellStyle name="OUTPUT LINE ITEMS 2" xfId="1796" xr:uid="{924C4E0F-0506-4728-B1FA-796D60FAB990}"/>
    <cellStyle name="OUTPUT LINE ITEMS 2 2" xfId="5241" xr:uid="{C70425AB-D16C-47EB-9587-DDD70F765C3A}"/>
    <cellStyle name="OUTPUT LINE ITEMS 3" xfId="1797" xr:uid="{569E76EF-26BA-41C3-979F-906F2F57F9EE}"/>
    <cellStyle name="OUTPUT LINE ITEMS 3 2" xfId="5240" xr:uid="{BCDE5FD1-1834-4D55-9B77-209791CE7816}"/>
    <cellStyle name="OUTPUT LINE ITEMS 4" xfId="6169" xr:uid="{C8C92CB2-CFD3-46EE-A126-502277A8A5E7}"/>
    <cellStyle name="OUTPUT REPORT HEADING" xfId="1798" xr:uid="{3800D4FD-3F3E-4FC6-A5FF-1099B73B1C9B}"/>
    <cellStyle name="OUTPUT REPORT TITLE" xfId="1799" xr:uid="{0C8E944C-2EBE-478E-B913-7E83B2FF5378}"/>
    <cellStyle name="Output1_Back" xfId="1800" xr:uid="{D9052296-67A5-4762-9BEB-A0F82A910746}"/>
    <cellStyle name="p" xfId="1801" xr:uid="{FFAD1E9A-AF95-4591-9865-705B5FB34378}"/>
    <cellStyle name="p " xfId="1802" xr:uid="{212BD97A-C228-4FEC-AF45-5727E8E9C950}"/>
    <cellStyle name="p_DCF" xfId="1803" xr:uid="{69CE7A8D-CE6B-47C5-AD92-78BDFD425D9F}"/>
    <cellStyle name="Page Heading Large" xfId="1804" xr:uid="{15D6899C-9711-4F81-B506-62F2305F3177}"/>
    <cellStyle name="Page Heading Small" xfId="1805" xr:uid="{1FA092B2-9A97-49B3-88C9-66D06DE071EB}"/>
    <cellStyle name="Page Number" xfId="1806" xr:uid="{5C928033-2ABF-48B2-847C-263A68ACDB6E}"/>
    <cellStyle name="Page-Title" xfId="1807" xr:uid="{C14960F0-0831-4BF6-9AE0-7491B39CDF68}"/>
    <cellStyle name="per.style" xfId="1808" xr:uid="{D0D16B99-EFB2-477A-9C11-3113FB732907}"/>
    <cellStyle name="Percent" xfId="2" builtinId="5"/>
    <cellStyle name="Percent (0)" xfId="1809" xr:uid="{7DDC5DE1-0BB3-4BD7-9236-0B8FF0CC2B49}"/>
    <cellStyle name="Percent (0.0)" xfId="1810" xr:uid="{CB29EF6E-35C8-42C0-92EC-77F9F40330CF}"/>
    <cellStyle name="Percent (1)" xfId="1811" xr:uid="{25639860-8648-48CB-93E7-276E1AB468B9}"/>
    <cellStyle name="Percent (2)" xfId="1812" xr:uid="{A9080C72-9CD0-48D5-AAD4-728F65684862}"/>
    <cellStyle name="Percent [0]" xfId="1813" xr:uid="{87878563-9954-4871-8B75-9EF125BA2257}"/>
    <cellStyle name="Percent [00]" xfId="1814" xr:uid="{D9595FA6-5C09-4E19-AEE6-EDBBE46D0551}"/>
    <cellStyle name="Percent [1]" xfId="1815" xr:uid="{38D75323-1CFE-4ECA-9743-47A0B253F1A3}"/>
    <cellStyle name="Percent [2]" xfId="1816" xr:uid="{13BBB72C-8ABA-4C49-94CB-12668445B98D}"/>
    <cellStyle name="Percent 0%" xfId="1817" xr:uid="{4819E502-8A56-436E-BD56-542B8ACCD13D}"/>
    <cellStyle name="Percent 0.0%" xfId="1818" xr:uid="{ED8B5E12-AB40-4E09-A535-29347D1F0D74}"/>
    <cellStyle name="Percent 0.00%" xfId="1819" xr:uid="{029DB3D7-5893-4C58-A0A0-0854EBE65C10}"/>
    <cellStyle name="Percent 10" xfId="101" xr:uid="{00000000-0005-0000-0000-000067000000}"/>
    <cellStyle name="Percent 10 2" xfId="1820" xr:uid="{44515020-70FA-48B0-B375-BE8D0E6565BA}"/>
    <cellStyle name="Percent 10 3" xfId="1821" xr:uid="{A9BE202A-E84A-478A-BAA1-77A76E7D2346}"/>
    <cellStyle name="Percent 10 3 2" xfId="1822" xr:uid="{616E8DDC-B202-4636-9E1D-9F9B5F0C652F}"/>
    <cellStyle name="Percent 11" xfId="105" xr:uid="{00000000-0005-0000-0000-000068000000}"/>
    <cellStyle name="Percent 11 2" xfId="1823" xr:uid="{05886C7F-B04C-4DB5-9F2B-2B05B2E219F7}"/>
    <cellStyle name="Percent 12" xfId="1824" xr:uid="{8301C392-6404-4243-AD49-EA8A59868586}"/>
    <cellStyle name="Percent 2" xfId="29" xr:uid="{00000000-0005-0000-0000-000069000000}"/>
    <cellStyle name="Percent 2 2" xfId="17" xr:uid="{00000000-0005-0000-0000-00006A000000}"/>
    <cellStyle name="Percent 2 2 2" xfId="80" xr:uid="{00000000-0005-0000-0000-00006B000000}"/>
    <cellStyle name="Percent 2 2 3" xfId="1825" xr:uid="{3BCBE2F3-6FC0-4613-BEB0-B767312006CE}"/>
    <cellStyle name="Percent 2 3" xfId="103" xr:uid="{00000000-0005-0000-0000-00006C000000}"/>
    <cellStyle name="Percent 2 3 2" xfId="1826" xr:uid="{34AD2D69-60B5-400B-B833-A49BA41B4303}"/>
    <cellStyle name="Percent 2 4" xfId="1827" xr:uid="{C4B76682-DBED-4314-B940-BD5F05A3F164}"/>
    <cellStyle name="Percent 2 5" xfId="1828" xr:uid="{7A829E89-71B4-4650-AD86-BB3AADFCA546}"/>
    <cellStyle name="Percent 2 6" xfId="132" xr:uid="{700B978A-5160-4FAD-83CF-37FAA70E77C7}"/>
    <cellStyle name="percent 2 decimal" xfId="1829" xr:uid="{3CE68167-9215-4DA0-B90E-F4ABC2D197FB}"/>
    <cellStyle name="Percent 3" xfId="45" xr:uid="{00000000-0005-0000-0000-00006D000000}"/>
    <cellStyle name="Percent 3 2" xfId="7" xr:uid="{00000000-0005-0000-0000-00006E000000}"/>
    <cellStyle name="Percent 3 2 2" xfId="57" xr:uid="{00000000-0005-0000-0000-00006F000000}"/>
    <cellStyle name="Percent 3 2 3" xfId="1830" xr:uid="{F760946C-569D-433F-8FAD-1BEA7F9108BA}"/>
    <cellStyle name="Percent 3 3" xfId="84" xr:uid="{00000000-0005-0000-0000-000070000000}"/>
    <cellStyle name="Percent 3 3 2" xfId="102" xr:uid="{00000000-0005-0000-0000-000071000000}"/>
    <cellStyle name="Percent 3 4" xfId="56" xr:uid="{00000000-0005-0000-0000-000072000000}"/>
    <cellStyle name="Percent 4" xfId="10" xr:uid="{00000000-0005-0000-0000-000073000000}"/>
    <cellStyle name="Percent 4 2" xfId="88" xr:uid="{00000000-0005-0000-0000-000074000000}"/>
    <cellStyle name="Percent 4 2 2" xfId="121" xr:uid="{00000000-0005-0000-0000-000075000000}"/>
    <cellStyle name="Percent 4 2 3" xfId="1832" xr:uid="{C54E9316-A801-416C-860F-750E29886F7B}"/>
    <cellStyle name="Percent 4 3" xfId="1833" xr:uid="{78FACFBA-F4CF-4A58-94C0-428AD5C26519}"/>
    <cellStyle name="Percent 4 4" xfId="1831" xr:uid="{85F07FA0-7126-4A57-A75C-56C96D36478D}"/>
    <cellStyle name="Percent 5" xfId="71" xr:uid="{00000000-0005-0000-0000-000076000000}"/>
    <cellStyle name="Percent 5 2" xfId="76" xr:uid="{00000000-0005-0000-0000-000077000000}"/>
    <cellStyle name="Percent 5 3" xfId="1834" xr:uid="{9EEC16EA-6214-46E9-9040-8F20AECDE53B}"/>
    <cellStyle name="Percent 59" xfId="104" xr:uid="{00000000-0005-0000-0000-000078000000}"/>
    <cellStyle name="Percent 6" xfId="82" xr:uid="{00000000-0005-0000-0000-000079000000}"/>
    <cellStyle name="Percent 6 2" xfId="1836" xr:uid="{13C7AE57-C6BB-4902-929E-DDD4E219C3F2}"/>
    <cellStyle name="Percent 6 3" xfId="1837" xr:uid="{92623F39-878D-4572-B3D8-39C914C8691E}"/>
    <cellStyle name="Percent 6 3 2" xfId="1838" xr:uid="{FC810801-4A15-43B4-A3D8-B994B8977FC5}"/>
    <cellStyle name="Percent 6 3 2 2" xfId="1839" xr:uid="{85768061-3BA4-45FD-9A0E-5FDA5164F1B4}"/>
    <cellStyle name="Percent 6 3 2 2 2" xfId="1840" xr:uid="{DB100EB4-2D56-4022-BF4C-C93B9DDF199D}"/>
    <cellStyle name="Percent 6 3 2 2 2 2" xfId="1841" xr:uid="{F2BF3EB2-1074-4E88-8C76-F90D88F72DB9}"/>
    <cellStyle name="Percent 6 3 2 2 2 2 2" xfId="1842" xr:uid="{A4D22571-9E15-45F2-8C06-ECB491435958}"/>
    <cellStyle name="Percent 6 3 2 2 2 3" xfId="1843" xr:uid="{1CFB56D6-576D-47DA-B179-42E08D766DFE}"/>
    <cellStyle name="Percent 6 3 2 2 2 3 2" xfId="1844" xr:uid="{928CA99C-8E24-4135-BABB-FE8BA28E1EA2}"/>
    <cellStyle name="Percent 6 3 2 2 2 3 2 2" xfId="1845" xr:uid="{1E27306B-38B0-4DD6-9621-A7F7FAAD7A0B}"/>
    <cellStyle name="Percent 6 3 3" xfId="1846" xr:uid="{D904CE04-292F-4B84-9F87-88E08F30C641}"/>
    <cellStyle name="Percent 7" xfId="87" xr:uid="{00000000-0005-0000-0000-00007A000000}"/>
    <cellStyle name="Percent 7 2" xfId="1847" xr:uid="{C05D54AF-5239-4ED1-983E-581173324D85}"/>
    <cellStyle name="Percent 8" xfId="94" xr:uid="{00000000-0005-0000-0000-00007B000000}"/>
    <cellStyle name="Percent 9" xfId="24" xr:uid="{00000000-0005-0000-0000-00007C000000}"/>
    <cellStyle name="Percent 9 2" xfId="1849" xr:uid="{DAC5AFB9-7EB6-4082-A46F-9DA2679422F0}"/>
    <cellStyle name="Percent 9 3" xfId="1848" xr:uid="{26F86082-3CA0-4F92-B4E0-C06F6C64C836}"/>
    <cellStyle name="Percent Hard" xfId="1850" xr:uid="{EFF82EEE-BE0D-4A5E-B59B-FC787B200F01}"/>
    <cellStyle name="Percent Input" xfId="1851" xr:uid="{B194E53C-698A-4D2A-AEC0-EE89525FABF1}"/>
    <cellStyle name="Percent*" xfId="1852" xr:uid="{37547D32-E565-48E1-8DF5-D8D43BC12EFF}"/>
    <cellStyle name="percent0" xfId="1853" xr:uid="{C6E1E85D-6968-40F9-B856-248F3C6467C0}"/>
    <cellStyle name="percent0 10" xfId="5024" xr:uid="{549ADDA6-2011-48B9-BB29-2EF2E820B39A}"/>
    <cellStyle name="percent0 11" xfId="6380" xr:uid="{AF6501CC-4BF8-4F14-8FBF-3BEBD2B2AFB3}"/>
    <cellStyle name="percent0 2" xfId="4778" xr:uid="{9C6ED7C0-19C3-46EC-8E34-CC65D75BF5DB}"/>
    <cellStyle name="percent0 2 2" xfId="5772" xr:uid="{7F28B84A-0672-4BF9-895A-FE37284F67F7}"/>
    <cellStyle name="percent0 2 2 2" xfId="7425" xr:uid="{F99D1051-8F39-4AD7-AED9-CE323B308496}"/>
    <cellStyle name="percent0 2 3" xfId="5422" xr:uid="{C159E55C-DFFA-4017-8AA7-7F996CB52060}"/>
    <cellStyle name="percent0 2 3 2" xfId="7086" xr:uid="{CF465D31-9C0E-4603-9101-BFDC0CD7840B}"/>
    <cellStyle name="percent0 2 4" xfId="6468" xr:uid="{E0FFF81A-5613-439C-BEA9-D56134F65A75}"/>
    <cellStyle name="percent0 3" xfId="4780" xr:uid="{CE729F3B-0AD9-4C00-8042-8483CFB30E74}"/>
    <cellStyle name="percent0 3 2" xfId="5774" xr:uid="{A3F913B0-5BE8-437E-9DFF-0A22B9D24E94}"/>
    <cellStyle name="percent0 3 2 2" xfId="7427" xr:uid="{A1EB9A9D-3ED7-4CD4-AD18-7636565EFD96}"/>
    <cellStyle name="percent0 3 3" xfId="5974" xr:uid="{4D652BE9-046C-43C5-A298-D17033E9A014}"/>
    <cellStyle name="percent0 3 3 2" xfId="7626" xr:uid="{A2C97E2E-37EC-4723-9133-1ECF9EDB9DAA}"/>
    <cellStyle name="percent0 3 4" xfId="6130" xr:uid="{B1617A8D-F877-45C8-95CF-5CBD3BA9F6BB}"/>
    <cellStyle name="percent0 3 4 2" xfId="7780" xr:uid="{CF9FCA2C-75DB-4846-B4C0-62AE93DA424D}"/>
    <cellStyle name="percent0 3 5" xfId="5513" xr:uid="{BD7D110D-3F7D-4E03-AA78-857FF2D540EA}"/>
    <cellStyle name="percent0 3 5 2" xfId="7177" xr:uid="{0026447A-3A5A-4D47-AFC5-7C382C4B416A}"/>
    <cellStyle name="percent0 3 6" xfId="5018" xr:uid="{591EBD07-7A70-4A37-A09B-E842D72265EB}"/>
    <cellStyle name="percent0 3 6 2" xfId="6697" xr:uid="{60E90FA5-E6D5-4630-8133-ACB4FE78DBA2}"/>
    <cellStyle name="percent0 3 7" xfId="6258" xr:uid="{47874AB1-C0E4-4A58-A26C-47727182F2E7}"/>
    <cellStyle name="percent0 3 7 2" xfId="7905" xr:uid="{6DD60E98-D803-4068-8D09-6332BCB5A766}"/>
    <cellStyle name="percent0 3 8" xfId="5062" xr:uid="{A38085B4-81BB-438A-8F0C-34C55E432D07}"/>
    <cellStyle name="percent0 3 8 2" xfId="6736" xr:uid="{E8AE1F3C-8AF0-4434-8C23-5B894330A616}"/>
    <cellStyle name="percent0 3 9" xfId="6470" xr:uid="{7341724D-BAE3-4A42-B315-72C7F69BCDD4}"/>
    <cellStyle name="percent0 4" xfId="4909" xr:uid="{415CEBE9-8596-4389-B5BB-57CA101887AD}"/>
    <cellStyle name="percent0 4 2" xfId="5899" xr:uid="{3822CE84-EC17-4F85-A004-B6A1F1F12DA7}"/>
    <cellStyle name="percent0 4 2 2" xfId="7552" xr:uid="{1088F5AC-0216-4992-9554-A6B4CCA2C8E6}"/>
    <cellStyle name="percent0 4 3" xfId="5493" xr:uid="{3075074E-B732-4C5A-992E-BD841D11A215}"/>
    <cellStyle name="percent0 4 3 2" xfId="7157" xr:uid="{F49A64F8-4163-4F6A-914C-D187DC4A38DF}"/>
    <cellStyle name="percent0 4 4" xfId="6592" xr:uid="{CCC09248-5598-484B-8E90-6AB3429F48B8}"/>
    <cellStyle name="percent0 5" xfId="5238" xr:uid="{2CD64B08-6281-4EF9-ACC7-53941AAB774E}"/>
    <cellStyle name="percent0 5 2" xfId="6907" xr:uid="{74F1D152-2933-4435-89FA-10A8187F1696}"/>
    <cellStyle name="percent0 6" xfId="5245" xr:uid="{8345D658-0FFC-47BC-B463-361F06EBC913}"/>
    <cellStyle name="percent0 6 2" xfId="6912" xr:uid="{907330B9-9A85-4678-9AAC-811D6C959D9E}"/>
    <cellStyle name="percent0 7" xfId="5243" xr:uid="{5A7C3706-4EE1-49DA-ACB6-6D90AD59B9DB}"/>
    <cellStyle name="percent0 7 2" xfId="6910" xr:uid="{6ADF3268-F672-44D0-B025-1EE92833850B}"/>
    <cellStyle name="percent0 8" xfId="5239" xr:uid="{60F11DE3-74BC-49E2-83F4-8A84F73A166B}"/>
    <cellStyle name="percent0 8 2" xfId="6908" xr:uid="{E381DEFF-2A0B-4457-BEE2-4EC9DCCF8718}"/>
    <cellStyle name="percent0 9" xfId="5235" xr:uid="{B2222185-F0D8-4BBD-9835-6A8B5BC5631F}"/>
    <cellStyle name="percent0 9 2" xfId="6904" xr:uid="{485A3ADD-72A1-40D7-AF90-E4ACC22427B9}"/>
    <cellStyle name="Percent1" xfId="1854" xr:uid="{48352146-E46C-4CB0-8972-055FFADC522D}"/>
    <cellStyle name="Percent-1decimal" xfId="1855" xr:uid="{04CC9A99-6F2A-4C11-B049-2F2163541E0B}"/>
    <cellStyle name="Petit" xfId="1856" xr:uid="{3B5B630C-E8E2-40D8-9FB5-FCE7DE67F33E}"/>
    <cellStyle name="PrePop Currency (0)" xfId="1857" xr:uid="{813260DB-ABD5-4668-AFA5-D89D4F57B040}"/>
    <cellStyle name="PrePop Currency (2)" xfId="1858" xr:uid="{571018A1-BCA4-488F-B9CE-6F6F20B6E9F6}"/>
    <cellStyle name="PrePop Units (0)" xfId="1859" xr:uid="{BAF1B43A-9BB5-453E-95A4-D8340F69D678}"/>
    <cellStyle name="PrePop Units (1)" xfId="1860" xr:uid="{E0E15BEC-F2C3-47AF-A3BF-5ECC46A2A5D4}"/>
    <cellStyle name="PrePop Units (2)" xfId="1861" xr:uid="{6038C523-8582-428E-84F4-50CA9125A265}"/>
    <cellStyle name="Presentations" xfId="1862" xr:uid="{201D5168-97EE-43B6-9F72-E46AEB574330}"/>
    <cellStyle name="Price" xfId="1863" xr:uid="{A626F6FD-0F4A-491A-90D0-6BF081996266}"/>
    <cellStyle name="PSChar" xfId="1864" xr:uid="{4AFFAC8B-0F76-40C7-BB95-53D5763CDE24}"/>
    <cellStyle name="PSDate" xfId="1865" xr:uid="{EAE3024E-E167-4238-A13B-A6B9D202C3C6}"/>
    <cellStyle name="PSDec" xfId="1866" xr:uid="{509EFF0B-E224-42E2-8126-98CA3557FDDE}"/>
    <cellStyle name="PSHeading" xfId="1867" xr:uid="{A93B1B24-1648-40A8-88CB-6DDD44580649}"/>
    <cellStyle name="PSInt" xfId="1868" xr:uid="{A222BF8F-7C66-4E02-BFAE-B35F82E899F8}"/>
    <cellStyle name="PSSpacer" xfId="1869" xr:uid="{FDEDEE95-F69C-42BF-BF5F-A8A33C25C509}"/>
    <cellStyle name="regstoresfromspecstores" xfId="1870" xr:uid="{C0B2D403-1A5E-4FDD-802A-D1AB01844A6A}"/>
    <cellStyle name="Regular" xfId="1871" xr:uid="{0352945A-D9F0-4DAC-B861-52A72F888976}"/>
    <cellStyle name="RevList" xfId="1872" xr:uid="{AB1AEAD7-508A-403F-B439-A4061FF810E1}"/>
    <cellStyle name="Rientro" xfId="1873" xr:uid="{7FA39AB3-677F-4DD0-BA8C-C8B7A99CD499}"/>
    <cellStyle name="Round to Thousands" xfId="1874" xr:uid="{E8A38784-DCAD-4E49-B7C0-A240B976ED30}"/>
    <cellStyle name="RowLabels" xfId="1875" xr:uid="{65A4E7B4-965F-4C10-8AD9-4C1E81044A4E}"/>
    <cellStyle name="RowLabels 2" xfId="4779" xr:uid="{1A94267B-6588-41B5-8B2C-6BDB701EF62C}"/>
    <cellStyle name="RowLabels 2 10" xfId="5330" xr:uid="{3F19720E-AEF4-456D-B88A-9EAE9E104EF2}"/>
    <cellStyle name="RowLabels 2 10 2" xfId="6996" xr:uid="{E0A3C539-C2F6-49B8-B28D-ACB5F41A8F41}"/>
    <cellStyle name="RowLabels 2 11" xfId="5123" xr:uid="{FAE9107C-B566-4223-A30A-0861E1DA8EF3}"/>
    <cellStyle name="RowLabels 2 11 2" xfId="6797" xr:uid="{F9A73B29-30A8-4E8B-9238-1D7AEDD64424}"/>
    <cellStyle name="RowLabels 2 12" xfId="5289" xr:uid="{2465A27E-9BFF-4C53-8BE3-7255EFD5BE18}"/>
    <cellStyle name="RowLabels 2 12 2" xfId="6955" xr:uid="{61297676-A1B4-4862-8CE3-FC841B19E26F}"/>
    <cellStyle name="RowLabels 2 13" xfId="6469" xr:uid="{4D8EF377-A3C8-480A-A9C0-DF9D530C961E}"/>
    <cellStyle name="RowLabels 2 2" xfId="5773" xr:uid="{D4CA746B-B4A4-44CC-B9CF-D7D7877FBDBC}"/>
    <cellStyle name="RowLabels 2 2 2" xfId="7426" xr:uid="{7E40DC3A-B9F2-4682-A72E-B3A3ABB8150F}"/>
    <cellStyle name="RowLabels 2 3" xfId="5973" xr:uid="{49A0DF90-8764-459B-96F7-D7AC0D0E9EAC}"/>
    <cellStyle name="RowLabels 2 3 2" xfId="7625" xr:uid="{A37A22B7-1E43-4458-ABED-E121B24A87CD}"/>
    <cellStyle name="RowLabels 2 4" xfId="6129" xr:uid="{9C349239-F28A-4A16-A272-3A243EC3B3BA}"/>
    <cellStyle name="RowLabels 2 4 2" xfId="7779" xr:uid="{09A7DDA4-D85A-4F24-A6B4-99F8197E71CC}"/>
    <cellStyle name="RowLabels 2 5" xfId="5584" xr:uid="{745E3C4F-9E1A-4ED3-91E6-8BA7DC4A42CC}"/>
    <cellStyle name="RowLabels 2 5 2" xfId="7245" xr:uid="{C85C8EFC-E537-41FE-81A2-DBAEE7B189F6}"/>
    <cellStyle name="RowLabels 2 6" xfId="5037" xr:uid="{5FDE10BE-6BC4-4CAD-A835-6FD95F8C044B}"/>
    <cellStyle name="RowLabels 2 6 2" xfId="6714" xr:uid="{C1F371E7-6A2E-4049-B5A3-E34D73A85C11}"/>
    <cellStyle name="RowLabels 2 7" xfId="5512" xr:uid="{3767E73D-968A-4A2D-8403-016F774E81C2}"/>
    <cellStyle name="RowLabels 2 7 2" xfId="7176" xr:uid="{263FC08F-9A51-46C1-85ED-8991C9830346}"/>
    <cellStyle name="RowLabels 2 8" xfId="5423" xr:uid="{0E1A32EF-16C9-4A4E-8B63-7ACB9BB1D6B2}"/>
    <cellStyle name="RowLabels 2 8 2" xfId="7087" xr:uid="{D5296EE8-5C8E-4D0C-8D79-D5135FF4B21C}"/>
    <cellStyle name="RowLabels 2 9" xfId="6257" xr:uid="{C91689AE-96B4-48DC-9A70-D82390433E56}"/>
    <cellStyle name="RowLabels 2 9 2" xfId="7904" xr:uid="{FBA4A50D-54F3-4F5D-AA63-13AE9FF5DEC2}"/>
    <cellStyle name="RowLabels 3" xfId="4908" xr:uid="{01A88B3A-D72E-4FA4-BCFE-A55862EFC06C}"/>
    <cellStyle name="RowLabels 3 10" xfId="5101" xr:uid="{0E383191-E46F-4BC3-BFEF-605301355556}"/>
    <cellStyle name="RowLabels 3 10 2" xfId="6775" xr:uid="{EF993806-ED50-4EC1-9F2C-CD32E26FD842}"/>
    <cellStyle name="RowLabels 3 11" xfId="6591" xr:uid="{C949AF5D-1933-4417-829C-2F17221EEF24}"/>
    <cellStyle name="RowLabels 3 2" xfId="5898" xr:uid="{464A94B6-0A21-4467-BF50-DFAF2E66A7E5}"/>
    <cellStyle name="RowLabels 3 2 2" xfId="7551" xr:uid="{AAB4E955-565B-4759-8C72-6D2026264949}"/>
    <cellStyle name="RowLabels 3 3" xfId="6093" xr:uid="{C61307B5-30A7-43E7-861D-A728ABF8236B}"/>
    <cellStyle name="RowLabels 3 3 2" xfId="7745" xr:uid="{98075FF5-E5C3-4E6F-9E1E-9E141285880C}"/>
    <cellStyle name="RowLabels 3 4" xfId="6172" xr:uid="{DF6467A4-E21F-4923-B0D3-37E7BF8ACF86}"/>
    <cellStyle name="RowLabels 3 4 2" xfId="7819" xr:uid="{811A3039-9941-4FF1-992C-EA5B9E911570}"/>
    <cellStyle name="RowLabels 3 5" xfId="5015" xr:uid="{1D985449-DD2B-4327-928A-47CDF9387270}"/>
    <cellStyle name="RowLabels 3 5 2" xfId="6694" xr:uid="{C4719CF0-94DB-4780-9742-454CF2A3E9FC}"/>
    <cellStyle name="RowLabels 3 6" xfId="6197" xr:uid="{1C463DF4-261C-4AA1-B4FE-6B14D602BDE6}"/>
    <cellStyle name="RowLabels 3 6 2" xfId="7844" xr:uid="{E078E2A9-28CA-44BE-86B0-482B60B91FE2}"/>
    <cellStyle name="RowLabels 3 7" xfId="5492" xr:uid="{93641800-DB48-4E9F-B602-BB8802A15032}"/>
    <cellStyle name="RowLabels 3 7 2" xfId="7156" xr:uid="{1BC557B6-2E5D-459C-AE69-D68373C6F30C}"/>
    <cellStyle name="RowLabels 3 8" xfId="6322" xr:uid="{BD1637EC-DBF3-4029-8AEF-CAA14903F627}"/>
    <cellStyle name="RowLabels 3 8 2" xfId="7969" xr:uid="{C0257A29-ECA3-46A8-920E-B3251F6CAE97}"/>
    <cellStyle name="RowLabels 3 9" xfId="6327" xr:uid="{D37B37AD-24A9-4CA9-8EF1-4B5B2276EF91}"/>
    <cellStyle name="RowLabels 3 9 2" xfId="7974" xr:uid="{80226081-6C5E-4D57-93BA-AB4829A5CF82}"/>
    <cellStyle name="RowLabels 4" xfId="5242" xr:uid="{6ED035DF-A7AC-41D2-A68E-1A3D67E9CB4D}"/>
    <cellStyle name="RowLabels 4 2" xfId="6909" xr:uid="{5ECFE7A7-003B-40CE-B6A8-15472B823EA0}"/>
    <cellStyle name="s" xfId="1876" xr:uid="{3EBDC182-504E-46B7-924C-17A096DF60FD}"/>
    <cellStyle name="s_~0016995" xfId="1877" xr:uid="{D354EE1A-13E4-47B5-976D-2E747F089A79}"/>
    <cellStyle name="s_~0016995_1" xfId="1878" xr:uid="{C0F0B73B-92F0-48D7-B6D3-DB310E6BF65D}"/>
    <cellStyle name="s_~0016995_1_2010 Revised CF Plan Bottom Up" xfId="1879" xr:uid="{9678B1C7-BBFC-4381-8E9D-00C8F37CF2A2}"/>
    <cellStyle name="s_~0016995_1_AL New midpoint scenario 1.2B" xfId="1880" xr:uid="{D0F10329-F3E1-4635-A6F4-03DE99DAA93B}"/>
    <cellStyle name="s_~0016995_1_Book1" xfId="1881" xr:uid="{E88D322F-76EB-4004-BFDD-619BBEED45DF}"/>
    <cellStyle name="s_~0016995_1_Clean Scenario 1 3B" xfId="1882" xr:uid="{00743D2B-1FC0-46BE-A399-FEB8EBEB9931}"/>
    <cellStyle name="s_~0016995_1_Draft reporting v4 031709" xfId="1883" xr:uid="{3D1C9936-74E0-47B5-A4A9-FB793260E766}"/>
    <cellStyle name="s_~0016995_1_Draft reporting v6 031909" xfId="1884" xr:uid="{FF86E485-2D59-4D63-A2D8-6822F462F671}"/>
    <cellStyle name="s_~0016995_1_Draft reporting v7 032509" xfId="1885" xr:uid="{F0767A1F-D798-4602-A852-65C888AC17C7}"/>
    <cellStyle name="s_~0016995_1_EXOR Package July 1" xfId="1886" xr:uid="{FF12E79E-6869-4B4B-B536-C87AD09B75DB}"/>
    <cellStyle name="s_~0016995_1_Leverage Ratio s3" xfId="1887" xr:uid="{F06CA33C-AE37-46DB-85D7-B2B052C4E953}"/>
    <cellStyle name="s_~0016995_1_Monthly Summary" xfId="1888" xr:uid="{55E644F4-BD00-4C9F-879E-1BDBF1E6E6DB}"/>
    <cellStyle name="s_~0016995_2010 Revised CF Plan Bottom Up" xfId="1889" xr:uid="{4C62D860-0138-44DD-985A-B04929158807}"/>
    <cellStyle name="s_~0016995_AL New midpoint scenario 1.2B" xfId="1890" xr:uid="{820A4E80-A60D-4731-AFC1-E59F9B01DA94}"/>
    <cellStyle name="s_~0016995_Book1" xfId="1891" xr:uid="{D3580C61-6525-4381-8B98-9512C072F194}"/>
    <cellStyle name="s_~0016995_Clean Scenario 1 3B" xfId="1892" xr:uid="{6E25065E-5929-44DD-9EA0-68D286D01E05}"/>
    <cellStyle name="s_~0016995_Draft reporting v4 031709" xfId="1893" xr:uid="{EFF1BE2B-2A74-4FFD-B8C4-1408DB1C6CE1}"/>
    <cellStyle name="s_~0016995_Draft reporting v6 031909" xfId="1894" xr:uid="{7D5E8D83-1679-46DF-AEE7-13B5AA53AB84}"/>
    <cellStyle name="s_~0016995_Draft reporting v7 032509" xfId="1895" xr:uid="{2E66B6B5-6DDB-4B4D-BB6F-0C9A5A71A9CD}"/>
    <cellStyle name="s_~0016995_EXOR Package July 1" xfId="1896" xr:uid="{D4F94596-24AD-4A50-BBEC-1D5BBC78EB28}"/>
    <cellStyle name="s_~0016995_Leverage Ratio s3" xfId="1897" xr:uid="{5FF4379D-B194-4D70-9763-0BBECDA2FD94}"/>
    <cellStyle name="s_~0016995_Monthly Summary" xfId="1898" xr:uid="{5649B32B-E62F-4C3A-8BA2-27B4436FC1B6}"/>
    <cellStyle name="s_~0036364" xfId="1899" xr:uid="{EF4DE810-3EAD-44F7-8697-C0A71A12A7A9}"/>
    <cellStyle name="s_~0036364_1" xfId="1900" xr:uid="{77EDDFE9-6C4A-45E3-9949-4C6C3BDFD946}"/>
    <cellStyle name="s_~0036364_1_2010 Revised CF Plan Bottom Up" xfId="1901" xr:uid="{C8A8C64D-68F1-49DC-B566-CCA29AFD39C7}"/>
    <cellStyle name="s_~0036364_1_AL New midpoint scenario 1.2B" xfId="1902" xr:uid="{1BF9611F-1D5A-432D-87B1-ABBDBFE7746D}"/>
    <cellStyle name="s_~0036364_1_Book1" xfId="1903" xr:uid="{52C6AFE2-F2B4-4D2A-AD91-17D0FD88FA81}"/>
    <cellStyle name="s_~0036364_1_Clean Scenario 1 3B" xfId="1904" xr:uid="{8456332D-64F4-4F61-B349-2F4541D46EC5}"/>
    <cellStyle name="s_~0036364_1_Draft reporting v4 031709" xfId="1905" xr:uid="{D1E29B12-6052-47E2-B892-D16F0F512152}"/>
    <cellStyle name="s_~0036364_1_Draft reporting v6 031909" xfId="1906" xr:uid="{697ACC53-26DC-433E-B821-D787E64669E4}"/>
    <cellStyle name="s_~0036364_1_Draft reporting v7 032509" xfId="1907" xr:uid="{9FED7010-806D-4E98-9C6F-AD9D6C52D800}"/>
    <cellStyle name="s_~0036364_1_EXOR Package July 1" xfId="1908" xr:uid="{C5479CF6-2868-4D9F-AD57-B79B0DC5DE26}"/>
    <cellStyle name="s_~0036364_1_Leverage Ratio s3" xfId="1909" xr:uid="{709A1E48-73B0-4A68-A9BE-6B83AD4C511B}"/>
    <cellStyle name="s_~0036364_1_Monthly Summary" xfId="1910" xr:uid="{5605136D-A706-42D6-8007-8B41E6260002}"/>
    <cellStyle name="s_~0036364_2" xfId="1911" xr:uid="{B219BA70-B85E-47B8-8B52-F19286639493}"/>
    <cellStyle name="s_~0036364_2_2010 Revised CF Plan Bottom Up" xfId="1912" xr:uid="{2267EA4D-1CA4-4DB6-8255-B64A99A200F8}"/>
    <cellStyle name="s_~0036364_2_AL New midpoint scenario 1.2B" xfId="1913" xr:uid="{4F4E177D-287B-4949-8C7E-B016F372F8A3}"/>
    <cellStyle name="s_~0036364_2_Book1" xfId="1914" xr:uid="{E4622460-CFB6-4A20-BCEC-6E52D8751EF7}"/>
    <cellStyle name="s_~0036364_2_Clean Scenario 1 3B" xfId="1915" xr:uid="{ABE0D705-1DB3-4084-9E3C-8EB841BD6665}"/>
    <cellStyle name="s_~0036364_2_Draft reporting v4 031709" xfId="1916" xr:uid="{E73D3769-0D12-46C4-8F18-9FDF67D05FE6}"/>
    <cellStyle name="s_~0036364_2_Draft reporting v6 031909" xfId="1917" xr:uid="{5F5E4319-9AA2-4FA0-95D5-8308C29789B2}"/>
    <cellStyle name="s_~0036364_2_Draft reporting v7 032509" xfId="1918" xr:uid="{A2E0FF16-4530-44B4-BAF8-9CBAAE1749EB}"/>
    <cellStyle name="s_~0036364_2_EXOR Package July 1" xfId="1919" xr:uid="{9E9BE317-0ECD-4833-9A47-DB083FD194D3}"/>
    <cellStyle name="s_~0036364_2_Leverage Ratio s3" xfId="1920" xr:uid="{DF94CE0B-43D2-4387-805E-C46B83EBEC2F}"/>
    <cellStyle name="s_~0036364_2_Monthly Summary" xfId="1921" xr:uid="{7754243B-27ED-4076-95F6-3D97C32A0F6B}"/>
    <cellStyle name="s_~0036364_2010 Revised CF Plan Bottom Up" xfId="1922" xr:uid="{5897761F-8A30-4B2D-967F-27D2E70906C8}"/>
    <cellStyle name="s_~0036364_AL New midpoint scenario 1.2B" xfId="1923" xr:uid="{B9DC3A5A-7256-4A5E-A518-42E5B0CBBEC8}"/>
    <cellStyle name="s_~0036364_Book1" xfId="1924" xr:uid="{C840FB85-471C-4F01-8F7F-B042AB91E033}"/>
    <cellStyle name="s_~0036364_Clean Scenario 1 3B" xfId="1925" xr:uid="{E0326C2D-6B4C-475E-AF56-23F17C9EB8FE}"/>
    <cellStyle name="s_~0036364_Draft reporting v4 031709" xfId="1926" xr:uid="{B84950E7-2DC9-48FF-A477-2459FCCB62D4}"/>
    <cellStyle name="s_~0036364_Draft reporting v6 031909" xfId="1927" xr:uid="{9E578FC9-6047-41F2-8FA1-5B827114F8A0}"/>
    <cellStyle name="s_~0036364_Draft reporting v7 032509" xfId="1928" xr:uid="{4B472296-908B-4AC3-8DCE-FDD4D787992E}"/>
    <cellStyle name="s_~0036364_EXOR Package July 1" xfId="1929" xr:uid="{14CEDAB4-AD21-4C6C-9F21-4624607B3ECA}"/>
    <cellStyle name="s_~0036364_Leverage Ratio s3" xfId="1930" xr:uid="{74BD2734-EDA2-4F07-B018-F996B00FCB41}"/>
    <cellStyle name="s_~0036364_Monthly Summary" xfId="1931" xr:uid="{BD480C58-216B-45E7-BC54-945EC5255852}"/>
    <cellStyle name="s_~5424068" xfId="1932" xr:uid="{1D9F2A48-47CC-4650-80E1-38C74E0588D2}"/>
    <cellStyle name="s_~5424068_2010 Revised CF Plan Bottom Up" xfId="1933" xr:uid="{AC0D326D-3B72-42B8-AFB3-F5A3E01B3D9F}"/>
    <cellStyle name="s_~5424068_AL New midpoint scenario 1.2B" xfId="1934" xr:uid="{FD976E90-7913-41CA-B2C9-4AD00263B3A6}"/>
    <cellStyle name="s_~5424068_Book1" xfId="1935" xr:uid="{A36306FA-9EB5-43DE-9BC1-F3090B2A43E3}"/>
    <cellStyle name="s_~5424068_Clean Scenario 1 3B" xfId="1936" xr:uid="{EBD0C687-2C5C-4BA5-B44F-1E52CE39FC91}"/>
    <cellStyle name="s_~5424068_Draft reporting v4 031709" xfId="1937" xr:uid="{F49A16BF-2A75-49D0-AAF1-8F81CF00D903}"/>
    <cellStyle name="s_~5424068_Draft reporting v6 031909" xfId="1938" xr:uid="{AAE0FFDC-E624-4B56-97E9-064A09297CB4}"/>
    <cellStyle name="s_~5424068_Draft reporting v7 032509" xfId="1939" xr:uid="{F5501721-D4BA-4D1A-B213-5C49422AAA23}"/>
    <cellStyle name="s_~5424068_EXOR Package July 1" xfId="1940" xr:uid="{C34C628E-24BB-49B3-A57A-5C32A8AF8282}"/>
    <cellStyle name="s_~5424068_Leverage Ratio s3" xfId="1941" xr:uid="{54AF1ED5-285A-4826-8B43-FC9A871679E7}"/>
    <cellStyle name="s_~5424068_Monthly Summary" xfId="1942" xr:uid="{CF2EC44A-A879-4E50-AEA3-61EBB9BD16C3}"/>
    <cellStyle name="s_2010 Revised CF Plan Bottom Up" xfId="1943" xr:uid="{A2CBB15F-E53D-44E1-8F3C-69BD0B41A69E}"/>
    <cellStyle name="s_8_30models" xfId="1944" xr:uid="{50124135-8706-4D48-9BCF-CFF29B89F6F3}"/>
    <cellStyle name="s_8_30models_1" xfId="1945" xr:uid="{FEF3D920-E091-4777-B64B-2239DB6724DD}"/>
    <cellStyle name="s_8_30models_1_2010 Revised CF Plan Bottom Up" xfId="1946" xr:uid="{094F648E-08F8-489B-9651-1C801341CD5F}"/>
    <cellStyle name="s_8_30models_1_AL New midpoint scenario 1.2B" xfId="1947" xr:uid="{503CC5EA-F0D7-42C6-9A6B-736398262D55}"/>
    <cellStyle name="s_8_30models_1_Book1" xfId="1948" xr:uid="{A5871E70-7D0E-412E-AA9C-362268684709}"/>
    <cellStyle name="s_8_30models_1_Clean Scenario 1 3B" xfId="1949" xr:uid="{B05A97B3-6BBB-4641-BB73-8C318154596D}"/>
    <cellStyle name="s_8_30models_1_Draft reporting v4 031709" xfId="1950" xr:uid="{70403421-CD5F-4E98-955E-5BA83F86CF94}"/>
    <cellStyle name="s_8_30models_1_Draft reporting v6 031909" xfId="1951" xr:uid="{2F86E573-00CE-4DBB-AFD1-EE1D720811D5}"/>
    <cellStyle name="s_8_30models_1_Draft reporting v7 032509" xfId="1952" xr:uid="{859EDDD8-437B-40B2-9218-650FC754D797}"/>
    <cellStyle name="s_8_30models_1_EXOR Package July 1" xfId="1953" xr:uid="{2AE8C4B2-C377-4053-922E-8DD506A5658E}"/>
    <cellStyle name="s_8_30models_1_Leverage Ratio s3" xfId="1954" xr:uid="{686B84B4-E72B-43DA-9B88-D55D1DC1B62B}"/>
    <cellStyle name="s_8_30models_1_Monthly Summary" xfId="1955" xr:uid="{80B1024A-4C25-448E-B57A-75E80D9B52A4}"/>
    <cellStyle name="s_8_30models_2010 Revised CF Plan Bottom Up" xfId="1956" xr:uid="{4E9EDE22-AD62-4057-8951-1973DA1069D5}"/>
    <cellStyle name="s_8_30models_AL New midpoint scenario 1.2B" xfId="1957" xr:uid="{18B0D1BB-A09F-4BBF-9FBD-826CACE26B01}"/>
    <cellStyle name="s_8_30models_Book1" xfId="1958" xr:uid="{8EEFAE89-959C-42AB-8424-3A4BBCE1FC3A}"/>
    <cellStyle name="s_8_30models_Clean Scenario 1 3B" xfId="1959" xr:uid="{88E3A35A-2D16-4BB4-8DCD-5004EC0B0D10}"/>
    <cellStyle name="s_8_30models_Draft reporting v4 031709" xfId="1960" xr:uid="{90D156F0-A3A8-4184-BEB0-2F453D1AE23F}"/>
    <cellStyle name="s_8_30models_Draft reporting v6 031909" xfId="1961" xr:uid="{F1D44B11-817F-4F82-8F44-E136281278B1}"/>
    <cellStyle name="s_8_30models_Draft reporting v7 032509" xfId="1962" xr:uid="{38CB2ECE-6905-43CC-B8FA-942333E837A2}"/>
    <cellStyle name="s_8_30models_EXOR Package July 1" xfId="1963" xr:uid="{9372D409-ED2C-481F-9F49-D7D1121DD27E}"/>
    <cellStyle name="s_8_30models_Leverage Ratio s3" xfId="1964" xr:uid="{4ED4A509-9DFD-4244-9933-D28A362FD9E0}"/>
    <cellStyle name="s_8_30models_Monthly Summary" xfId="1965" xr:uid="{6A5E1C20-FF4D-48FC-BC49-5ED1151B5728}"/>
    <cellStyle name="s_Acc (Dil) Matrix (2)" xfId="1966" xr:uid="{8FB5DD2D-8F8B-4522-BF0F-303BCE4990E3}"/>
    <cellStyle name="s_Acc (Dil) Matrix (2)_1" xfId="1967" xr:uid="{A95F98EA-93AF-468D-993C-6AC6DB4D5504}"/>
    <cellStyle name="s_Acc (Dil) Matrix (2)_1_2010 Revised CF Plan Bottom Up" xfId="1968" xr:uid="{C6828A72-21F4-49AF-B67B-C5262CA7F19C}"/>
    <cellStyle name="s_Acc (Dil) Matrix (2)_1_AL New midpoint scenario 1.2B" xfId="1969" xr:uid="{DBEC27DE-B4CD-430C-B007-3B36F6400728}"/>
    <cellStyle name="s_Acc (Dil) Matrix (2)_1_Book1" xfId="1970" xr:uid="{0F2D987C-5FFD-4FE4-9707-B399B99A80BC}"/>
    <cellStyle name="s_Acc (Dil) Matrix (2)_1_Clean Scenario 1 3B" xfId="1971" xr:uid="{0B2509F3-0517-47B3-A5FB-3DC3CE360862}"/>
    <cellStyle name="s_Acc (Dil) Matrix (2)_1_Draft reporting v4 031709" xfId="1972" xr:uid="{58CD2AD1-2559-4A22-B207-418361FC5657}"/>
    <cellStyle name="s_Acc (Dil) Matrix (2)_1_Draft reporting v6 031909" xfId="1973" xr:uid="{5A4432E8-0D0F-45C7-ABCF-99285422A22F}"/>
    <cellStyle name="s_Acc (Dil) Matrix (2)_1_Draft reporting v7 032509" xfId="1974" xr:uid="{43200F36-0AEB-446D-9D4F-61918469DFB2}"/>
    <cellStyle name="s_Acc (Dil) Matrix (2)_1_EXOR Package July 1" xfId="1975" xr:uid="{4090635C-6DF7-4710-A190-78CB02C055E9}"/>
    <cellStyle name="s_Acc (Dil) Matrix (2)_1_Leverage Ratio s3" xfId="1976" xr:uid="{96F80400-53BB-4E8B-9BFC-6DB6ADE37A45}"/>
    <cellStyle name="s_Acc (Dil) Matrix (2)_1_Monthly Summary" xfId="1977" xr:uid="{3EBC04CF-1EE9-462A-9EC7-65B4373272C8}"/>
    <cellStyle name="s_Acc (Dil) Matrix (2)_2" xfId="1978" xr:uid="{D74532F7-3AD3-4F0A-96F6-4D686691BD4B}"/>
    <cellStyle name="s_Acc (Dil) Matrix (2)_2_2010 Revised CF Plan Bottom Up" xfId="1979" xr:uid="{76814A40-8569-480D-A3FD-A1871D2BA736}"/>
    <cellStyle name="s_Acc (Dil) Matrix (2)_2_AL New midpoint scenario 1.2B" xfId="1980" xr:uid="{CA5718D1-BCBB-4958-A5CE-34DEBAD9333F}"/>
    <cellStyle name="s_Acc (Dil) Matrix (2)_2_Book1" xfId="1981" xr:uid="{EE410E93-E3AB-42A7-8324-8054D196A8DC}"/>
    <cellStyle name="s_Acc (Dil) Matrix (2)_2_Celtic DCF" xfId="1982" xr:uid="{5240CD46-7E6C-4FC7-80D2-A13D85374413}"/>
    <cellStyle name="s_Acc (Dil) Matrix (2)_2_Celtic DCF Inputs" xfId="1983" xr:uid="{27C6CC2E-FB9A-4785-9AF1-BA8F3CE0EE57}"/>
    <cellStyle name="s_Acc (Dil) Matrix (2)_2_Celtic DCF Inputs_2010 Revised CF Plan Bottom Up" xfId="1984" xr:uid="{DB3ED0D8-E770-423B-B524-2732757877CF}"/>
    <cellStyle name="s_Acc (Dil) Matrix (2)_2_Celtic DCF Inputs_AL New midpoint scenario 1.2B" xfId="1985" xr:uid="{18BF1DD5-7EE7-4391-8A2B-90E66B420555}"/>
    <cellStyle name="s_Acc (Dil) Matrix (2)_2_Celtic DCF Inputs_Book1" xfId="1986" xr:uid="{829F5C5C-DD09-4E90-8EF5-B91F26376EA3}"/>
    <cellStyle name="s_Acc (Dil) Matrix (2)_2_Celtic DCF Inputs_Clean Scenario 1 3B" xfId="1987" xr:uid="{826C1E4D-E9CE-443B-B80E-F3AFA0ECBEEB}"/>
    <cellStyle name="s_Acc (Dil) Matrix (2)_2_Celtic DCF Inputs_Draft reporting v4 031709" xfId="1988" xr:uid="{BFA7D316-93C1-4F44-93EC-1008523D998F}"/>
    <cellStyle name="s_Acc (Dil) Matrix (2)_2_Celtic DCF Inputs_Draft reporting v6 031909" xfId="1989" xr:uid="{64B77A21-E1DE-4DCA-AEBE-0CC804F6037A}"/>
    <cellStyle name="s_Acc (Dil) Matrix (2)_2_Celtic DCF Inputs_Draft reporting v7 032509" xfId="1990" xr:uid="{CCB17607-B445-40F7-A208-FA9336842A85}"/>
    <cellStyle name="s_Acc (Dil) Matrix (2)_2_Celtic DCF Inputs_EXOR Package July 1" xfId="1991" xr:uid="{08E8436E-7E16-48D8-B158-BDC3F734192E}"/>
    <cellStyle name="s_Acc (Dil) Matrix (2)_2_Celtic DCF Inputs_Leverage Ratio s3" xfId="1992" xr:uid="{987391AF-3469-4475-9305-321099111C18}"/>
    <cellStyle name="s_Acc (Dil) Matrix (2)_2_Celtic DCF Inputs_Monthly Summary" xfId="1993" xr:uid="{E7C534F2-75E6-46AF-B4CF-26942E9A2806}"/>
    <cellStyle name="s_Acc (Dil) Matrix (2)_2_Celtic DCF_2010 Revised CF Plan Bottom Up" xfId="1994" xr:uid="{580F4F83-EEB0-42BC-852F-0C236B0CCB89}"/>
    <cellStyle name="s_Acc (Dil) Matrix (2)_2_Celtic DCF_AL New midpoint scenario 1.2B" xfId="1995" xr:uid="{2606C837-2A05-484A-B60D-87AE2E0497C5}"/>
    <cellStyle name="s_Acc (Dil) Matrix (2)_2_Celtic DCF_Book1" xfId="1996" xr:uid="{BB20D7CC-353B-4763-BDC9-EFD09AA12ECD}"/>
    <cellStyle name="s_Acc (Dil) Matrix (2)_2_Celtic DCF_Clean Scenario 1 3B" xfId="1997" xr:uid="{0139F4A1-4E75-42B9-987E-E899173F4626}"/>
    <cellStyle name="s_Acc (Dil) Matrix (2)_2_Celtic DCF_Draft reporting v4 031709" xfId="1998" xr:uid="{BAE1E586-C124-40B3-ADE4-D56B2C35F726}"/>
    <cellStyle name="s_Acc (Dil) Matrix (2)_2_Celtic DCF_Draft reporting v6 031909" xfId="1999" xr:uid="{7AA8A302-26E2-4BDB-AB16-2675F59517E7}"/>
    <cellStyle name="s_Acc (Dil) Matrix (2)_2_Celtic DCF_Draft reporting v7 032509" xfId="2000" xr:uid="{9FDE2941-1BF5-40A4-8D2A-2D1FB066898E}"/>
    <cellStyle name="s_Acc (Dil) Matrix (2)_2_Celtic DCF_EXOR Package July 1" xfId="2001" xr:uid="{D20353F5-06C7-4D9A-BDFA-01A00996798D}"/>
    <cellStyle name="s_Acc (Dil) Matrix (2)_2_Celtic DCF_Leverage Ratio s3" xfId="2002" xr:uid="{40FA593B-C2DB-4BEB-BF4A-2438B941A213}"/>
    <cellStyle name="s_Acc (Dil) Matrix (2)_2_Celtic DCF_Monthly Summary" xfId="2003" xr:uid="{F5F8E4CF-6396-4871-BCD8-BBECBF44474D}"/>
    <cellStyle name="s_Acc (Dil) Matrix (2)_2_Clean Scenario 1 3B" xfId="2004" xr:uid="{9C56CC33-BDEE-4D25-90A5-905D5F39C89E}"/>
    <cellStyle name="s_Acc (Dil) Matrix (2)_2_Draft reporting v4 031709" xfId="2005" xr:uid="{582989F0-575F-4ECB-8894-D547290E9659}"/>
    <cellStyle name="s_Acc (Dil) Matrix (2)_2_Draft reporting v6 031909" xfId="2006" xr:uid="{2B5D61C1-C209-4E6E-A54F-7329A687C216}"/>
    <cellStyle name="s_Acc (Dil) Matrix (2)_2_Draft reporting v7 032509" xfId="2007" xr:uid="{D7AF6E45-0E6B-46C0-9073-6D351D9AD5A9}"/>
    <cellStyle name="s_Acc (Dil) Matrix (2)_2_EXOR Package July 1" xfId="2008" xr:uid="{E4BD1B55-F9C5-4054-9558-934EA27CCA01}"/>
    <cellStyle name="s_Acc (Dil) Matrix (2)_2_Leverage Ratio s3" xfId="2009" xr:uid="{FED8EC2B-B942-4AAB-87D7-7F579AD48311}"/>
    <cellStyle name="s_Acc (Dil) Matrix (2)_2_Monthly Summary" xfId="2010" xr:uid="{5EBED877-355E-43B3-89C3-3652C2F04CF2}"/>
    <cellStyle name="s_Acc (Dil) Matrix (2)_2_Valuation Summary" xfId="2011" xr:uid="{EAB1A3BC-3143-4A19-98EC-DDCEEA66AFF2}"/>
    <cellStyle name="s_Acc (Dil) Matrix (2)_2_Valuation Summary_2010 Revised CF Plan Bottom Up" xfId="2012" xr:uid="{7D9C2719-B261-4F9C-AF1A-B07BE6C2A5B7}"/>
    <cellStyle name="s_Acc (Dil) Matrix (2)_2_Valuation Summary_AL New midpoint scenario 1.2B" xfId="2013" xr:uid="{06E03C24-819B-423D-AFE7-CA5428DF1337}"/>
    <cellStyle name="s_Acc (Dil) Matrix (2)_2_Valuation Summary_Book1" xfId="2014" xr:uid="{6B659EAB-8472-4015-9C8F-CCF5E2284121}"/>
    <cellStyle name="s_Acc (Dil) Matrix (2)_2_Valuation Summary_Clean Scenario 1 3B" xfId="2015" xr:uid="{766B6D7C-977C-4F10-9A3E-4290B0F651C5}"/>
    <cellStyle name="s_Acc (Dil) Matrix (2)_2_Valuation Summary_Draft reporting v4 031709" xfId="2016" xr:uid="{8E56730F-A7E1-4FE6-816F-2802396BEF19}"/>
    <cellStyle name="s_Acc (Dil) Matrix (2)_2_Valuation Summary_Draft reporting v6 031909" xfId="2017" xr:uid="{04CDEE0A-45E2-42B7-A033-BECF562DFA63}"/>
    <cellStyle name="s_Acc (Dil) Matrix (2)_2_Valuation Summary_Draft reporting v7 032509" xfId="2018" xr:uid="{98155933-F7F0-4A1B-9E03-96DA083F56FE}"/>
    <cellStyle name="s_Acc (Dil) Matrix (2)_2_Valuation Summary_EXOR Package July 1" xfId="2019" xr:uid="{16E54BE0-0026-40D4-A34F-C4F82E2B050F}"/>
    <cellStyle name="s_Acc (Dil) Matrix (2)_2_Valuation Summary_Leverage Ratio s3" xfId="2020" xr:uid="{37811413-7339-4BBD-81AA-5AA7A5C5E41D}"/>
    <cellStyle name="s_Acc (Dil) Matrix (2)_2_Valuation Summary_Monthly Summary" xfId="2021" xr:uid="{06095C2B-11D7-46FE-A692-CAE1E1EC2DD5}"/>
    <cellStyle name="s_Acc (Dil) Matrix (2)_2010 Revised CF Plan Bottom Up" xfId="2022" xr:uid="{2E7A4ACE-E09A-48D5-BB45-955D73DB6ADA}"/>
    <cellStyle name="s_Acc (Dil) Matrix (2)_AL New midpoint scenario 1.2B" xfId="2023" xr:uid="{50BC7462-66BD-48BF-AD7A-1D88539C361B}"/>
    <cellStyle name="s_Acc (Dil) Matrix (2)_Book1" xfId="2024" xr:uid="{B701E344-B542-4141-AF8F-5A72CB6C73C3}"/>
    <cellStyle name="s_Acc (Dil) Matrix (2)_Clean Scenario 1 3B" xfId="2025" xr:uid="{687E2561-9D6C-4216-BB22-81B313DECC99}"/>
    <cellStyle name="s_Acc (Dil) Matrix (2)_Draft reporting v4 031709" xfId="2026" xr:uid="{C9C35E82-9F9F-4A9E-B248-FE9F847F4B36}"/>
    <cellStyle name="s_Acc (Dil) Matrix (2)_Draft reporting v6 031909" xfId="2027" xr:uid="{E9E0EB75-BCFA-4E8C-BF19-57CBE39241C4}"/>
    <cellStyle name="s_Acc (Dil) Matrix (2)_Draft reporting v7 032509" xfId="2028" xr:uid="{F3E68716-5ED2-4546-95B5-3A67344A3DB9}"/>
    <cellStyle name="s_Acc (Dil) Matrix (2)_EXOR Package July 1" xfId="2029" xr:uid="{11107598-D236-4983-8961-F30311C0A3D0}"/>
    <cellStyle name="s_Acc (Dil) Matrix (2)_Leverage Ratio s3" xfId="2030" xr:uid="{6121DC9B-ED32-409F-ABDC-3BD2121A0D5C}"/>
    <cellStyle name="s_Acc (Dil) Matrix (2)_Monthly Summary" xfId="2031" xr:uid="{06826AC8-0C44-4A22-9763-681314E97ECC}"/>
    <cellStyle name="s_AL New midpoint scenario 1.2B" xfId="2032" xr:uid="{47B8196C-D903-44C0-8995-DD5DB534B265}"/>
    <cellStyle name="s_Ariz_Nevada (2)" xfId="2033" xr:uid="{40CA0999-09CB-401A-8EE7-CFC935B74FDB}"/>
    <cellStyle name="s_Ariz_Nevada (2)_1" xfId="2034" xr:uid="{4C48E65D-865B-4DCB-AFBC-522D99322646}"/>
    <cellStyle name="s_Ariz_Nevada (2)_1_2010 Revised CF Plan Bottom Up" xfId="2035" xr:uid="{606AB278-4D26-444C-A93F-9299DB39E52B}"/>
    <cellStyle name="s_Ariz_Nevada (2)_1_AL New midpoint scenario 1.2B" xfId="2036" xr:uid="{90D27758-EB7B-4A1A-B621-74897DC9DDBB}"/>
    <cellStyle name="s_Ariz_Nevada (2)_1_Book1" xfId="2037" xr:uid="{1616A74E-65D0-45CF-AF8B-B12D1B0F7457}"/>
    <cellStyle name="s_Ariz_Nevada (2)_1_Clean Scenario 1 3B" xfId="2038" xr:uid="{B126CF8C-0C04-42F5-8E93-3EB3D081EB71}"/>
    <cellStyle name="s_Ariz_Nevada (2)_1_Draft reporting v4 031709" xfId="2039" xr:uid="{B3EA62DA-6B1C-4843-BDA0-EFA45408109B}"/>
    <cellStyle name="s_Ariz_Nevada (2)_1_Draft reporting v6 031909" xfId="2040" xr:uid="{E86C89E0-9F88-48E2-9E12-1FD3B8E2AA71}"/>
    <cellStyle name="s_Ariz_Nevada (2)_1_Draft reporting v7 032509" xfId="2041" xr:uid="{CB7011E5-9C78-46CF-9CF4-35418FF790CE}"/>
    <cellStyle name="s_Ariz_Nevada (2)_1_EXOR Package July 1" xfId="2042" xr:uid="{3E387AC4-5F44-4593-8938-27BED5F56A10}"/>
    <cellStyle name="s_Ariz_Nevada (2)_1_Leverage Ratio s3" xfId="2043" xr:uid="{54B7F9CF-2E09-4681-84BB-FBE3F232C293}"/>
    <cellStyle name="s_Ariz_Nevada (2)_2010 Revised CF Plan Bottom Up" xfId="2044" xr:uid="{BF46FE94-EC35-4DA8-A8A9-F0F5F8648DDB}"/>
    <cellStyle name="s_Ariz_Nevada (2)_AL New midpoint scenario 1.2B" xfId="2045" xr:uid="{739A10F9-1734-414C-A309-4D2071EDF509}"/>
    <cellStyle name="s_Ariz_Nevada (2)_Book1" xfId="2046" xr:uid="{792FDB1A-F2FB-4248-AAC1-580CD2E1A81D}"/>
    <cellStyle name="s_Ariz_Nevada (2)_Clean Scenario 1 3B" xfId="2047" xr:uid="{5C5AC421-D249-4C66-98E8-4B6772ED67DF}"/>
    <cellStyle name="s_Ariz_Nevada (2)_Draft reporting v4 031709" xfId="2048" xr:uid="{C9D28E78-08EF-420C-B2B2-D127EE1F6BB0}"/>
    <cellStyle name="s_Ariz_Nevada (2)_Draft reporting v6 031909" xfId="2049" xr:uid="{428F5821-0D18-4EBA-A453-4D1EB4609114}"/>
    <cellStyle name="s_Ariz_Nevada (2)_Draft reporting v7 032509" xfId="2050" xr:uid="{484FDA48-EC09-4C05-86CB-99191C44EA90}"/>
    <cellStyle name="s_Ariz_Nevada (2)_EXOR Package July 1" xfId="2051" xr:uid="{7BF3CE8B-6573-4DA4-BFFE-3E520A790072}"/>
    <cellStyle name="s_Ariz_Nevada (2)_Leverage Ratio s3" xfId="2052" xr:uid="{D0B3CF6A-3D29-406A-BFB6-70D079B6DC25}"/>
    <cellStyle name="s_Ariz_Nevada (2)_Monthly Summary" xfId="2053" xr:uid="{23DE399E-1597-42FC-85CD-8791E3B4A451}"/>
    <cellStyle name="s_Bal Sheets" xfId="2054" xr:uid="{61F61432-E397-4A92-8EB4-0831C509F7E2}"/>
    <cellStyle name="s_Bal Sheets (2)" xfId="2055" xr:uid="{72B902EE-7354-4E80-9A2C-EF2ED6D1CD3D}"/>
    <cellStyle name="s_Bal Sheets (2)_1" xfId="2056" xr:uid="{71250895-0870-42D9-ABD1-C419A1C32F4D}"/>
    <cellStyle name="s_Bal Sheets (2)_1_2010 Revised CF Plan Bottom Up" xfId="2057" xr:uid="{EF68C4A9-A3BF-4473-9169-331DBF9A3F40}"/>
    <cellStyle name="s_Bal Sheets (2)_1_AL New midpoint scenario 1.2B" xfId="2058" xr:uid="{F29EE338-4F7F-4E48-9278-070B8F8A5C57}"/>
    <cellStyle name="s_Bal Sheets (2)_1_Book1" xfId="2059" xr:uid="{45DE0CE3-80E7-4796-9BD8-7568239ED81A}"/>
    <cellStyle name="s_Bal Sheets (2)_1_Clean Scenario 1 3B" xfId="2060" xr:uid="{69B2D08C-D75F-432F-8C29-685270F4447E}"/>
    <cellStyle name="s_Bal Sheets (2)_1_Draft reporting v4 031709" xfId="2061" xr:uid="{8D7BB050-5BF1-4851-B434-F809714C0587}"/>
    <cellStyle name="s_Bal Sheets (2)_1_Draft reporting v6 031909" xfId="2062" xr:uid="{37D2F09D-5FBC-42A7-85B8-BEFE3B2B722B}"/>
    <cellStyle name="s_Bal Sheets (2)_1_Draft reporting v7 032509" xfId="2063" xr:uid="{C90D225B-B6D8-48C3-898B-02905422565F}"/>
    <cellStyle name="s_Bal Sheets (2)_1_EXOR Package July 1" xfId="2064" xr:uid="{B2DC3666-A968-4E9A-9D57-FFDC3ACF3408}"/>
    <cellStyle name="s_Bal Sheets (2)_1_Leverage Ratio s3" xfId="2065" xr:uid="{383A2B54-8731-433C-83C7-373C0E104DD3}"/>
    <cellStyle name="s_Bal Sheets (2)_2010 Revised CF Plan Bottom Up" xfId="2066" xr:uid="{C1DDB94E-1F61-44FA-9218-460E1CEAD156}"/>
    <cellStyle name="s_Bal Sheets (2)_AL New midpoint scenario 1.2B" xfId="2067" xr:uid="{C33064B2-C6E6-4507-B81B-6FC7F158D602}"/>
    <cellStyle name="s_Bal Sheets (2)_Book1" xfId="2068" xr:uid="{25C3F188-FA4E-4DEA-9B70-0BACF79AA6F6}"/>
    <cellStyle name="s_Bal Sheets (2)_Clean Scenario 1 3B" xfId="2069" xr:uid="{CDDDC7A4-B4AC-4981-8E38-CFE9F81E4420}"/>
    <cellStyle name="s_Bal Sheets (2)_Draft reporting v4 031709" xfId="2070" xr:uid="{55A9C21D-975B-4734-89E3-2B3B51749801}"/>
    <cellStyle name="s_Bal Sheets (2)_Draft reporting v6 031909" xfId="2071" xr:uid="{B09B011D-0470-4A9E-8C04-94BDDABC1FA3}"/>
    <cellStyle name="s_Bal Sheets (2)_Draft reporting v7 032509" xfId="2072" xr:uid="{E361B5EF-9814-4158-9241-F99E4746EB98}"/>
    <cellStyle name="s_Bal Sheets (2)_EXOR Package July 1" xfId="2073" xr:uid="{8DB6D3C3-E71D-4C05-8723-253313221923}"/>
    <cellStyle name="s_Bal Sheets (2)_Leverage Ratio s3" xfId="2074" xr:uid="{A49A325C-CB14-45C7-BB7C-5E5CC6A93BBD}"/>
    <cellStyle name="s_Bal Sheets_1" xfId="2075" xr:uid="{A1D73DAC-F0A1-4028-981B-503799910F61}"/>
    <cellStyle name="s_Bal Sheets_1_2010 Revised CF Plan Bottom Up" xfId="2076" xr:uid="{3CD344D1-57D2-4702-A478-988D3571A441}"/>
    <cellStyle name="s_Bal Sheets_1_AL New midpoint scenario 1.2B" xfId="2077" xr:uid="{0B6897A0-FD69-4935-B6A6-5D5B71331D77}"/>
    <cellStyle name="s_Bal Sheets_1_AM0909" xfId="2078" xr:uid="{DC6FF670-04DD-4635-9E20-E254C714DF8B}"/>
    <cellStyle name="s_Bal Sheets_1_AM0909_2010 Revised CF Plan Bottom Up" xfId="2079" xr:uid="{B40BFEC3-0C9B-4705-9A09-B8F3A2B6F054}"/>
    <cellStyle name="s_Bal Sheets_1_AM0909_AL New midpoint scenario 1.2B" xfId="2080" xr:uid="{97C18788-51DF-426D-BF63-8522DCC009B6}"/>
    <cellStyle name="s_Bal Sheets_1_AM0909_Book1" xfId="2081" xr:uid="{BF37A65F-C00E-40F2-B2BD-9E06D1135A02}"/>
    <cellStyle name="s_Bal Sheets_1_AM0909_Clean Scenario 1 3B" xfId="2082" xr:uid="{76D088E0-5915-4E21-AD25-648A0880E949}"/>
    <cellStyle name="s_Bal Sheets_1_AM0909_Draft reporting v4 031709" xfId="2083" xr:uid="{D2D25676-527C-4715-B053-8F03119215FD}"/>
    <cellStyle name="s_Bal Sheets_1_AM0909_Draft reporting v6 031909" xfId="2084" xr:uid="{E7F70C79-684F-4D35-A1B9-9647CFB51116}"/>
    <cellStyle name="s_Bal Sheets_1_AM0909_Draft reporting v7 032509" xfId="2085" xr:uid="{246F6536-F3A2-4088-80D7-C77911204240}"/>
    <cellStyle name="s_Bal Sheets_1_AM0909_EXOR Package July 1" xfId="2086" xr:uid="{54437458-B0AD-4068-8F5A-46E3524DE7B4}"/>
    <cellStyle name="s_Bal Sheets_1_AM0909_Leverage Ratio s3" xfId="2087" xr:uid="{E835E05F-CFC6-46E9-982B-87F1EE7C6EA8}"/>
    <cellStyle name="s_Bal Sheets_1_Book1" xfId="2088" xr:uid="{D0F86A6B-FA30-4D2A-A5EE-F89392AE7523}"/>
    <cellStyle name="s_Bal Sheets_1_Brenner" xfId="2089" xr:uid="{EC139007-C08F-49AA-8B2B-0EEA0E96FD00}"/>
    <cellStyle name="s_Bal Sheets_1_Brenner_2010 Revised CF Plan Bottom Up" xfId="2090" xr:uid="{DD9CEA87-7732-4574-AF80-91570C368AE6}"/>
    <cellStyle name="s_Bal Sheets_1_Brenner_AL New midpoint scenario 1.2B" xfId="2091" xr:uid="{28D03F9A-B56D-487B-B9E6-D72ABC2718F1}"/>
    <cellStyle name="s_Bal Sheets_1_Brenner_Book1" xfId="2092" xr:uid="{C760C71A-7A14-4354-B57B-0B9A0D35BDB3}"/>
    <cellStyle name="s_Bal Sheets_1_Brenner_Clean Scenario 1 3B" xfId="2093" xr:uid="{1A81301A-4F17-4B73-9493-FA6BF56CFF5E}"/>
    <cellStyle name="s_Bal Sheets_1_Brenner_Draft reporting v4 031709" xfId="2094" xr:uid="{3DA491E9-6690-4FFB-BABD-E11E99B8ED5E}"/>
    <cellStyle name="s_Bal Sheets_1_Brenner_Draft reporting v6 031909" xfId="2095" xr:uid="{3304C369-9DC8-47EB-A522-483B01391335}"/>
    <cellStyle name="s_Bal Sheets_1_Brenner_Draft reporting v7 032509" xfId="2096" xr:uid="{C4E8B6A4-C045-4A62-A9F6-BBE0F28EB166}"/>
    <cellStyle name="s_Bal Sheets_1_Brenner_EXOR Package July 1" xfId="2097" xr:uid="{7BB0C514-CD86-4E73-AA0E-6E9F64C6C6B0}"/>
    <cellStyle name="s_Bal Sheets_1_Brenner_Leverage Ratio s3" xfId="2098" xr:uid="{878216E3-8752-4DD1-A2D4-FC32B695FA14}"/>
    <cellStyle name="s_Bal Sheets_1_Clean Scenario 1 3B" xfId="2099" xr:uid="{5D543509-A867-4941-AA4C-7DD3C0119AB4}"/>
    <cellStyle name="s_Bal Sheets_1_Draft reporting v4 031709" xfId="2100" xr:uid="{7A53E6D9-E6AD-48CE-9461-FE31E420C2FB}"/>
    <cellStyle name="s_Bal Sheets_1_Draft reporting v6 031909" xfId="2101" xr:uid="{4B0E5BC7-3F5B-443C-9F39-C59E2DC01591}"/>
    <cellStyle name="s_Bal Sheets_1_Draft reporting v7 032509" xfId="2102" xr:uid="{0657A79D-CE53-475B-8362-C1A8DD422314}"/>
    <cellStyle name="s_Bal Sheets_1_EXOR Package July 1" xfId="2103" xr:uid="{C61EDA4D-4ACD-480C-804D-104B1AF6B6F3}"/>
    <cellStyle name="s_Bal Sheets_1_Leverage Ratio s3" xfId="2104" xr:uid="{AB4D7E33-836A-44FC-AE75-D40A9A45B49F}"/>
    <cellStyle name="s_Bal Sheets_2" xfId="2105" xr:uid="{27DD99CF-FCD9-4523-B9C0-E160EBB01F66}"/>
    <cellStyle name="s_Bal Sheets_2_2010 Revised CF Plan Bottom Up" xfId="2106" xr:uid="{F9C3BAA7-D203-4AD9-BBB5-00BDFDB07DA8}"/>
    <cellStyle name="s_Bal Sheets_2_AL New midpoint scenario 1.2B" xfId="2107" xr:uid="{CE6489BD-4C9F-428C-B9DE-3E877516ACB7}"/>
    <cellStyle name="s_Bal Sheets_2_Book1" xfId="2108" xr:uid="{73CA4E86-E97C-4056-BE5D-800B1A4AA881}"/>
    <cellStyle name="s_Bal Sheets_2_Clean Scenario 1 3B" xfId="2109" xr:uid="{CC41589A-1F5A-46B8-9B3F-24420F835884}"/>
    <cellStyle name="s_Bal Sheets_2_Draft reporting v4 031709" xfId="2110" xr:uid="{28D941F0-68A7-4331-B5DF-F74324F1EE5C}"/>
    <cellStyle name="s_Bal Sheets_2_Draft reporting v6 031909" xfId="2111" xr:uid="{5FF249CE-6F39-4DD3-8B14-CB198D2BE4C4}"/>
    <cellStyle name="s_Bal Sheets_2_Draft reporting v7 032509" xfId="2112" xr:uid="{0E6FD799-40DD-48E6-A177-A365D9A254C0}"/>
    <cellStyle name="s_Bal Sheets_2_EXOR Package July 1" xfId="2113" xr:uid="{355E293A-D5F3-44A2-81DF-90BE80E905B3}"/>
    <cellStyle name="s_Bal Sheets_2_Leverage Ratio s3" xfId="2114" xr:uid="{F582579D-6008-4C3C-9367-2E6D908946A0}"/>
    <cellStyle name="s_Bal Sheets_2010 Revised CF Plan Bottom Up" xfId="2115" xr:uid="{CF480C6A-47D9-44F0-B68D-E64B56945A8E}"/>
    <cellStyle name="s_Bal Sheets_AL New midpoint scenario 1.2B" xfId="2116" xr:uid="{2B04AB12-4AB1-4F18-989C-4D919495CA50}"/>
    <cellStyle name="s_Bal Sheets_AM0909" xfId="2117" xr:uid="{2E277ED2-FB7B-4BD5-984B-D6F5F1D3A816}"/>
    <cellStyle name="s_Bal Sheets_AM0909_2010 Revised CF Plan Bottom Up" xfId="2118" xr:uid="{72B94366-5A67-42AB-8430-43AB3CBBD6A1}"/>
    <cellStyle name="s_Bal Sheets_AM0909_AL New midpoint scenario 1.2B" xfId="2119" xr:uid="{BB51F9AD-006C-453A-B4E2-122464B2DAEE}"/>
    <cellStyle name="s_Bal Sheets_AM0909_Book1" xfId="2120" xr:uid="{F4EC44A2-CE87-4017-A99D-D02E3C69D76E}"/>
    <cellStyle name="s_Bal Sheets_AM0909_Clean Scenario 1 3B" xfId="2121" xr:uid="{04BC7409-59F1-4F01-9B4E-89DAFF9D0026}"/>
    <cellStyle name="s_Bal Sheets_AM0909_Draft reporting v4 031709" xfId="2122" xr:uid="{B964824B-C4D3-47C5-BA0C-26F603F057A8}"/>
    <cellStyle name="s_Bal Sheets_AM0909_Draft reporting v6 031909" xfId="2123" xr:uid="{FA73EC49-85CF-4F4F-8807-0EF58071691F}"/>
    <cellStyle name="s_Bal Sheets_AM0909_Draft reporting v7 032509" xfId="2124" xr:uid="{C115C54B-FAD0-4CCF-8B0A-1F06DBE5C970}"/>
    <cellStyle name="s_Bal Sheets_AM0909_EXOR Package July 1" xfId="2125" xr:uid="{15432379-0393-4160-A6AB-15DA3901160C}"/>
    <cellStyle name="s_Bal Sheets_AM0909_Leverage Ratio s3" xfId="2126" xr:uid="{83DDE241-B2FE-458E-BB5B-44C91F83C1BC}"/>
    <cellStyle name="s_Bal Sheets_Book1" xfId="2127" xr:uid="{07959A8F-E9B3-4587-A367-BDCFDA88F842}"/>
    <cellStyle name="s_Bal Sheets_Brenner" xfId="2128" xr:uid="{7293D1E1-EEC2-4312-B021-DC9F10E4141D}"/>
    <cellStyle name="s_Bal Sheets_Brenner_2010 Revised CF Plan Bottom Up" xfId="2129" xr:uid="{4A3B4D6C-5DB5-4546-AF2D-D16859523EB0}"/>
    <cellStyle name="s_Bal Sheets_Brenner_AL New midpoint scenario 1.2B" xfId="2130" xr:uid="{7AC14222-9869-49E5-9736-5889692A16AF}"/>
    <cellStyle name="s_Bal Sheets_Brenner_Book1" xfId="2131" xr:uid="{94472EC0-8281-4337-92D0-DCDAFB7E3342}"/>
    <cellStyle name="s_Bal Sheets_Brenner_Clean Scenario 1 3B" xfId="2132" xr:uid="{7D022012-8AF8-46E3-9815-E0E8FE98857C}"/>
    <cellStyle name="s_Bal Sheets_Brenner_Draft reporting v4 031709" xfId="2133" xr:uid="{5C3C5A1B-09AB-445D-954F-85BECE26F44F}"/>
    <cellStyle name="s_Bal Sheets_Brenner_Draft reporting v6 031909" xfId="2134" xr:uid="{62E68FE7-9DA4-414C-963D-FCDE0E0D892F}"/>
    <cellStyle name="s_Bal Sheets_Brenner_Draft reporting v7 032509" xfId="2135" xr:uid="{120E3AC5-8E65-4C51-8DCA-E8E58BC33C96}"/>
    <cellStyle name="s_Bal Sheets_Brenner_EXOR Package July 1" xfId="2136" xr:uid="{90CBA847-8028-4416-BCBB-4F372A1695B5}"/>
    <cellStyle name="s_Bal Sheets_Brenner_Leverage Ratio s3" xfId="2137" xr:uid="{0578E982-8F55-403B-BA33-6D8ABD9084AC}"/>
    <cellStyle name="s_Bal Sheets_Clean Scenario 1 3B" xfId="2138" xr:uid="{E94564E1-50FF-4404-84F7-22B8F3E2E8B1}"/>
    <cellStyle name="s_Bal Sheets_Draft reporting v4 031709" xfId="2139" xr:uid="{3C4BB2EB-A001-4873-8ABC-2ED31CF4C5BE}"/>
    <cellStyle name="s_Bal Sheets_Draft reporting v6 031909" xfId="2140" xr:uid="{A41EE220-C505-4F54-83F6-BA47D30B34A2}"/>
    <cellStyle name="s_Bal Sheets_Draft reporting v7 032509" xfId="2141" xr:uid="{15D0D4CD-8C08-4E9D-BF04-F21E786B47C9}"/>
    <cellStyle name="s_Bal Sheets_EXOR Package July 1" xfId="2142" xr:uid="{75EF3951-051E-4825-AE4C-515A888BE566}"/>
    <cellStyle name="s_Bal Sheets_Leverage Ratio s3" xfId="2143" xr:uid="{023A7F76-3F56-4020-B431-826599B0324B}"/>
    <cellStyle name="s_BOA_DCF_08" xfId="2144" xr:uid="{502EF861-FED7-4E0E-AF05-6DC8FEF1E820}"/>
    <cellStyle name="s_BOA_DCF_08_2010 Revised CF Plan Bottom Up" xfId="2145" xr:uid="{E5E079AF-D004-4B50-8C20-B645B8C29A38}"/>
    <cellStyle name="s_BOA_DCF_08_AL New midpoint scenario 1.2B" xfId="2146" xr:uid="{D6F6DD68-C2A2-40AF-9529-FA43474E1916}"/>
    <cellStyle name="s_BOA_DCF_08_Book1" xfId="2147" xr:uid="{FC691EFD-5E09-4124-934C-C91CD37654A1}"/>
    <cellStyle name="s_BOA_DCF_08_Clean Scenario 1 3B" xfId="2148" xr:uid="{D98D8089-9BBD-47ED-BE5D-0E8E38435DDA}"/>
    <cellStyle name="s_BOA_DCF_08_Draft reporting v4 031709" xfId="2149" xr:uid="{6086C7A4-B252-4714-A7AE-163C361C29B8}"/>
    <cellStyle name="s_BOA_DCF_08_Draft reporting v6 031909" xfId="2150" xr:uid="{F725397B-B5EF-4EF1-90F9-7000DA852921}"/>
    <cellStyle name="s_BOA_DCF_08_Draft reporting v7 032509" xfId="2151" xr:uid="{0BAC2A04-CFCB-44BC-9D38-B3E9DCF989A3}"/>
    <cellStyle name="s_BOA_DCF_08_EXOR Package July 1" xfId="2152" xr:uid="{29C45E62-BD52-4642-BBD7-ABCB7986E89B}"/>
    <cellStyle name="s_BOA_DCF_08_Leverage Ratio s3" xfId="2153" xr:uid="{81B575ED-286C-4CE2-BCA6-B52880CF4E10}"/>
    <cellStyle name="s_Book1" xfId="2154" xr:uid="{66F5029E-AD29-4186-AB90-8288C52B0182}"/>
    <cellStyle name="s_But813" xfId="2155" xr:uid="{24C1ED29-4BC3-4CA8-A28F-45D3E6B4664C}"/>
    <cellStyle name="s_But813_2010 Revised CF Plan Bottom Up" xfId="2156" xr:uid="{1829B614-5A32-4DC8-8217-754C0DE49CDF}"/>
    <cellStyle name="s_But813_AL New midpoint scenario 1.2B" xfId="2157" xr:uid="{FA784661-CD14-4881-A5A5-EF5437FA4FAA}"/>
    <cellStyle name="s_But813_Book1" xfId="2158" xr:uid="{2464CB46-BCC1-4EE0-AB90-B304015E8182}"/>
    <cellStyle name="s_But813_Clean Scenario 1 3B" xfId="2159" xr:uid="{384F800C-C0D9-494F-8C0F-7F98548655E7}"/>
    <cellStyle name="s_But813_Draft reporting v4 031709" xfId="2160" xr:uid="{3D5D3F49-D1AA-4C57-8D41-76F44DCF8EBC}"/>
    <cellStyle name="s_But813_Draft reporting v6 031909" xfId="2161" xr:uid="{21A0F0AF-490C-4438-A488-3B6C68150E8E}"/>
    <cellStyle name="s_But813_Draft reporting v7 032509" xfId="2162" xr:uid="{11001C34-8701-4220-B7D7-66E5EE455C57}"/>
    <cellStyle name="s_But813_EXOR Package July 1" xfId="2163" xr:uid="{DD959F26-407A-49CE-9A69-CFAB19B7B803}"/>
    <cellStyle name="s_But813_Leverage Ratio s3" xfId="2164" xr:uid="{89E1A1F3-D367-4D1E-B5D6-0068BF33B87C}"/>
    <cellStyle name="s_But925" xfId="2165" xr:uid="{7643DEAE-9564-49EC-A0F8-E37FEC1EB26B}"/>
    <cellStyle name="s_But925_2010 Revised CF Plan Bottom Up" xfId="2166" xr:uid="{F866E5AA-C353-4322-9045-B00E0786C82C}"/>
    <cellStyle name="s_But925_AL New midpoint scenario 1.2B" xfId="2167" xr:uid="{76BC400A-2565-41CF-8761-9DE37FB07EBC}"/>
    <cellStyle name="s_But925_Book1" xfId="2168" xr:uid="{19A8017F-446A-45C7-AB8A-99E291AF3171}"/>
    <cellStyle name="s_But925_Clean Scenario 1 3B" xfId="2169" xr:uid="{07168726-E7BC-4F09-A3EC-20E34D229301}"/>
    <cellStyle name="s_But925_Draft reporting v4 031709" xfId="2170" xr:uid="{A2008E45-2A53-4BD0-B494-0000048D71DD}"/>
    <cellStyle name="s_But925_Draft reporting v6 031909" xfId="2171" xr:uid="{F1516580-CE84-46C1-B048-C6E82B9B9A56}"/>
    <cellStyle name="s_But925_Draft reporting v7 032509" xfId="2172" xr:uid="{334E85FB-D7B1-47D3-8A4D-72376AC642C7}"/>
    <cellStyle name="s_But925_EXOR Package July 1" xfId="2173" xr:uid="{3081E053-04E1-461F-9A8C-0E88F214C4A4}"/>
    <cellStyle name="s_But925_Leverage Ratio s3" xfId="2174" xr:uid="{6BD76C36-9089-4036-8EAB-96179F0E284C}"/>
    <cellStyle name="s_CA Cases (2)" xfId="2175" xr:uid="{AE9FD9D9-588E-4062-B948-291491B15D65}"/>
    <cellStyle name="s_CA Cases (2)_1" xfId="2176" xr:uid="{071F54B9-FD89-4587-9785-7E34CE5D27F5}"/>
    <cellStyle name="s_CA Cases (2)_1_2010 Revised CF Plan Bottom Up" xfId="2177" xr:uid="{C0067F49-8E4B-49DC-83CD-E3140392D6EC}"/>
    <cellStyle name="s_CA Cases (2)_1_AL New midpoint scenario 1.2B" xfId="2178" xr:uid="{B6B5490A-BF0B-4D61-A495-11BFE98D5202}"/>
    <cellStyle name="s_CA Cases (2)_1_Book1" xfId="2179" xr:uid="{485C108D-92CF-4BE5-A4AF-2C72FE887074}"/>
    <cellStyle name="s_CA Cases (2)_1_Clean Scenario 1 3B" xfId="2180" xr:uid="{CD112A70-0079-4CEC-AC69-44171975841B}"/>
    <cellStyle name="s_CA Cases (2)_1_Draft reporting v4 031709" xfId="2181" xr:uid="{A781E9A5-BFA9-4E03-ABC6-A02EC7EFC16F}"/>
    <cellStyle name="s_CA Cases (2)_1_Draft reporting v6 031909" xfId="2182" xr:uid="{4224CF64-A589-401F-9D33-D2DF9F7285BA}"/>
    <cellStyle name="s_CA Cases (2)_1_Draft reporting v7 032509" xfId="2183" xr:uid="{3A78B9CA-3191-43B9-BB6F-4970FD070FFC}"/>
    <cellStyle name="s_CA Cases (2)_1_EXOR Package July 1" xfId="2184" xr:uid="{652EF189-FE09-4264-9E4D-6B9AB8482491}"/>
    <cellStyle name="s_CA Cases (2)_1_Leverage Ratio s3" xfId="2185" xr:uid="{53F06882-C999-4171-A042-2FEB1EFA2C69}"/>
    <cellStyle name="s_CA Cases (2)_2010 Revised CF Plan Bottom Up" xfId="2186" xr:uid="{9504CC0A-AA7F-44EA-885E-64E6F13386DE}"/>
    <cellStyle name="s_CA Cases (2)_AL New midpoint scenario 1.2B" xfId="2187" xr:uid="{D81C5677-1690-44C4-94AB-958948ECBC47}"/>
    <cellStyle name="s_CA Cases (2)_Book1" xfId="2188" xr:uid="{975C5DFA-E447-4460-B9C7-C225776AF174}"/>
    <cellStyle name="s_CA Cases (2)_Celtic DCF" xfId="2189" xr:uid="{1B79571D-AB33-46EB-99F0-143E179037D5}"/>
    <cellStyle name="s_CA Cases (2)_Celtic DCF Inputs" xfId="2190" xr:uid="{B3943287-939F-4B10-8D2F-49697F5BCEFC}"/>
    <cellStyle name="s_CA Cases (2)_Celtic DCF Inputs_2010 Revised CF Plan Bottom Up" xfId="2191" xr:uid="{73A943D5-2C4A-4E4A-A835-939CFC35AA27}"/>
    <cellStyle name="s_CA Cases (2)_Celtic DCF Inputs_AL New midpoint scenario 1.2B" xfId="2192" xr:uid="{57498DF9-4974-4527-9C64-DF264BDCED89}"/>
    <cellStyle name="s_CA Cases (2)_Celtic DCF Inputs_Book1" xfId="2193" xr:uid="{38F24254-FD68-49AB-84FC-EC145595538C}"/>
    <cellStyle name="s_CA Cases (2)_Celtic DCF Inputs_Clean Scenario 1 3B" xfId="2194" xr:uid="{0018949D-730F-4321-A541-78798AE03583}"/>
    <cellStyle name="s_CA Cases (2)_Celtic DCF Inputs_Draft reporting v4 031709" xfId="2195" xr:uid="{DCC9E79A-2022-4A74-8985-54FAAB342630}"/>
    <cellStyle name="s_CA Cases (2)_Celtic DCF Inputs_Draft reporting v6 031909" xfId="2196" xr:uid="{8AE988D2-A2D0-4014-B9FF-0672390FF19C}"/>
    <cellStyle name="s_CA Cases (2)_Celtic DCF Inputs_Draft reporting v7 032509" xfId="2197" xr:uid="{40C195BD-934F-4E01-8ED3-B8120A3AF1AB}"/>
    <cellStyle name="s_CA Cases (2)_Celtic DCF Inputs_EXOR Package July 1" xfId="2198" xr:uid="{DEB89E94-511E-4C54-B326-7CBA626B0CE4}"/>
    <cellStyle name="s_CA Cases (2)_Celtic DCF Inputs_Leverage Ratio s3" xfId="2199" xr:uid="{74970BD6-090C-4A18-9AA3-2DFBEB831BBB}"/>
    <cellStyle name="s_CA Cases (2)_Celtic DCF_2010 Revised CF Plan Bottom Up" xfId="2200" xr:uid="{80E2F86D-C307-47F0-B109-2F156C8CD335}"/>
    <cellStyle name="s_CA Cases (2)_Celtic DCF_AL New midpoint scenario 1.2B" xfId="2201" xr:uid="{26EA0407-05D8-4EA1-93C7-9F0E12C8F8F0}"/>
    <cellStyle name="s_CA Cases (2)_Celtic DCF_Book1" xfId="2202" xr:uid="{6F75B6D3-A88F-40E0-A106-87ED00FA53EE}"/>
    <cellStyle name="s_CA Cases (2)_Celtic DCF_Clean Scenario 1 3B" xfId="2203" xr:uid="{8A582B6B-B9CD-4E26-A754-4F6B0BF4D3C9}"/>
    <cellStyle name="s_CA Cases (2)_Celtic DCF_Draft reporting v4 031709" xfId="2204" xr:uid="{F654CECE-C6E5-4551-825C-2594321545E2}"/>
    <cellStyle name="s_CA Cases (2)_Celtic DCF_Draft reporting v6 031909" xfId="2205" xr:uid="{309C8A6C-E8B9-4FCD-9A19-254C1CB08E1D}"/>
    <cellStyle name="s_CA Cases (2)_Celtic DCF_Draft reporting v7 032509" xfId="2206" xr:uid="{EFB65D71-D8B3-4864-86A2-5AD4D3332E54}"/>
    <cellStyle name="s_CA Cases (2)_Celtic DCF_EXOR Package July 1" xfId="2207" xr:uid="{9F732F3F-A70F-45DE-8E07-09544BB81AFF}"/>
    <cellStyle name="s_CA Cases (2)_Celtic DCF_Leverage Ratio s3" xfId="2208" xr:uid="{91F1EBA6-CAED-4AD8-9573-65E6D0DBB1EF}"/>
    <cellStyle name="s_CA Cases (2)_Clean Scenario 1 3B" xfId="2209" xr:uid="{BE0360FD-624D-4B8E-819B-2373B8B6AF8C}"/>
    <cellStyle name="s_CA Cases (2)_Draft reporting v4 031709" xfId="2210" xr:uid="{8A4497DA-6B3F-4329-9D14-487E16C57ECA}"/>
    <cellStyle name="s_CA Cases (2)_Draft reporting v6 031909" xfId="2211" xr:uid="{EF861F00-D23F-4F60-8DD0-C2BB8CB109EC}"/>
    <cellStyle name="s_CA Cases (2)_Draft reporting v7 032509" xfId="2212" xr:uid="{619889F3-4EBB-418D-BDF4-2F16E58C2FAF}"/>
    <cellStyle name="s_CA Cases (2)_EXOR Package July 1" xfId="2213" xr:uid="{7BED12E2-E362-47F3-87A2-E1132286997C}"/>
    <cellStyle name="s_CA Cases (2)_Leverage Ratio s3" xfId="2214" xr:uid="{8F248745-5A6F-4DDB-8CA3-79AD855F38CE}"/>
    <cellStyle name="s_CA Cases (2)_Valuation Summary" xfId="2215" xr:uid="{18548EEB-CD08-404C-A694-84533761C3CF}"/>
    <cellStyle name="s_CA Cases (2)_Valuation Summary_2010 Revised CF Plan Bottom Up" xfId="2216" xr:uid="{289DBAC0-CE6B-4A1D-A32E-F411F0A1733B}"/>
    <cellStyle name="s_CA Cases (2)_Valuation Summary_AL New midpoint scenario 1.2B" xfId="2217" xr:uid="{0E3C994F-21DA-45DE-9D37-84F6CCEF0DF8}"/>
    <cellStyle name="s_CA Cases (2)_Valuation Summary_Book1" xfId="2218" xr:uid="{2F659709-DB28-4C9D-8B47-84ED5B0A0769}"/>
    <cellStyle name="s_CA Cases (2)_Valuation Summary_Clean Scenario 1 3B" xfId="2219" xr:uid="{464C2057-28A9-4FB6-804E-937A66F4CE99}"/>
    <cellStyle name="s_CA Cases (2)_Valuation Summary_Draft reporting v4 031709" xfId="2220" xr:uid="{D9C715BD-8D06-4EC4-A5A3-E223B2F8CC75}"/>
    <cellStyle name="s_CA Cases (2)_Valuation Summary_Draft reporting v6 031909" xfId="2221" xr:uid="{9F630B8F-0CEE-47A8-9B48-01CC3DDFEA8D}"/>
    <cellStyle name="s_CA Cases (2)_Valuation Summary_Draft reporting v7 032509" xfId="2222" xr:uid="{444ED4AA-EF6A-46C8-AB5F-819CA6C89C2F}"/>
    <cellStyle name="s_CA Cases (2)_Valuation Summary_EXOR Package July 1" xfId="2223" xr:uid="{9F900E36-6633-46F0-AB80-3D6020E475AA}"/>
    <cellStyle name="s_CA Cases (2)_Valuation Summary_Leverage Ratio s3" xfId="2224" xr:uid="{B1476486-9190-43AB-B2D8-349F02DB9B72}"/>
    <cellStyle name="s_Cal. (2)" xfId="2225" xr:uid="{F8E2B598-5389-4316-9925-8A20F86A3DE7}"/>
    <cellStyle name="s_Cal. (2)_1" xfId="2226" xr:uid="{65A02336-57AD-4D5C-941E-2DE3EF11D8D4}"/>
    <cellStyle name="s_Cal. (2)_1_2010 Revised CF Plan Bottom Up" xfId="2227" xr:uid="{915D9CBF-83BC-4473-A4E8-BCD78E1DFAAF}"/>
    <cellStyle name="s_Cal. (2)_1_AL New midpoint scenario 1.2B" xfId="2228" xr:uid="{93BAC6F2-24BA-434F-A56E-6BF5965554F4}"/>
    <cellStyle name="s_Cal. (2)_1_Book1" xfId="2229" xr:uid="{44D78722-F449-43C7-804A-69B56E42AA8E}"/>
    <cellStyle name="s_Cal. (2)_1_Clean Scenario 1 3B" xfId="2230" xr:uid="{2AA10032-37E2-41DB-AE1D-3318B50FFC17}"/>
    <cellStyle name="s_Cal. (2)_1_Draft reporting v4 031709" xfId="2231" xr:uid="{D2EE0004-6921-4CFF-80A4-100A90086AC8}"/>
    <cellStyle name="s_Cal. (2)_1_Draft reporting v6 031909" xfId="2232" xr:uid="{5C03358D-1192-4458-9CEB-358ED8283320}"/>
    <cellStyle name="s_Cal. (2)_1_Draft reporting v7 032509" xfId="2233" xr:uid="{3EC1B03B-F9EE-4A0A-A551-724DBE1763CF}"/>
    <cellStyle name="s_Cal. (2)_1_EXOR Package July 1" xfId="2234" xr:uid="{43CA10C5-50A1-4704-8161-9E5CA1EBE903}"/>
    <cellStyle name="s_Cal. (2)_1_Leverage Ratio s3" xfId="2235" xr:uid="{65483043-4F89-4236-A5AF-C15C90FB7131}"/>
    <cellStyle name="s_Cal. (2)_2010 Revised CF Plan Bottom Up" xfId="2236" xr:uid="{EEA540A8-65E8-4E9E-92D3-0B8F59A18F3E}"/>
    <cellStyle name="s_Cal. (2)_AL New midpoint scenario 1.2B" xfId="2237" xr:uid="{0F414924-EB9C-40B6-BC91-0B218C7C3CFD}"/>
    <cellStyle name="s_Cal. (2)_Book1" xfId="2238" xr:uid="{466D0F8E-1152-41C6-AEB6-02196E8E2C51}"/>
    <cellStyle name="s_Cal. (2)_Clean Scenario 1 3B" xfId="2239" xr:uid="{AFD404FD-D764-4B2E-AAC6-E2A88EB863C3}"/>
    <cellStyle name="s_Cal. (2)_Draft reporting v4 031709" xfId="2240" xr:uid="{96CDD583-F573-40E9-979E-23B0FF9CD0FF}"/>
    <cellStyle name="s_Cal. (2)_Draft reporting v6 031909" xfId="2241" xr:uid="{3DAD50B6-640B-41D1-B473-34247D57CD7E}"/>
    <cellStyle name="s_Cal. (2)_Draft reporting v7 032509" xfId="2242" xr:uid="{07CCC053-AF57-4B7D-A97D-BE11A1EB1129}"/>
    <cellStyle name="s_Cal. (2)_EXOR Package July 1" xfId="2243" xr:uid="{99421700-254A-4349-9B43-84E44B000120}"/>
    <cellStyle name="s_Cal. (2)_Leverage Ratio s3" xfId="2244" xr:uid="{58D28BDC-F174-4FC0-9026-B2C284AB8A75}"/>
    <cellStyle name="s_Cases" xfId="2245" xr:uid="{BBABA8AD-1D08-45F0-AAD2-A66CB2827985}"/>
    <cellStyle name="s_Cases (2)" xfId="2246" xr:uid="{72264554-2A62-4906-9130-6A271BE89C51}"/>
    <cellStyle name="s_Cases (2)_1" xfId="2247" xr:uid="{166E72E0-23DC-4BF9-B7D3-4BEB2B372A98}"/>
    <cellStyle name="s_Cases (2)_1_2010 Revised CF Plan Bottom Up" xfId="2248" xr:uid="{A41803B1-9C55-4869-AC2F-3BFA43CC69DD}"/>
    <cellStyle name="s_Cases (2)_1_AL New midpoint scenario 1.2B" xfId="2249" xr:uid="{27F0F250-8A2D-4CA1-818F-9F70DED7BC29}"/>
    <cellStyle name="s_Cases (2)_1_Book1" xfId="2250" xr:uid="{1275C0B3-E72B-4028-9D0F-6194C9EA7D7E}"/>
    <cellStyle name="s_Cases (2)_1_Clean Scenario 1 3B" xfId="2251" xr:uid="{78FFF420-A2BF-4BB3-BBDD-52DEEFB4002E}"/>
    <cellStyle name="s_Cases (2)_1_Draft reporting v4 031709" xfId="2252" xr:uid="{05F53886-46F9-4905-B55A-9D53FC3CAECA}"/>
    <cellStyle name="s_Cases (2)_1_Draft reporting v6 031909" xfId="2253" xr:uid="{906D3AC2-A83F-45BB-85A2-BC53F465C617}"/>
    <cellStyle name="s_Cases (2)_1_Draft reporting v7 032509" xfId="2254" xr:uid="{2C96950C-4B85-40D8-909D-919D5FC97D05}"/>
    <cellStyle name="s_Cases (2)_1_EXOR Package July 1" xfId="2255" xr:uid="{232554A0-C221-4BBB-B665-A8E4A1726115}"/>
    <cellStyle name="s_Cases (2)_1_Leverage Ratio s3" xfId="2256" xr:uid="{BBC9E469-2AD8-4974-8D1F-7BE3CB882AF9}"/>
    <cellStyle name="s_Cases (2)_2010 Revised CF Plan Bottom Up" xfId="2257" xr:uid="{D9287193-A378-4736-B59D-8743FB04B048}"/>
    <cellStyle name="s_Cases (2)_AL New midpoint scenario 1.2B" xfId="2258" xr:uid="{76BB698F-3460-4E14-8BDA-C2875469F38C}"/>
    <cellStyle name="s_Cases (2)_Book1" xfId="2259" xr:uid="{4363288C-CD21-4F89-B89D-D2FF90287A48}"/>
    <cellStyle name="s_Cases (2)_Celtic DCF" xfId="2260" xr:uid="{FD69EB32-15B5-4155-AD79-6E89A6110A72}"/>
    <cellStyle name="s_Cases (2)_Celtic DCF Inputs" xfId="2261" xr:uid="{382803B8-2E99-46B7-84F2-F624F2A4E134}"/>
    <cellStyle name="s_Cases (2)_Celtic DCF Inputs_2010 Revised CF Plan Bottom Up" xfId="2262" xr:uid="{52A79F0A-8AD8-4FAA-BF17-13A751354B8F}"/>
    <cellStyle name="s_Cases (2)_Celtic DCF Inputs_AL New midpoint scenario 1.2B" xfId="2263" xr:uid="{D9D1D55C-15D5-4DAD-84A3-3B8869EE046E}"/>
    <cellStyle name="s_Cases (2)_Celtic DCF Inputs_Book1" xfId="2264" xr:uid="{6D3FC47A-B437-48A2-B081-A190B6188081}"/>
    <cellStyle name="s_Cases (2)_Celtic DCF Inputs_Clean Scenario 1 3B" xfId="2265" xr:uid="{89BD066D-5382-46C1-BF94-B6621975E10F}"/>
    <cellStyle name="s_Cases (2)_Celtic DCF Inputs_Draft reporting v4 031709" xfId="2266" xr:uid="{F1C15D57-A016-4F37-81EB-DD5BF3C6D86A}"/>
    <cellStyle name="s_Cases (2)_Celtic DCF Inputs_Draft reporting v6 031909" xfId="2267" xr:uid="{C8413743-A70B-4BB6-A980-2DDB495A0FBF}"/>
    <cellStyle name="s_Cases (2)_Celtic DCF Inputs_Draft reporting v7 032509" xfId="2268" xr:uid="{968D9425-F3A5-4801-8BD0-C6FD128B6822}"/>
    <cellStyle name="s_Cases (2)_Celtic DCF Inputs_EXOR Package July 1" xfId="2269" xr:uid="{6E9198BE-CB98-44AE-9FA1-BCDDBAE83402}"/>
    <cellStyle name="s_Cases (2)_Celtic DCF Inputs_Leverage Ratio s3" xfId="2270" xr:uid="{FBC38063-0A42-4239-B34A-FC019D0B74CF}"/>
    <cellStyle name="s_Cases (2)_Celtic DCF_2010 Revised CF Plan Bottom Up" xfId="2271" xr:uid="{5720E2F2-2D74-4B9A-8C0A-F153C5C8BCC8}"/>
    <cellStyle name="s_Cases (2)_Celtic DCF_AL New midpoint scenario 1.2B" xfId="2272" xr:uid="{56892128-3643-4652-BB93-1009F3F6F2C5}"/>
    <cellStyle name="s_Cases (2)_Celtic DCF_Book1" xfId="2273" xr:uid="{4592044A-57CD-4103-8954-AFAE390EAF9B}"/>
    <cellStyle name="s_Cases (2)_Celtic DCF_Clean Scenario 1 3B" xfId="2274" xr:uid="{B1A9D0E4-90D9-4F2C-AF9B-160EEEEC5A6E}"/>
    <cellStyle name="s_Cases (2)_Celtic DCF_Draft reporting v4 031709" xfId="2275" xr:uid="{BD504CE2-110C-47B3-AFA0-E58D5E3B9FFB}"/>
    <cellStyle name="s_Cases (2)_Celtic DCF_Draft reporting v6 031909" xfId="2276" xr:uid="{F71B3520-0210-4162-83F4-EE81DF8DC28D}"/>
    <cellStyle name="s_Cases (2)_Celtic DCF_Draft reporting v7 032509" xfId="2277" xr:uid="{AE17C39D-2F23-4C1D-BC64-B657B9088173}"/>
    <cellStyle name="s_Cases (2)_Celtic DCF_EXOR Package July 1" xfId="2278" xr:uid="{9C308239-3D18-4986-AD9D-934EBDFD08F6}"/>
    <cellStyle name="s_Cases (2)_Celtic DCF_Leverage Ratio s3" xfId="2279" xr:uid="{C07D97F1-4584-48AD-9213-172863F9E34A}"/>
    <cellStyle name="s_Cases (2)_Clean Scenario 1 3B" xfId="2280" xr:uid="{781334C1-7789-42B1-BEED-F998CAB03B81}"/>
    <cellStyle name="s_Cases (2)_Draft reporting v4 031709" xfId="2281" xr:uid="{41640187-EB79-43C2-961D-88D46A2AEFCC}"/>
    <cellStyle name="s_Cases (2)_Draft reporting v6 031909" xfId="2282" xr:uid="{D2B37FC2-6F6D-4004-9DD3-92F292AD0847}"/>
    <cellStyle name="s_Cases (2)_Draft reporting v7 032509" xfId="2283" xr:uid="{BC99A75C-4501-43D8-BC99-F3EF5797F9EA}"/>
    <cellStyle name="s_Cases (2)_EXOR Package July 1" xfId="2284" xr:uid="{9D44A6DB-42CE-4086-B2D5-370BFE757397}"/>
    <cellStyle name="s_Cases (2)_Leverage Ratio s3" xfId="2285" xr:uid="{34FA4A7D-EADC-43B7-B4D0-7248966C8396}"/>
    <cellStyle name="s_Cases (2)_Valuation Summary" xfId="2286" xr:uid="{54FB0A49-98A9-4AC8-B2C8-0834DE182A5A}"/>
    <cellStyle name="s_Cases (2)_Valuation Summary_2010 Revised CF Plan Bottom Up" xfId="2287" xr:uid="{42C9296B-7159-473E-ABB0-BC255DC8435F}"/>
    <cellStyle name="s_Cases (2)_Valuation Summary_AL New midpoint scenario 1.2B" xfId="2288" xr:uid="{2D7B722F-07CA-4342-8143-2341406AA434}"/>
    <cellStyle name="s_Cases (2)_Valuation Summary_Book1" xfId="2289" xr:uid="{3E9D42C1-F1FA-42AB-814A-E8AD55778D0C}"/>
    <cellStyle name="s_Cases (2)_Valuation Summary_Clean Scenario 1 3B" xfId="2290" xr:uid="{C9885116-E2A5-4E8C-9253-B2D6C109D620}"/>
    <cellStyle name="s_Cases (2)_Valuation Summary_Draft reporting v4 031709" xfId="2291" xr:uid="{1437DC61-4BEE-43C4-BE29-66C966731899}"/>
    <cellStyle name="s_Cases (2)_Valuation Summary_Draft reporting v6 031909" xfId="2292" xr:uid="{56279982-5EC3-409A-A7A0-FAA31B21A191}"/>
    <cellStyle name="s_Cases (2)_Valuation Summary_Draft reporting v7 032509" xfId="2293" xr:uid="{91F74993-2383-4B9D-906D-6161581C4792}"/>
    <cellStyle name="s_Cases (2)_Valuation Summary_EXOR Package July 1" xfId="2294" xr:uid="{44A6A56B-5602-4724-B8CB-1FAB909A3ADB}"/>
    <cellStyle name="s_Cases (2)_Valuation Summary_Leverage Ratio s3" xfId="2295" xr:uid="{1DE43163-A8B4-4996-8C1B-49024183F36C}"/>
    <cellStyle name="s_Cases_1" xfId="2296" xr:uid="{795C339A-67C0-4AB1-BE84-0B32BEACBCD3}"/>
    <cellStyle name="s_Cases_1_2010 Revised CF Plan Bottom Up" xfId="2297" xr:uid="{ABDC95F8-9D64-4FAF-A2D9-CBEF965B1889}"/>
    <cellStyle name="s_Cases_1_AL New midpoint scenario 1.2B" xfId="2298" xr:uid="{91FAF336-86E2-4BE1-862F-02FB3922A851}"/>
    <cellStyle name="s_Cases_1_Book1" xfId="2299" xr:uid="{670F0DD3-0EF7-4EAC-B1CA-0DB243ED15E9}"/>
    <cellStyle name="s_Cases_1_Clean Scenario 1 3B" xfId="2300" xr:uid="{D02A418D-003B-4829-AB3C-53ADF865DBA2}"/>
    <cellStyle name="s_Cases_1_Draft reporting v4 031709" xfId="2301" xr:uid="{D1BEB6AD-40AF-4961-AFD7-30B08359A435}"/>
    <cellStyle name="s_Cases_1_Draft reporting v6 031909" xfId="2302" xr:uid="{88BD1427-54FB-433C-8560-5AB14455EE4A}"/>
    <cellStyle name="s_Cases_1_Draft reporting v7 032509" xfId="2303" xr:uid="{910E69F4-CBA2-43D1-ABE3-E2DEBB2C4E16}"/>
    <cellStyle name="s_Cases_1_EXOR Package July 1" xfId="2304" xr:uid="{E125907C-5244-405A-A14E-8C91CF56CAA2}"/>
    <cellStyle name="s_Cases_1_Leverage Ratio s3" xfId="2305" xr:uid="{5F632551-965A-48D3-A556-6E5F25FC7288}"/>
    <cellStyle name="s_Cases_2" xfId="2306" xr:uid="{EA563DA4-B4A2-45ED-85C4-963F050CE57A}"/>
    <cellStyle name="s_Cases_2_2010 Revised CF Plan Bottom Up" xfId="2307" xr:uid="{6EF65B99-7828-4922-8FCF-4DF2DEE9CBAB}"/>
    <cellStyle name="s_Cases_2_AL New midpoint scenario 1.2B" xfId="2308" xr:uid="{A02407A2-D53E-433F-8E55-4645C682137E}"/>
    <cellStyle name="s_Cases_2_Book1" xfId="2309" xr:uid="{74FA0089-D4A6-4737-AA6F-CBF47B7C8DB9}"/>
    <cellStyle name="s_Cases_2_Clean Scenario 1 3B" xfId="2310" xr:uid="{8279DDDA-C58A-478A-87CE-C989922A510B}"/>
    <cellStyle name="s_Cases_2_Draft reporting v4 031709" xfId="2311" xr:uid="{D17B4FA0-6DAA-45AB-8F24-75DF8497E178}"/>
    <cellStyle name="s_Cases_2_Draft reporting v6 031909" xfId="2312" xr:uid="{7087927F-B8B7-457B-ABB9-0D6FD7E8FBE5}"/>
    <cellStyle name="s_Cases_2_Draft reporting v7 032509" xfId="2313" xr:uid="{FB00F4DE-E1CD-49FC-A211-9E6451501D8A}"/>
    <cellStyle name="s_Cases_2_EXOR Package July 1" xfId="2314" xr:uid="{32810815-9060-4BED-94B8-CE7D4304FF33}"/>
    <cellStyle name="s_Cases_2_Leverage Ratio s3" xfId="2315" xr:uid="{AF2208BB-F3BC-4D6D-89CA-6E157C9A4119}"/>
    <cellStyle name="s_Cases_2010 Revised CF Plan Bottom Up" xfId="2316" xr:uid="{ACDC2725-B619-45E1-87F7-652E8A17770E}"/>
    <cellStyle name="s_Cases_AL New midpoint scenario 1.2B" xfId="2317" xr:uid="{DE5FDC67-0471-4D90-9964-2F864268F383}"/>
    <cellStyle name="s_Cases_AM0909" xfId="2318" xr:uid="{C621B543-F0FB-4D62-B56B-DC89771C1670}"/>
    <cellStyle name="s_Cases_AM0909_2010 Revised CF Plan Bottom Up" xfId="2319" xr:uid="{1F29521B-5847-4200-9D97-C67362ADE306}"/>
    <cellStyle name="s_Cases_AM0909_AL New midpoint scenario 1.2B" xfId="2320" xr:uid="{962D075A-A99B-460A-BDD2-91DA181EED19}"/>
    <cellStyle name="s_Cases_AM0909_Book1" xfId="2321" xr:uid="{61092307-B28C-47EA-ACEE-D01FC25A119A}"/>
    <cellStyle name="s_Cases_AM0909_Clean Scenario 1 3B" xfId="2322" xr:uid="{03D1EFAA-746B-46C1-B0A4-8930E649711B}"/>
    <cellStyle name="s_Cases_AM0909_Draft reporting v4 031709" xfId="2323" xr:uid="{A98842C2-C39E-463E-ADA4-12987115BDF5}"/>
    <cellStyle name="s_Cases_AM0909_Draft reporting v6 031909" xfId="2324" xr:uid="{ECBD06D0-4C21-485F-B734-F6E7EFDC9363}"/>
    <cellStyle name="s_Cases_AM0909_Draft reporting v7 032509" xfId="2325" xr:uid="{DD297E8C-007E-409E-B82B-3E5C853B0685}"/>
    <cellStyle name="s_Cases_AM0909_EXOR Package July 1" xfId="2326" xr:uid="{A7C25C42-451A-488C-9D73-E6862EFDF254}"/>
    <cellStyle name="s_Cases_AM0909_Leverage Ratio s3" xfId="2327" xr:uid="{7FE842E5-EDD4-4F98-995B-EBB9678EBACE}"/>
    <cellStyle name="s_Cases_Book1" xfId="2328" xr:uid="{FA86A972-A2EC-408A-BDB3-1F530E56B105}"/>
    <cellStyle name="s_Cases_Brenner" xfId="2329" xr:uid="{81372248-199B-4D1E-B0CA-7FA7C88A8EA0}"/>
    <cellStyle name="s_Cases_Brenner_2010 Revised CF Plan Bottom Up" xfId="2330" xr:uid="{6C0C8577-2E7E-4484-AA3B-A5C845341498}"/>
    <cellStyle name="s_Cases_Brenner_AL New midpoint scenario 1.2B" xfId="2331" xr:uid="{FCBE81F2-848E-44DF-A8FC-E103E89D0004}"/>
    <cellStyle name="s_Cases_Brenner_Book1" xfId="2332" xr:uid="{462D2BCB-3812-455E-8782-89B0D357CED5}"/>
    <cellStyle name="s_Cases_Brenner_Clean Scenario 1 3B" xfId="2333" xr:uid="{3EE1766D-FF38-4F03-8306-F6A118C30E92}"/>
    <cellStyle name="s_Cases_Brenner_Draft reporting v4 031709" xfId="2334" xr:uid="{5D638AB5-5437-4713-ACE2-E74598B3A75E}"/>
    <cellStyle name="s_Cases_Brenner_Draft reporting v6 031909" xfId="2335" xr:uid="{DC580F93-188F-413A-B266-C7BFC52DA4A3}"/>
    <cellStyle name="s_Cases_Brenner_Draft reporting v7 032509" xfId="2336" xr:uid="{DB84B324-8936-41CF-A0FF-8EBCD7AC6580}"/>
    <cellStyle name="s_Cases_Brenner_EXOR Package July 1" xfId="2337" xr:uid="{D7F35F87-280D-4146-A8B6-BB73F109C1FE}"/>
    <cellStyle name="s_Cases_Brenner_Leverage Ratio s3" xfId="2338" xr:uid="{2AD67BB8-3878-43D4-B0C2-64BB65B365E1}"/>
    <cellStyle name="s_Cases_Clean Scenario 1 3B" xfId="2339" xr:uid="{60A38B1F-DA86-46DE-8F20-687049A89E9C}"/>
    <cellStyle name="s_Cases_Draft reporting v4 031709" xfId="2340" xr:uid="{8C701B5A-F0F9-4D62-A282-754B5248BCBB}"/>
    <cellStyle name="s_Cases_Draft reporting v6 031909" xfId="2341" xr:uid="{CE33A501-FD4F-4AAA-B124-FFA738131426}"/>
    <cellStyle name="s_Cases_Draft reporting v7 032509" xfId="2342" xr:uid="{AAD299DB-6CD0-443E-96E6-0FE3BB9ED856}"/>
    <cellStyle name="s_Cases_EXOR Package July 1" xfId="2343" xr:uid="{4B7464E4-4FC2-489C-9537-4B46A82D226C}"/>
    <cellStyle name="s_Cases_Leverage Ratio s3" xfId="2344" xr:uid="{12E58283-5846-447E-9D31-BAF8D5D9E88E}"/>
    <cellStyle name="s_Caterpillar" xfId="2345" xr:uid="{0BD0EDDC-28FB-44E1-834C-965438A82630}"/>
    <cellStyle name="s_Caterpillar_2010 Revised CF Plan Bottom Up" xfId="2346" xr:uid="{77575C6F-95DA-400C-AEFA-D7A6DF1C316C}"/>
    <cellStyle name="s_Caterpillar_AL New midpoint scenario 1.2B" xfId="2347" xr:uid="{733F5A60-A0E2-4CAA-B7B8-98C980CA938D}"/>
    <cellStyle name="s_Caterpillar_Book1" xfId="2348" xr:uid="{9E1E7442-05D8-4768-B413-C4F2CF38E1BF}"/>
    <cellStyle name="s_Caterpillar_Clean Scenario 1 3B" xfId="2349" xr:uid="{1FCBC2C8-2304-4A22-86E1-6FB62E53028C}"/>
    <cellStyle name="s_Caterpillar_Draft reporting v4 031709" xfId="2350" xr:uid="{27C40458-1FD4-45FA-90EF-B61EF55E4816}"/>
    <cellStyle name="s_Caterpillar_Draft reporting v6 031909" xfId="2351" xr:uid="{FD191FDD-9AF0-4BB4-BC6F-E4ED63F6F9A3}"/>
    <cellStyle name="s_Caterpillar_Draft reporting v7 032509" xfId="2352" xr:uid="{6FE110E9-7EB8-4637-AC1D-99480924481C}"/>
    <cellStyle name="s_Caterpillar_EXOR Package July 1" xfId="2353" xr:uid="{1DA37F71-9F97-47DC-B50F-E61FDADB7055}"/>
    <cellStyle name="s_Caterpillar_Leverage Ratio s3" xfId="2354" xr:uid="{5481BD1F-01ED-4901-91E4-7A16F27AC077}"/>
    <cellStyle name="s_CCC-Renewal Model April 2003.v3" xfId="2355" xr:uid="{1374C2A4-E414-42A5-8180-19A14001D5BA}"/>
    <cellStyle name="s_CCC-Renewal Model April 2003.v3_2010 Revised CF Plan Bottom Up" xfId="2356" xr:uid="{4FF6B5D7-8EE3-4CC7-8BBB-E21FAA00A384}"/>
    <cellStyle name="s_CCC-Renewal Model April 2003.v3_AL New midpoint scenario 1.2B" xfId="2357" xr:uid="{3DE6B78D-5CC8-40D7-9C35-2F48FD8C3C0B}"/>
    <cellStyle name="s_CCC-Renewal Model April 2003.v3_Book1" xfId="2358" xr:uid="{741F117F-0049-41B9-AF36-CCEC4FECE0CF}"/>
    <cellStyle name="s_CCC-Renewal Model April 2003.v3_Clean Scenario 1 3B" xfId="2359" xr:uid="{A64E65EF-4769-4206-BE99-ECD84A40F9F5}"/>
    <cellStyle name="s_CCC-Renewal Model April 2003.v3_Draft reporting v4 031709" xfId="2360" xr:uid="{01E06292-AE31-4AB9-A7B4-A39F46C8D89D}"/>
    <cellStyle name="s_CCC-Renewal Model April 2003.v3_Draft reporting v6 031909" xfId="2361" xr:uid="{DA006ADF-6C3D-4503-8F3A-453AC6D3D503}"/>
    <cellStyle name="s_CCC-Renewal Model April 2003.v3_Draft reporting v7 032509" xfId="2362" xr:uid="{FBC4B55B-D3DF-48E9-B0A8-4C0591CFA012}"/>
    <cellStyle name="s_CCC-Renewal Model April 2003.v3_EXOR Package July 1" xfId="2363" xr:uid="{10F9DB88-FF20-4414-A923-B8159FD7370F}"/>
    <cellStyle name="s_CCC-Renewal Model April 2003.v3_Leverage Ratio s3" xfId="2364" xr:uid="{09CB9765-64FA-4E21-8629-EF24A1B255BA}"/>
    <cellStyle name="s_Celtic DCF" xfId="2365" xr:uid="{30B8C33D-D2D1-45BA-B03B-5E809C785830}"/>
    <cellStyle name="s_Celtic DCF Inputs" xfId="2366" xr:uid="{1758555D-C1D3-478A-AE37-B7E1B3A76606}"/>
    <cellStyle name="s_Celtic DCF Inputs_1" xfId="2367" xr:uid="{46C20ED1-82A7-4B6D-8959-D620ECC6D304}"/>
    <cellStyle name="s_Celtic DCF Inputs_1_2010 Revised CF Plan Bottom Up" xfId="2368" xr:uid="{9319616E-1520-4AC8-B659-CAC62BB7D005}"/>
    <cellStyle name="s_Celtic DCF Inputs_1_AL New midpoint scenario 1.2B" xfId="2369" xr:uid="{763CB84D-22A6-491F-83DF-1BD88312A518}"/>
    <cellStyle name="s_Celtic DCF Inputs_1_Book1" xfId="2370" xr:uid="{B8013467-660C-44F8-B6A8-1F8D64FE5ADE}"/>
    <cellStyle name="s_Celtic DCF Inputs_1_Clean Scenario 1 3B" xfId="2371" xr:uid="{D2B0FA38-FCF2-41BE-B728-86C5A1701D67}"/>
    <cellStyle name="s_Celtic DCF Inputs_1_Draft reporting v4 031709" xfId="2372" xr:uid="{0E72C3B0-8187-4DC8-9D6C-142F0C8F7904}"/>
    <cellStyle name="s_Celtic DCF Inputs_1_Draft reporting v6 031909" xfId="2373" xr:uid="{2B21F1DA-AB1E-425F-82C5-9B5C04D963B4}"/>
    <cellStyle name="s_Celtic DCF Inputs_1_Draft reporting v7 032509" xfId="2374" xr:uid="{38EB817D-7778-436F-8828-F642D0128DE4}"/>
    <cellStyle name="s_Celtic DCF Inputs_1_EXOR Package July 1" xfId="2375" xr:uid="{2AF6439B-E974-48A2-930A-74E77F0BC6D4}"/>
    <cellStyle name="s_Celtic DCF Inputs_1_Leverage Ratio s3" xfId="2376" xr:uid="{55A296C9-508D-4F97-A911-734CB70A95A5}"/>
    <cellStyle name="s_Celtic DCF Inputs_2010 Revised CF Plan Bottom Up" xfId="2377" xr:uid="{B94F1E5B-0E47-4BD3-9D92-49F73D14680D}"/>
    <cellStyle name="s_Celtic DCF Inputs_AL New midpoint scenario 1.2B" xfId="2378" xr:uid="{921DDAE0-F129-4200-840E-0FC603B8359E}"/>
    <cellStyle name="s_Celtic DCF Inputs_Book1" xfId="2379" xr:uid="{993CE2DF-2182-4ACD-992E-436C7FD09114}"/>
    <cellStyle name="s_Celtic DCF Inputs_Clean Scenario 1 3B" xfId="2380" xr:uid="{3709F8D4-E486-4E5B-95F1-809EB160FB46}"/>
    <cellStyle name="s_Celtic DCF Inputs_Draft reporting v4 031709" xfId="2381" xr:uid="{291FE395-6028-456E-8CC6-931698DC6E29}"/>
    <cellStyle name="s_Celtic DCF Inputs_Draft reporting v6 031909" xfId="2382" xr:uid="{1D3E6323-F49D-4F76-A4D8-82DE47D14EA9}"/>
    <cellStyle name="s_Celtic DCF Inputs_Draft reporting v7 032509" xfId="2383" xr:uid="{743DA322-F316-4AAD-870F-B772D79F8BFB}"/>
    <cellStyle name="s_Celtic DCF_1" xfId="2384" xr:uid="{F2BB3D78-EF92-4356-9BA8-A1A042537ED0}"/>
    <cellStyle name="s_Celtic DCF_1_Book1" xfId="2385" xr:uid="{15BCA3DD-0A3A-4258-9792-D2A80147E243}"/>
    <cellStyle name="s_Celtic DCF_1_Draft reporting v4 031709" xfId="2386" xr:uid="{61D294DD-4676-46BA-A31D-5C79B46D5CA2}"/>
    <cellStyle name="s_Celtic DCF_1_Draft reporting v6 031909" xfId="2387" xr:uid="{506D9EEB-30A1-4CEE-A742-D71AA0E0E1DB}"/>
    <cellStyle name="s_Celtic DCF_1_Draft reporting v7 032509" xfId="2388" xr:uid="{ED9FE9F9-BFFF-4DB8-A299-A9F541631E3E}"/>
    <cellStyle name="s_Celtic DCF_Book1" xfId="2389" xr:uid="{CE6DDB66-1397-424E-B718-EB52572A48AF}"/>
    <cellStyle name="s_Celtic DCF_Draft reporting v4 031709" xfId="2390" xr:uid="{16B4505A-C155-48FA-A3D3-BCEA4AA591B2}"/>
    <cellStyle name="s_Celtic DCF_Draft reporting v6 031909" xfId="2391" xr:uid="{B517E774-FF35-4D41-B232-CE8FD98C89BA}"/>
    <cellStyle name="s_Celtic DCF_Draft reporting v7 032509" xfId="2392" xr:uid="{90A2C948-AA68-40CC-BD48-34E71FC1CEB6}"/>
    <cellStyle name="s_Credit (2)" xfId="2393" xr:uid="{F09E6A9D-1B56-40B8-A232-C24F8FD3240E}"/>
    <cellStyle name="s_Credit (2)_1" xfId="2394" xr:uid="{18B11B03-56AB-462D-8718-305DB1205221}"/>
    <cellStyle name="s_Credit (2)_1_Book1" xfId="2395" xr:uid="{6DD4A0DC-EF3B-4FE9-BC87-18A8FCCCADAB}"/>
    <cellStyle name="s_Credit (2)_1_Draft reporting v4 031709" xfId="2396" xr:uid="{2F4D8731-8588-4828-820D-7C9C8E6FB63A}"/>
    <cellStyle name="s_Credit (2)_1_Draft reporting v6 031909" xfId="2397" xr:uid="{28A168E0-2D36-452B-88CE-27A6EAAF01D1}"/>
    <cellStyle name="s_Credit (2)_1_Draft reporting v7 032509" xfId="2398" xr:uid="{43270854-BCDF-4281-BCEC-DF1A41B20B9A}"/>
    <cellStyle name="s_Credit (2)_2" xfId="2399" xr:uid="{94A1F307-57B8-47BF-8D3A-A25673B84ECB}"/>
    <cellStyle name="s_Credit (2)_2_Book1" xfId="2400" xr:uid="{855ED99D-7CEA-43E4-8E76-868D2658FF0A}"/>
    <cellStyle name="s_Credit (2)_2_Draft reporting v4 031709" xfId="2401" xr:uid="{8530EB09-E19D-4683-8649-A76B07ABBAB6}"/>
    <cellStyle name="s_Credit (2)_2_Draft reporting v6 031909" xfId="2402" xr:uid="{0881AB4B-B90F-433C-AF4C-4FAD01DF177C}"/>
    <cellStyle name="s_Credit (2)_2_Draft reporting v7 032509" xfId="2403" xr:uid="{C5BEDA35-FFBE-47D7-9720-A5C0133EC833}"/>
    <cellStyle name="s_Credit (2)_Book1" xfId="2404" xr:uid="{344657D6-6AC2-4E98-8E1C-78BD37190A02}"/>
    <cellStyle name="s_Credit (2)_Draft reporting v4 031709" xfId="2405" xr:uid="{8169097F-E675-456F-8CCD-78CFBCD8056E}"/>
    <cellStyle name="s_Credit (2)_Draft reporting v6 031909" xfId="2406" xr:uid="{D51AC9A9-E543-43C0-AED8-2558285C6C93}"/>
    <cellStyle name="s_Credit (2)_Draft reporting v7 032509" xfId="2407" xr:uid="{D897B8F9-A986-416D-A4FD-51C5F8C481A8}"/>
    <cellStyle name="s_Credit Buildup (2)" xfId="2408" xr:uid="{EF90AE84-449C-4B89-B043-21B6AAEEDF24}"/>
    <cellStyle name="s_Credit Buildup (2)_1" xfId="2409" xr:uid="{DB38D14D-8DC5-40FF-B96C-26D6FB87E9CF}"/>
    <cellStyle name="s_Credit Buildup (2)_1_Book1" xfId="2410" xr:uid="{B77E84C3-7F3F-4370-AA3A-3FA8FB6EC385}"/>
    <cellStyle name="s_Credit Buildup (2)_1_Draft reporting v4 031709" xfId="2411" xr:uid="{1F2268E9-90B7-46CE-90E7-80BAB6C741E9}"/>
    <cellStyle name="s_Credit Buildup (2)_1_Draft reporting v6 031909" xfId="2412" xr:uid="{4B73D719-E645-41D8-9796-5316CFDD512F}"/>
    <cellStyle name="s_Credit Buildup (2)_1_Draft reporting v7 032509" xfId="2413" xr:uid="{65612E77-8A59-49B4-BF99-C48677F20795}"/>
    <cellStyle name="s_Credit Buildup (2)_Book1" xfId="2414" xr:uid="{39D3DBF9-9A85-497C-A4B4-CE955EE17D9E}"/>
    <cellStyle name="s_Credit Buildup (2)_Celtic DCF" xfId="2415" xr:uid="{BAFF462C-64CB-42CC-82AC-390B29EECDC0}"/>
    <cellStyle name="s_Credit Buildup (2)_Celtic DCF Inputs" xfId="2416" xr:uid="{F6039299-27C5-46D7-A2F4-9BF21DB160CE}"/>
    <cellStyle name="s_Credit Buildup (2)_Celtic DCF Inputs_Book1" xfId="2417" xr:uid="{2C95C3E1-FE38-4045-B14F-A5586C874B6C}"/>
    <cellStyle name="s_Credit Buildup (2)_Celtic DCF Inputs_Draft reporting v4 031709" xfId="2418" xr:uid="{7B278B53-C14D-48F6-9A0C-9D69871CFA23}"/>
    <cellStyle name="s_Credit Buildup (2)_Celtic DCF Inputs_Draft reporting v6 031909" xfId="2419" xr:uid="{3E78FB71-5B59-4927-BE86-BA7F4A350084}"/>
    <cellStyle name="s_Credit Buildup (2)_Celtic DCF Inputs_Draft reporting v7 032509" xfId="2420" xr:uid="{4B031A7B-397C-41EE-B1A1-B11E22A533F5}"/>
    <cellStyle name="s_Credit Buildup (2)_Celtic DCF_Book1" xfId="2421" xr:uid="{531FD934-7027-4A10-91EF-10C6FD4416AD}"/>
    <cellStyle name="s_Credit Buildup (2)_Celtic DCF_Draft reporting v4 031709" xfId="2422" xr:uid="{19BB9C88-DC52-4691-BB56-161C9549F4E4}"/>
    <cellStyle name="s_Credit Buildup (2)_Celtic DCF_Draft reporting v6 031909" xfId="2423" xr:uid="{2919798A-7BF2-4391-B774-86A2027929A3}"/>
    <cellStyle name="s_Credit Buildup (2)_Celtic DCF_Draft reporting v7 032509" xfId="2424" xr:uid="{2D9B03E4-5A2B-425A-9DC7-A8C350C2FD74}"/>
    <cellStyle name="s_Credit Buildup (2)_Draft reporting v4 031709" xfId="2425" xr:uid="{4976A0EE-0D3B-47B5-9D4B-5C0413E75B6F}"/>
    <cellStyle name="s_Credit Buildup (2)_Draft reporting v6 031909" xfId="2426" xr:uid="{C634D145-7019-430F-A0F4-EEFBD8666CF5}"/>
    <cellStyle name="s_Credit Buildup (2)_Draft reporting v7 032509" xfId="2427" xr:uid="{A62E1719-DFAA-45D9-918C-93798263C29B}"/>
    <cellStyle name="s_Credit Buildup (2)_Valuation Summary" xfId="2428" xr:uid="{CFA225F8-450F-46F6-8C7C-AA06E4D35E7F}"/>
    <cellStyle name="s_Credit Buildup (2)_Valuation Summary_Book1" xfId="2429" xr:uid="{44432CA8-FED8-4BAE-8968-2B1CE90999AF}"/>
    <cellStyle name="s_Credit Buildup (2)_Valuation Summary_Draft reporting v4 031709" xfId="2430" xr:uid="{2970B38F-CF74-47E1-AC66-F9C2D04056EB}"/>
    <cellStyle name="s_Credit Buildup (2)_Valuation Summary_Draft reporting v6 031909" xfId="2431" xr:uid="{99CD92F0-3249-44B3-BDC7-CDF7D08D64BC}"/>
    <cellStyle name="s_Credit Buildup (2)_Valuation Summary_Draft reporting v7 032509" xfId="2432" xr:uid="{EC5EB3FA-0179-4531-B8C1-971F21EB41C0}"/>
    <cellStyle name="s_Credit Graph" xfId="2433" xr:uid="{AE169525-3C26-49F2-B1F3-5C1991EDFE3C}"/>
    <cellStyle name="s_Credit Graph_1" xfId="2434" xr:uid="{5091C956-40D0-481D-80B6-161C546EEC7D}"/>
    <cellStyle name="s_Credit Graph_1_Book1" xfId="2435" xr:uid="{93698EA8-F7C5-4998-A37C-AFF51CD98884}"/>
    <cellStyle name="s_Credit Graph_1_Draft reporting v4 031709" xfId="2436" xr:uid="{2C65F8D4-B87A-47EC-8E91-B27BA1477288}"/>
    <cellStyle name="s_Credit Graph_1_Draft reporting v6 031909" xfId="2437" xr:uid="{FD6DC276-9CBB-4E2C-BD16-D21078633124}"/>
    <cellStyle name="s_Credit Graph_1_Draft reporting v7 032509" xfId="2438" xr:uid="{BE3B0240-1A0E-4CBF-B93E-F7090DC00B25}"/>
    <cellStyle name="s_Credit Graph_2" xfId="2439" xr:uid="{9C9BB48C-75D4-43AB-AE55-9419E0F08C99}"/>
    <cellStyle name="s_Credit Graph_2_Book1" xfId="2440" xr:uid="{0251A252-B567-4171-B90B-5FB922BFF5FE}"/>
    <cellStyle name="s_Credit Graph_2_Draft reporting v4 031709" xfId="2441" xr:uid="{565E89BA-3608-4530-B06C-6A66473A9356}"/>
    <cellStyle name="s_Credit Graph_2_Draft reporting v6 031909" xfId="2442" xr:uid="{359CB1EE-9871-40F0-9D1B-06052D8D6910}"/>
    <cellStyle name="s_Credit Graph_2_Draft reporting v7 032509" xfId="2443" xr:uid="{6B8F433B-1FAB-4EFB-8196-C0471FFC3665}"/>
    <cellStyle name="s_Credit Graph_Book1" xfId="2444" xr:uid="{3FF909F3-4374-430C-BEB3-92221F44315E}"/>
    <cellStyle name="s_Credit Graph_Draft reporting v4 031709" xfId="2445" xr:uid="{14397934-4229-4E3B-B682-5A42C880683C}"/>
    <cellStyle name="s_Credit Graph_Draft reporting v6 031909" xfId="2446" xr:uid="{AE917AAC-C61D-4F85-BE0E-F3A8F94EC2A8}"/>
    <cellStyle name="s_Credit Graph_Draft reporting v7 032509" xfId="2447" xr:uid="{B262E96D-8C6E-44C3-B313-FE47D65DE076}"/>
    <cellStyle name="s_CredSens" xfId="2448" xr:uid="{EABD37A1-F979-4249-8145-3467315920A9}"/>
    <cellStyle name="s_CredSens_1" xfId="2449" xr:uid="{EA674BA6-07DA-49D5-BE78-9EA6C60DA057}"/>
    <cellStyle name="s_CredSens_1_Book1" xfId="2450" xr:uid="{4486BA13-C2FB-4684-A682-E945C7B91EFF}"/>
    <cellStyle name="s_CredSens_1_Draft reporting v4 031709" xfId="2451" xr:uid="{BD245551-F541-47DC-A710-09C00682FDBF}"/>
    <cellStyle name="s_CredSens_1_Draft reporting v6 031909" xfId="2452" xr:uid="{93754B05-15A1-4A9D-9685-5B2A131C3B77}"/>
    <cellStyle name="s_CredSens_1_Draft reporting v7 032509" xfId="2453" xr:uid="{838D4205-1C8C-45B3-BE5A-7ED84D9C01DC}"/>
    <cellStyle name="s_CredSens_2" xfId="2454" xr:uid="{79A20DC5-FC4A-48D9-81FB-F0BE92871C19}"/>
    <cellStyle name="s_CredSens_2_Book1" xfId="2455" xr:uid="{FC734651-8C30-4385-86E4-964794FA9182}"/>
    <cellStyle name="s_CredSens_2_Draft reporting v4 031709" xfId="2456" xr:uid="{0B378E18-D9BE-4FA2-B35C-0D9AF08D6A3E}"/>
    <cellStyle name="s_CredSens_2_Draft reporting v6 031909" xfId="2457" xr:uid="{EC6D3197-00A6-42B1-AD3B-641F21736E44}"/>
    <cellStyle name="s_CredSens_2_Draft reporting v7 032509" xfId="2458" xr:uid="{04A40069-4190-480E-AA3E-888837DA5324}"/>
    <cellStyle name="s_CredSens_Book1" xfId="2459" xr:uid="{4062926E-F694-453C-94BE-556D36D7A46D}"/>
    <cellStyle name="s_CredSens_Celtic DCF" xfId="2460" xr:uid="{C72ABD55-2EA2-493A-97D3-F853183CDD05}"/>
    <cellStyle name="s_CredSens_Celtic DCF Inputs" xfId="2461" xr:uid="{A1E7084A-D16C-4F8C-B2D1-B22E36406FDE}"/>
    <cellStyle name="s_CredSens_Celtic DCF Inputs_Book1" xfId="2462" xr:uid="{D6CA583A-7AE8-4AA8-AAE9-BFD3E5D43AFC}"/>
    <cellStyle name="s_CredSens_Celtic DCF Inputs_Draft reporting v4 031709" xfId="2463" xr:uid="{1522F9EB-1284-4F73-9047-0359ECE2F846}"/>
    <cellStyle name="s_CredSens_Celtic DCF Inputs_Draft reporting v6 031909" xfId="2464" xr:uid="{A31633E8-A876-45E1-8962-99557BBDA0CA}"/>
    <cellStyle name="s_CredSens_Celtic DCF Inputs_Draft reporting v7 032509" xfId="2465" xr:uid="{D5D81A15-890F-4558-850B-5E39D1BE7885}"/>
    <cellStyle name="s_CredSens_Celtic DCF_Book1" xfId="2466" xr:uid="{E3343B03-7B9C-4EDB-A379-EDA61EF9DEBB}"/>
    <cellStyle name="s_CredSens_Celtic DCF_Draft reporting v4 031709" xfId="2467" xr:uid="{29332A93-246F-495D-8B45-9B7A10065B5B}"/>
    <cellStyle name="s_CredSens_Celtic DCF_Draft reporting v6 031909" xfId="2468" xr:uid="{FE2041D8-B73A-4AF7-BBCC-E79551389F4B}"/>
    <cellStyle name="s_CredSens_Celtic DCF_Draft reporting v7 032509" xfId="2469" xr:uid="{D6426D0D-F575-4132-899A-020EAD19DAB5}"/>
    <cellStyle name="s_CredSens_Draft reporting v4 031709" xfId="2470" xr:uid="{E351CEF8-7F15-4FCD-86EF-8346FF6FE34B}"/>
    <cellStyle name="s_CredSens_Draft reporting v6 031909" xfId="2471" xr:uid="{AFBAA9E9-7C7B-48D5-94A0-5007A23777BF}"/>
    <cellStyle name="s_CredSens_Draft reporting v7 032509" xfId="2472" xr:uid="{A2DBF2FA-9819-4212-8E9F-F3379E033A8A}"/>
    <cellStyle name="s_CredSens_Valuation Summary" xfId="2473" xr:uid="{6518882C-92BC-4628-BA9D-EF7958E1635C}"/>
    <cellStyle name="s_CredSens_Valuation Summary_Book1" xfId="2474" xr:uid="{3CC46AD2-B87F-4D40-850B-D7168AED540C}"/>
    <cellStyle name="s_CredSens_Valuation Summary_Draft reporting v4 031709" xfId="2475" xr:uid="{A0E24CEE-5654-4F27-B1FF-93570A99275C}"/>
    <cellStyle name="s_CredSens_Valuation Summary_Draft reporting v6 031909" xfId="2476" xr:uid="{F738087A-172C-465D-9632-5CE2F67DE810}"/>
    <cellStyle name="s_CredSens_Valuation Summary_Draft reporting v7 032509" xfId="2477" xr:uid="{31FBCE96-05E4-491F-9FD1-9F32A4F36755}"/>
    <cellStyle name="s_crystal model 051602" xfId="2478" xr:uid="{B9736884-C903-4F47-A5DB-C349540E000A}"/>
    <cellStyle name="s_crystal model 051602_Book1" xfId="2479" xr:uid="{B16EF429-DE2A-4CA5-82D7-715881BB78DC}"/>
    <cellStyle name="s_crystal model 051602_Draft reporting v4 031709" xfId="2480" xr:uid="{CB076FEA-1CF7-43FF-9A47-C93BE5CDC8B9}"/>
    <cellStyle name="s_crystal model 051602_Draft reporting v6 031909" xfId="2481" xr:uid="{152E84B0-B592-4924-8150-1F7AFD6288C3}"/>
    <cellStyle name="s_crystal model 051602_Draft reporting v7 032509" xfId="2482" xr:uid="{D193D405-55E1-4849-8E68-7EF43191BAA0}"/>
    <cellStyle name="s_DCF" xfId="2483" xr:uid="{BC76CC79-6E4F-4DD9-ADB4-1FBCF3D7F63C}"/>
    <cellStyle name="s_DCF Inputs" xfId="2484" xr:uid="{5C3A54FF-4249-46C5-B691-8CC05763C389}"/>
    <cellStyle name="s_DCF Inputs (2)" xfId="2485" xr:uid="{E3B4EDD6-3FBC-4A73-9539-D734409B9C0A}"/>
    <cellStyle name="s_DCF Inputs (2)_1" xfId="2486" xr:uid="{62F23EAB-3C35-4DCD-94A9-A3F03C01CA62}"/>
    <cellStyle name="s_DCF Inputs (2)_1_Book1" xfId="2487" xr:uid="{C7E79714-ABC1-4D5C-A924-14CF53386B63}"/>
    <cellStyle name="s_DCF Inputs (2)_1_Celtic DCF" xfId="2488" xr:uid="{169B7B99-2B46-4103-9362-20F94D1FB5E3}"/>
    <cellStyle name="s_DCF Inputs (2)_1_Celtic DCF Inputs" xfId="2489" xr:uid="{CAC8B5BF-E13A-4EC6-9440-CED386E57DC0}"/>
    <cellStyle name="s_DCF Inputs (2)_1_Celtic DCF Inputs_Book1" xfId="2490" xr:uid="{A9163A4C-D189-42CC-B050-196B05294D83}"/>
    <cellStyle name="s_DCF Inputs (2)_1_Celtic DCF Inputs_Draft reporting v4 031709" xfId="2491" xr:uid="{8BB3ECFD-E376-430B-A7CC-8727547D5D9A}"/>
    <cellStyle name="s_DCF Inputs (2)_1_Celtic DCF Inputs_Draft reporting v6 031909" xfId="2492" xr:uid="{FBDE29AA-FB7F-485F-9362-FF34B96C9F88}"/>
    <cellStyle name="s_DCF Inputs (2)_1_Celtic DCF Inputs_Draft reporting v7 032509" xfId="2493" xr:uid="{DA8C996B-0573-4B85-8ABE-96EAD7D4D64A}"/>
    <cellStyle name="s_DCF Inputs (2)_1_Celtic DCF_Book1" xfId="2494" xr:uid="{8F92114F-FFD7-4B0E-8000-7C0BD05BA885}"/>
    <cellStyle name="s_DCF Inputs (2)_1_Celtic DCF_Draft reporting v4 031709" xfId="2495" xr:uid="{B60B3F22-9A54-44A7-9388-069BD7A8A848}"/>
    <cellStyle name="s_DCF Inputs (2)_1_Celtic DCF_Draft reporting v6 031909" xfId="2496" xr:uid="{D93AC24A-E447-4328-B169-1CB68F5F0FF7}"/>
    <cellStyle name="s_DCF Inputs (2)_1_Celtic DCF_Draft reporting v7 032509" xfId="2497" xr:uid="{54377688-A79A-4D43-A68D-531D211A5F5D}"/>
    <cellStyle name="s_DCF Inputs (2)_1_Draft reporting v4 031709" xfId="2498" xr:uid="{03B1E8EA-721C-4EF2-9E90-842A56D4FE56}"/>
    <cellStyle name="s_DCF Inputs (2)_1_Draft reporting v6 031909" xfId="2499" xr:uid="{ED22B3AF-42D9-475A-9053-128E45D84EFF}"/>
    <cellStyle name="s_DCF Inputs (2)_1_Draft reporting v7 032509" xfId="2500" xr:uid="{07DAAF18-1C2B-4758-A84C-E0A2EADF133F}"/>
    <cellStyle name="s_DCF Inputs (2)_1_Valuation Summary" xfId="2501" xr:uid="{708A1251-7ECF-46D9-B7D0-B2A9FA0877B6}"/>
    <cellStyle name="s_DCF Inputs (2)_1_Valuation Summary_Book1" xfId="2502" xr:uid="{A0838B02-2E68-414E-8E1E-A999AF2350DD}"/>
    <cellStyle name="s_DCF Inputs (2)_1_Valuation Summary_Draft reporting v4 031709" xfId="2503" xr:uid="{52D32FE1-C35E-473F-B307-BAD5F60AB8F8}"/>
    <cellStyle name="s_DCF Inputs (2)_1_Valuation Summary_Draft reporting v6 031909" xfId="2504" xr:uid="{EE4AA531-EEEF-45DE-A1AA-7D9154734E4F}"/>
    <cellStyle name="s_DCF Inputs (2)_1_Valuation Summary_Draft reporting v7 032509" xfId="2505" xr:uid="{5C449173-751C-4B88-9828-2904F72F24B0}"/>
    <cellStyle name="s_DCF Inputs (2)_Book1" xfId="2506" xr:uid="{2A2D220E-50B3-47B9-8E12-D7205CA49EB2}"/>
    <cellStyle name="s_DCF Inputs (2)_Draft reporting v4 031709" xfId="2507" xr:uid="{27B3C51D-CA8F-4896-BAFB-35118F27A9CC}"/>
    <cellStyle name="s_DCF Inputs (2)_Draft reporting v6 031909" xfId="2508" xr:uid="{D3FF7D38-F728-491C-8F7A-FE32B5642EE0}"/>
    <cellStyle name="s_DCF Inputs (2)_Draft reporting v7 032509" xfId="2509" xr:uid="{E5360BA4-55ED-408C-938D-9B5F17C7FD6C}"/>
    <cellStyle name="s_DCF Inputs_~5424068" xfId="2510" xr:uid="{EC161610-9C21-49D1-BBE4-8FB69E72546B}"/>
    <cellStyle name="s_DCF Inputs_~5424068_Book1" xfId="2511" xr:uid="{75C002F4-85AC-41D2-B70A-D7EE44711BF0}"/>
    <cellStyle name="s_DCF Inputs_~5424068_Draft reporting v4 031709" xfId="2512" xr:uid="{FBA6885B-B978-488B-9904-831136CCA612}"/>
    <cellStyle name="s_DCF Inputs_~5424068_Draft reporting v6 031909" xfId="2513" xr:uid="{FCFD17FB-53D3-405C-9888-264D4C772686}"/>
    <cellStyle name="s_DCF Inputs_~5424068_Draft reporting v7 032509" xfId="2514" xr:uid="{AA0849AC-520F-4026-B755-C9948585B488}"/>
    <cellStyle name="s_DCF Inputs_1" xfId="2515" xr:uid="{1AC004E8-84E2-4CC1-85A2-7CC139749DEF}"/>
    <cellStyle name="s_DCF Inputs_1_~5424068" xfId="2516" xr:uid="{00EB01F5-3308-415F-85F6-9FB83ADD1BE5}"/>
    <cellStyle name="s_DCF Inputs_1_~5424068_Book1" xfId="2517" xr:uid="{46B3AD3F-6033-4105-9A46-35EBCE25D92B}"/>
    <cellStyle name="s_DCF Inputs_1_~5424068_Draft reporting v4 031709" xfId="2518" xr:uid="{97201077-3F96-4CF2-BF6E-EBDA26B84332}"/>
    <cellStyle name="s_DCF Inputs_1_~5424068_Draft reporting v6 031909" xfId="2519" xr:uid="{32C64C2A-8B56-4529-A119-B9E698CE7627}"/>
    <cellStyle name="s_DCF Inputs_1_~5424068_Draft reporting v7 032509" xfId="2520" xr:uid="{5BDD854B-C995-4BDD-8569-B73E953C21D7}"/>
    <cellStyle name="s_DCF Inputs_1_Book1" xfId="2521" xr:uid="{000EF9A2-3AFB-488E-B202-1FEF95188E6F}"/>
    <cellStyle name="s_DCF Inputs_1_CCC-Renewal Model April 2003.v3" xfId="2522" xr:uid="{3333BBB1-03EF-428B-B5A6-886182C904DA}"/>
    <cellStyle name="s_DCF Inputs_1_CCC-Renewal Model April 2003.v3_Book1" xfId="2523" xr:uid="{3C02DC30-79B3-45F7-A83B-4B1CE6AAD669}"/>
    <cellStyle name="s_DCF Inputs_1_CCC-Renewal Model April 2003.v3_Draft reporting v4 031709" xfId="2524" xr:uid="{86513A8A-B2A7-45CB-A710-55211CAFF743}"/>
    <cellStyle name="s_DCF Inputs_1_CCC-Renewal Model April 2003.v3_Draft reporting v6 031909" xfId="2525" xr:uid="{2F704D19-86AB-4448-8D26-03BB2C8B07A7}"/>
    <cellStyle name="s_DCF Inputs_1_CCC-Renewal Model April 2003.v3_Draft reporting v7 032509" xfId="2526" xr:uid="{C8A4ED6F-9115-4E0A-B04D-A2E09AE56B5F}"/>
    <cellStyle name="s_DCF Inputs_1_DCF" xfId="2527" xr:uid="{45C9BAAA-7C8A-4A7C-8D6D-3FFA90565282}"/>
    <cellStyle name="s_DCF Inputs_1_DCF_Book1" xfId="2528" xr:uid="{5180C65B-90A3-48A4-AFA1-903749B8A0B0}"/>
    <cellStyle name="s_DCF Inputs_1_DCF_Draft reporting v4 031709" xfId="2529" xr:uid="{2C793420-A442-47B1-8263-6AD8FE7CFA0A}"/>
    <cellStyle name="s_DCF Inputs_1_DCF_Draft reporting v6 031909" xfId="2530" xr:uid="{62362A97-7FF6-440A-AF37-0528CE668263}"/>
    <cellStyle name="s_DCF Inputs_1_DCF_Draft reporting v7 032509" xfId="2531" xr:uid="{F0A00E38-31DC-4B05-9801-C633248C226E}"/>
    <cellStyle name="s_DCF Inputs_1_Draft reporting v4 031709" xfId="2532" xr:uid="{0C11C601-B1B7-4421-BF90-7B82B9D3572B}"/>
    <cellStyle name="s_DCF Inputs_1_Draft reporting v6 031909" xfId="2533" xr:uid="{A7C8E282-01E7-41E8-9CF7-FC5A56A10010}"/>
    <cellStyle name="s_DCF Inputs_1_Draft reporting v7 032509" xfId="2534" xr:uid="{344559DD-8F4B-4AC8-A95E-ECE119DFB882}"/>
    <cellStyle name="s_DCF Inputs_1_Globemedia Model v_4" xfId="2535" xr:uid="{F471BA2F-3601-4715-A6A2-CE3695473519}"/>
    <cellStyle name="s_DCF Inputs_1_Globemedia Model v_4_Book1" xfId="2536" xr:uid="{16835646-3DB6-4B72-9544-0440AC9BF35C}"/>
    <cellStyle name="s_DCF Inputs_1_Globemedia Model v_4_Draft reporting v4 031709" xfId="2537" xr:uid="{5045FE96-76C7-4580-8385-C319074AB93D}"/>
    <cellStyle name="s_DCF Inputs_1_Globemedia Model v_4_Draft reporting v6 031909" xfId="2538" xr:uid="{8F37C62A-0307-4181-8DB2-0AB841E489F3}"/>
    <cellStyle name="s_DCF Inputs_1_Globemedia Model v_4_Draft reporting v7 032509" xfId="2539" xr:uid="{3D52F734-F953-49F0-9115-F586C43EF856}"/>
    <cellStyle name="s_DCF Inputs_1_Inco LBO" xfId="2540" xr:uid="{4E025E26-1F04-4B2D-9DFA-629DC3BBF999}"/>
    <cellStyle name="s_DCF Inputs_1_Inco LBO_Book1" xfId="2541" xr:uid="{FBA0261C-B6C7-4CF3-AF5D-EC5A5139EFB0}"/>
    <cellStyle name="s_DCF Inputs_1_Inco LBO_Draft reporting v4 031709" xfId="2542" xr:uid="{34394126-22EB-4984-8A4B-0B351453377F}"/>
    <cellStyle name="s_DCF Inputs_1_Inco LBO_Draft reporting v6 031909" xfId="2543" xr:uid="{5033610B-4CD6-48D3-BD87-B7C0D9476B62}"/>
    <cellStyle name="s_DCF Inputs_1_Inco LBO_Draft reporting v7 032509" xfId="2544" xr:uid="{A3BFA56B-5E91-482A-B9D9-9C90133EB504}"/>
    <cellStyle name="s_DCF Inputs_1_Merger model" xfId="2545" xr:uid="{005393DF-91AA-4A21-BFCD-02E9CFD89FB3}"/>
    <cellStyle name="s_DCF Inputs_1_Merger model_Book1" xfId="2546" xr:uid="{9BEA831A-76B8-47F0-88F4-601FF3AECA5E}"/>
    <cellStyle name="s_DCF Inputs_1_Merger model_Draft reporting v4 031709" xfId="2547" xr:uid="{184B766F-B1DA-43CA-8977-79A7DA1DC82B}"/>
    <cellStyle name="s_DCF Inputs_1_Merger model_Draft reporting v6 031909" xfId="2548" xr:uid="{E933759D-7EEE-487E-86FF-CD2F33B31E55}"/>
    <cellStyle name="s_DCF Inputs_1_Merger model_Draft reporting v7 032509" xfId="2549" xr:uid="{B7C86E85-C279-40F0-BFB7-DF9D95CB0D72}"/>
    <cellStyle name="s_DCF Inputs_1_TRU Domestic v2" xfId="2550" xr:uid="{9DF9ABE1-E309-4C2D-AC32-6AC5EA43D6DE}"/>
    <cellStyle name="s_DCF Inputs_1_TRU Domestic v2_Book1" xfId="2551" xr:uid="{06601968-98A8-450A-8E1B-55A75B15C17E}"/>
    <cellStyle name="s_DCF Inputs_1_TRU Domestic v2_Draft reporting v4 031709" xfId="2552" xr:uid="{A0D2ADDA-03DF-49B6-8A0C-2DD374EDD964}"/>
    <cellStyle name="s_DCF Inputs_1_TRU Domestic v2_Draft reporting v6 031909" xfId="2553" xr:uid="{BBEB7BAB-DDF2-4AC6-91EA-B8A19D991D0D}"/>
    <cellStyle name="s_DCF Inputs_1_TRU Domestic v2_Draft reporting v7 032509" xfId="2554" xr:uid="{21824FA4-142C-4B13-9135-361A855FEA20}"/>
    <cellStyle name="s_DCF Inputs_2" xfId="2555" xr:uid="{CF8F745F-994A-4AD8-B0C7-5813D4E3B59A}"/>
    <cellStyle name="s_DCF Inputs_2_Book1" xfId="2556" xr:uid="{06398080-F7CA-4B0E-8A3E-C66771BC6853}"/>
    <cellStyle name="s_DCF Inputs_2_Draft reporting v4 031709" xfId="2557" xr:uid="{F1603B60-3E0C-4A17-986D-91FA8D517A02}"/>
    <cellStyle name="s_DCF Inputs_2_Draft reporting v6 031909" xfId="2558" xr:uid="{77B776C6-4A1D-433D-AE91-B9E151B2D18E}"/>
    <cellStyle name="s_DCF Inputs_2_Draft reporting v7 032509" xfId="2559" xr:uid="{1624BC2B-7720-4A1A-A193-7980F4F256CE}"/>
    <cellStyle name="s_DCF Inputs_AM0909" xfId="2560" xr:uid="{7B5EBAA1-ACF1-4E55-AF00-2D84D0D7A8D3}"/>
    <cellStyle name="s_DCF Inputs_AM0909_Book1" xfId="2561" xr:uid="{8C80E382-408F-4FC1-8B62-F46D2B34E195}"/>
    <cellStyle name="s_DCF Inputs_AM0909_Draft reporting v4 031709" xfId="2562" xr:uid="{CAB05D8D-5E68-430A-A6E7-2AEA353252EB}"/>
    <cellStyle name="s_DCF Inputs_AM0909_Draft reporting v6 031909" xfId="2563" xr:uid="{8C00E21E-763E-4B93-BD3D-FE596F1E5172}"/>
    <cellStyle name="s_DCF Inputs_AM0909_Draft reporting v7 032509" xfId="2564" xr:uid="{9CDBB5D2-6D3D-46E1-96D4-D83907E06FFA}"/>
    <cellStyle name="s_DCF Inputs_Book1" xfId="2565" xr:uid="{99BDA820-1430-41ED-9147-C1D0E7FD454F}"/>
    <cellStyle name="s_DCF Inputs_Brenner" xfId="2566" xr:uid="{414618D4-7433-4C8D-A8C4-5C7A4FD1631A}"/>
    <cellStyle name="s_DCF Inputs_Brenner_Book1" xfId="2567" xr:uid="{7680DAA2-8905-4492-B533-EAD8CB642F7F}"/>
    <cellStyle name="s_DCF Inputs_Brenner_Draft reporting v4 031709" xfId="2568" xr:uid="{FDD4C6AE-87F9-4C31-BBA9-51E92774DFB9}"/>
    <cellStyle name="s_DCF Inputs_Brenner_Draft reporting v6 031909" xfId="2569" xr:uid="{D02EEFCA-3F1A-44DF-8975-EF0D15F00BB8}"/>
    <cellStyle name="s_DCF Inputs_Brenner_Draft reporting v7 032509" xfId="2570" xr:uid="{8BB849DD-EADF-4D73-B9B4-08B95E3754F4}"/>
    <cellStyle name="s_DCF Inputs_CCC-Renewal Model April 2003.v3" xfId="2571" xr:uid="{11F07C47-34AB-4239-BD00-63B6B837894D}"/>
    <cellStyle name="s_DCF Inputs_CCC-Renewal Model April 2003.v3_Book1" xfId="2572" xr:uid="{7BA81D47-A35E-4A39-BC00-B6B43C8D64BD}"/>
    <cellStyle name="s_DCF Inputs_CCC-Renewal Model April 2003.v3_Draft reporting v4 031709" xfId="2573" xr:uid="{91B189CF-E66A-48CA-859F-2C55B9EC3194}"/>
    <cellStyle name="s_DCF Inputs_CCC-Renewal Model April 2003.v3_Draft reporting v6 031909" xfId="2574" xr:uid="{069E059D-1856-426E-9901-EF8FFB04062B}"/>
    <cellStyle name="s_DCF Inputs_CCC-Renewal Model April 2003.v3_Draft reporting v7 032509" xfId="2575" xr:uid="{27D54AC4-4ACB-42F7-9E68-92AB31449BF8}"/>
    <cellStyle name="s_DCF Inputs_DCF" xfId="2576" xr:uid="{8B620ADA-13D1-4916-B6E9-A51D2DAB800D}"/>
    <cellStyle name="s_DCF Inputs_DCF_Book1" xfId="2577" xr:uid="{BC7D0BAF-A6E1-4553-88AB-C8FA45EBA850}"/>
    <cellStyle name="s_DCF Inputs_DCF_Draft reporting v4 031709" xfId="2578" xr:uid="{0B75F4A6-D20A-46F6-830F-93A10A791DFF}"/>
    <cellStyle name="s_DCF Inputs_DCF_Draft reporting v6 031909" xfId="2579" xr:uid="{7E3FE086-E750-4A12-B290-B64E03390B94}"/>
    <cellStyle name="s_DCF Inputs_DCF_Draft reporting v7 032509" xfId="2580" xr:uid="{E00C7C13-F4B7-42CE-95CC-0BF9CA0CBCBE}"/>
    <cellStyle name="s_DCF Inputs_Draft reporting v4 031709" xfId="2581" xr:uid="{B9DBE8C6-7C31-4FC5-B8DF-49B64976811B}"/>
    <cellStyle name="s_DCF Inputs_Draft reporting v6 031909" xfId="2582" xr:uid="{A69A00DE-DC6C-4211-AFDF-209C98007F41}"/>
    <cellStyle name="s_DCF Inputs_Draft reporting v7 032509" xfId="2583" xr:uid="{5C518A84-A806-4BAD-A651-0B6607888650}"/>
    <cellStyle name="s_DCF Inputs_Globemedia Model v_4" xfId="2584" xr:uid="{FE7AE15A-D036-498B-BF7B-A455DE2E6BE3}"/>
    <cellStyle name="s_DCF Inputs_Globemedia Model v_4_Book1" xfId="2585" xr:uid="{8890ABC4-60CC-42E6-843A-5544296A692C}"/>
    <cellStyle name="s_DCF Inputs_Globemedia Model v_4_Draft reporting v4 031709" xfId="2586" xr:uid="{EBD4FDAA-7D42-4075-AA3D-83A3D6BABB60}"/>
    <cellStyle name="s_DCF Inputs_Globemedia Model v_4_Draft reporting v6 031909" xfId="2587" xr:uid="{CFD7823F-C342-4C8F-ADBB-BA1FCA8DBADF}"/>
    <cellStyle name="s_DCF Inputs_Globemedia Model v_4_Draft reporting v7 032509" xfId="2588" xr:uid="{465B117F-1027-4DF0-8470-AF5C99EEBB8F}"/>
    <cellStyle name="s_DCF Inputs_Inco LBO" xfId="2589" xr:uid="{39B4B95A-059E-4DFB-A987-B002924D0A4A}"/>
    <cellStyle name="s_DCF Inputs_Inco LBO_Book1" xfId="2590" xr:uid="{58E8CAD4-7900-459F-A672-5B1ED9FDCBCB}"/>
    <cellStyle name="s_DCF Inputs_Inco LBO_Draft reporting v4 031709" xfId="2591" xr:uid="{7C3B2FBF-3DCF-4839-945B-6EBDC454A898}"/>
    <cellStyle name="s_DCF Inputs_Inco LBO_Draft reporting v6 031909" xfId="2592" xr:uid="{CF0AB01B-E95F-4EBE-BA88-84E4E5A37002}"/>
    <cellStyle name="s_DCF Inputs_Inco LBO_Draft reporting v7 032509" xfId="2593" xr:uid="{EFAC092E-6469-4D1F-9025-2500B7336F8F}"/>
    <cellStyle name="s_DCF Inputs_Merger model" xfId="2594" xr:uid="{C48B7CE6-9724-46B6-B6C2-063BB6BF1892}"/>
    <cellStyle name="s_DCF Inputs_Merger model_Book1" xfId="2595" xr:uid="{1E393FB5-2C16-44C0-9AD0-AF51BAF55A07}"/>
    <cellStyle name="s_DCF Inputs_Merger model_Draft reporting v4 031709" xfId="2596" xr:uid="{620B063D-2DE9-4DB1-BAD4-6EA4692D5EF7}"/>
    <cellStyle name="s_DCF Inputs_Merger model_Draft reporting v6 031909" xfId="2597" xr:uid="{37CD1123-FEA0-4896-AA6F-78621ECBC2CE}"/>
    <cellStyle name="s_DCF Inputs_Merger model_Draft reporting v7 032509" xfId="2598" xr:uid="{8DAC6F1A-EAE4-4D91-A15F-8469FBF7A2AA}"/>
    <cellStyle name="s_DCF Inputs_TRU Domestic v2" xfId="2599" xr:uid="{0245B9DC-90A8-44A2-A45F-38B7B6B6BA13}"/>
    <cellStyle name="s_DCF Inputs_TRU Domestic v2_Book1" xfId="2600" xr:uid="{D92070C1-75C0-4EA3-BD66-E932691FD8C0}"/>
    <cellStyle name="s_DCF Inputs_TRU Domestic v2_Draft reporting v4 031709" xfId="2601" xr:uid="{F7F4FFD9-1077-4436-9E78-1611C9000CB4}"/>
    <cellStyle name="s_DCF Inputs_TRU Domestic v2_Draft reporting v6 031909" xfId="2602" xr:uid="{D0918AC9-BEC4-456B-A62C-C37F02C40B39}"/>
    <cellStyle name="s_DCF Inputs_TRU Domestic v2_Draft reporting v7 032509" xfId="2603" xr:uid="{87EEA403-5BD4-473C-8F04-369BB2F39DCC}"/>
    <cellStyle name="s_DCF LBO model" xfId="2604" xr:uid="{1E69B0A7-A6B5-463D-8C47-95D6D67AF0F4}"/>
    <cellStyle name="s_DCF LBO model 10-18-00" xfId="2605" xr:uid="{D86DC3A1-4939-4C61-85DF-7456660A486E}"/>
    <cellStyle name="s_DCF LBO model 10-18-00_1" xfId="2606" xr:uid="{678671A4-18AE-4DB0-8220-58FD7A85A94B}"/>
    <cellStyle name="s_DCF LBO model 10-18-00_1_Book1" xfId="2607" xr:uid="{FE312F32-A1EF-4C62-9726-91D3D9A504B4}"/>
    <cellStyle name="s_DCF LBO model 10-18-00_1_Draft reporting v4 031709" xfId="2608" xr:uid="{6E06B8C1-5990-4214-8CFE-A1A963D4DBAB}"/>
    <cellStyle name="s_DCF LBO model 10-18-00_1_Draft reporting v6 031909" xfId="2609" xr:uid="{883A27AF-B8C0-441C-9DE7-216617863F4A}"/>
    <cellStyle name="s_DCF LBO model 10-18-00_1_Draft reporting v7 032509" xfId="2610" xr:uid="{FD0F5A8D-1466-4A28-8DC1-84BC23660E4F}"/>
    <cellStyle name="s_DCF LBO model 10-18-00_Book1" xfId="2611" xr:uid="{25AC6C0D-E0D3-409F-B9E8-93A54116B5AC}"/>
    <cellStyle name="s_DCF LBO model 10-18-00_Draft reporting v4 031709" xfId="2612" xr:uid="{5FBA8B53-F889-4220-B3A2-212F9F9AD164}"/>
    <cellStyle name="s_DCF LBO model 10-18-00_Draft reporting v6 031909" xfId="2613" xr:uid="{572110CD-A4E3-49E3-97E2-C70D4F5AB1D7}"/>
    <cellStyle name="s_DCF LBO model 10-18-00_Draft reporting v7 032509" xfId="2614" xr:uid="{C5D13E62-22C6-4C31-8F3D-3AD45545BDB2}"/>
    <cellStyle name="s_DCF LBO model_1" xfId="2615" xr:uid="{12B413CC-C5F8-4F3C-9E39-2BB3AD971328}"/>
    <cellStyle name="s_DCF LBO model_1_Book1" xfId="2616" xr:uid="{95E464F8-66FC-4346-82B9-1B9EA55D0E27}"/>
    <cellStyle name="s_DCF LBO model_1_Draft reporting v4 031709" xfId="2617" xr:uid="{BFBE183A-28B4-41D4-BAF0-93258AE6C378}"/>
    <cellStyle name="s_DCF LBO model_1_Draft reporting v6 031909" xfId="2618" xr:uid="{AA4C86C9-E033-4C85-9999-C6DB9BB118B2}"/>
    <cellStyle name="s_DCF LBO model_1_Draft reporting v7 032509" xfId="2619" xr:uid="{ED8707EB-AE92-4F05-A613-D23051267458}"/>
    <cellStyle name="s_DCF LBO model_Book1" xfId="2620" xr:uid="{50230A0D-E30A-4C98-9A24-7E476D19C86E}"/>
    <cellStyle name="s_DCF LBO model_Draft reporting v4 031709" xfId="2621" xr:uid="{06D3EB96-3EAA-4EFE-B6C0-598EC62A5731}"/>
    <cellStyle name="s_DCF LBO model_Draft reporting v6 031909" xfId="2622" xr:uid="{E3E9D45D-F0FA-4BD0-9AB8-D8606D8B1552}"/>
    <cellStyle name="s_DCF LBO model_Draft reporting v7 032509" xfId="2623" xr:uid="{329587C5-13E2-4D4C-ACBB-B1E9CBED4EBF}"/>
    <cellStyle name="s_DCF Matrix" xfId="2624" xr:uid="{2E272DD0-FEB1-4587-91C5-17813526A185}"/>
    <cellStyle name="s_DCF Matrix (2)" xfId="2625" xr:uid="{E3D457FD-A44B-4338-8187-0C39C920DF8F}"/>
    <cellStyle name="s_DCF Matrix (2)_1" xfId="2626" xr:uid="{C839DFB6-067E-411B-B72B-C9E648671BFD}"/>
    <cellStyle name="s_DCF Matrix (2)_1_Book1" xfId="2627" xr:uid="{1D8E07D1-0FF3-4CD9-BDDA-2180AF981A4E}"/>
    <cellStyle name="s_DCF Matrix (2)_1_Draft reporting v4 031709" xfId="2628" xr:uid="{F19D6BD2-2500-4A2A-8C82-0742AC31AD64}"/>
    <cellStyle name="s_DCF Matrix (2)_1_Draft reporting v6 031909" xfId="2629" xr:uid="{A7735850-267A-47DA-9A87-447F0D434085}"/>
    <cellStyle name="s_DCF Matrix (2)_1_Draft reporting v7 032509" xfId="2630" xr:uid="{2741B49B-7E9A-4947-9DE9-8BF48B101F3C}"/>
    <cellStyle name="s_DCF Matrix (2)_2" xfId="2631" xr:uid="{ED00DE3A-867C-4650-9C11-4F8D70D8D306}"/>
    <cellStyle name="s_DCF Matrix (2)_2_Book1" xfId="2632" xr:uid="{28978ADF-2F01-4FE8-BF67-FA7DEF2E6A13}"/>
    <cellStyle name="s_DCF Matrix (2)_2_Celtic DCF" xfId="2633" xr:uid="{F84502B7-8AC2-4845-83FB-759DCAECA01D}"/>
    <cellStyle name="s_DCF Matrix (2)_2_Celtic DCF Inputs" xfId="2634" xr:uid="{8050BC35-1C3C-4791-9FD6-BDC62E0C487E}"/>
    <cellStyle name="s_DCF Matrix (2)_2_Celtic DCF Inputs_Book1" xfId="2635" xr:uid="{7E32E658-F9C1-471F-AEBF-EBD4A45059E4}"/>
    <cellStyle name="s_DCF Matrix (2)_2_Celtic DCF Inputs_Draft reporting v4 031709" xfId="2636" xr:uid="{709C1EC9-C893-409F-BE68-DA6E6E4C2129}"/>
    <cellStyle name="s_DCF Matrix (2)_2_Celtic DCF Inputs_Draft reporting v6 031909" xfId="2637" xr:uid="{22F01C67-2DCA-45A7-A691-9CA81B0AE12D}"/>
    <cellStyle name="s_DCF Matrix (2)_2_Celtic DCF Inputs_Draft reporting v7 032509" xfId="2638" xr:uid="{10AB01B4-80F9-4405-94F2-149247D9F22C}"/>
    <cellStyle name="s_DCF Matrix (2)_2_Celtic DCF_Book1" xfId="2639" xr:uid="{B75F0A08-37C0-44AC-BC37-4C9DD07C828E}"/>
    <cellStyle name="s_DCF Matrix (2)_2_Celtic DCF_Draft reporting v4 031709" xfId="2640" xr:uid="{A8B59288-C326-4AA4-8B44-415143B8029E}"/>
    <cellStyle name="s_DCF Matrix (2)_2_Celtic DCF_Draft reporting v6 031909" xfId="2641" xr:uid="{134330FA-CD01-45BC-97AE-688FD33E8921}"/>
    <cellStyle name="s_DCF Matrix (2)_2_Celtic DCF_Draft reporting v7 032509" xfId="2642" xr:uid="{B2432667-BBE5-4155-8E8E-918D800B978F}"/>
    <cellStyle name="s_DCF Matrix (2)_2_Draft reporting v4 031709" xfId="2643" xr:uid="{1E7B1FA8-3A7E-42D7-A3F9-6D6CEC3E4890}"/>
    <cellStyle name="s_DCF Matrix (2)_2_Draft reporting v6 031909" xfId="2644" xr:uid="{2D934036-6ED4-47E6-A260-3FC65197DE4B}"/>
    <cellStyle name="s_DCF Matrix (2)_2_Draft reporting v7 032509" xfId="2645" xr:uid="{5B7D9314-3381-4308-A762-F3E9F35F6C79}"/>
    <cellStyle name="s_DCF Matrix (2)_2_Valuation Summary" xfId="2646" xr:uid="{5420CB83-7443-40B2-933E-3EF2CF9D2AE2}"/>
    <cellStyle name="s_DCF Matrix (2)_2_Valuation Summary_Book1" xfId="2647" xr:uid="{FFCF120E-4D1D-48D7-A71B-A08C3461BA39}"/>
    <cellStyle name="s_DCF Matrix (2)_2_Valuation Summary_Draft reporting v4 031709" xfId="2648" xr:uid="{50ED7166-FEFE-48FF-AD0C-7168D7C1C2A2}"/>
    <cellStyle name="s_DCF Matrix (2)_2_Valuation Summary_Draft reporting v6 031909" xfId="2649" xr:uid="{09F85ED2-5A86-4254-BFB5-84BF6D4E9C5D}"/>
    <cellStyle name="s_DCF Matrix (2)_2_Valuation Summary_Draft reporting v7 032509" xfId="2650" xr:uid="{0100D13D-8FBC-49F0-85D9-38AFE9294C9B}"/>
    <cellStyle name="s_DCF Matrix (2)_Book1" xfId="2651" xr:uid="{5F75F7C8-D314-40F0-ADF4-7E38DD7789B0}"/>
    <cellStyle name="s_DCF Matrix (2)_Draft reporting v4 031709" xfId="2652" xr:uid="{27463E17-990D-4436-A8D3-984143489C5F}"/>
    <cellStyle name="s_DCF Matrix (2)_Draft reporting v6 031909" xfId="2653" xr:uid="{9D35280C-1F12-4496-B74E-630F0113A73C}"/>
    <cellStyle name="s_DCF Matrix (2)_Draft reporting v7 032509" xfId="2654" xr:uid="{128DF6A2-105F-4945-8A47-541B5C19353B}"/>
    <cellStyle name="s_DCF Matrix_1" xfId="2655" xr:uid="{30987430-ECB4-40A0-BA0E-EB264EA6B1C5}"/>
    <cellStyle name="s_DCF Matrix_1_AM0909" xfId="2656" xr:uid="{01594050-7318-48BE-8A60-EA31B6CF2AB7}"/>
    <cellStyle name="s_DCF Matrix_1_AM0909_Book1" xfId="2657" xr:uid="{4B65FC84-2DB4-4347-9916-DA2086D377E2}"/>
    <cellStyle name="s_DCF Matrix_1_AM0909_Draft reporting v4 031709" xfId="2658" xr:uid="{55D6178F-57EE-417B-97EB-E06C7F709153}"/>
    <cellStyle name="s_DCF Matrix_1_AM0909_Draft reporting v6 031909" xfId="2659" xr:uid="{55BD1E07-5D5F-4D22-9F48-4CAADB669B4B}"/>
    <cellStyle name="s_DCF Matrix_1_AM0909_Draft reporting v7 032509" xfId="2660" xr:uid="{4C9FCDF1-D0F4-490D-B87C-A9DCD0473FC7}"/>
    <cellStyle name="s_DCF Matrix_1_Book1" xfId="2661" xr:uid="{38B33080-3960-4569-863B-1BF8057746ED}"/>
    <cellStyle name="s_DCF Matrix_1_Brenner" xfId="2662" xr:uid="{6494062C-BA6B-4C2B-8C22-2F75D0906384}"/>
    <cellStyle name="s_DCF Matrix_1_Brenner_Book1" xfId="2663" xr:uid="{51AA145B-D7E5-4C2D-93EA-47EC513D2A7C}"/>
    <cellStyle name="s_DCF Matrix_1_Brenner_Draft reporting v4 031709" xfId="2664" xr:uid="{773C5761-9DAB-4132-8002-AF729079E2CA}"/>
    <cellStyle name="s_DCF Matrix_1_Brenner_Draft reporting v6 031909" xfId="2665" xr:uid="{0F96FF12-4480-42E6-A46F-2E2F1B6FF2B2}"/>
    <cellStyle name="s_DCF Matrix_1_Brenner_Draft reporting v7 032509" xfId="2666" xr:uid="{4F2163E2-3B16-4D5A-8D4B-F2D3ADDBBA66}"/>
    <cellStyle name="s_DCF Matrix_1_CCC-Renewal Model April 2003.v3" xfId="2667" xr:uid="{FBC3EB37-02B1-4D8D-B477-F52D7BD09F47}"/>
    <cellStyle name="s_DCF Matrix_1_CCC-Renewal Model April 2003.v3_Book1" xfId="2668" xr:uid="{9DC791A1-F9E3-46AD-B5A8-3ECBF4B14558}"/>
    <cellStyle name="s_DCF Matrix_1_CCC-Renewal Model April 2003.v3_Draft reporting v4 031709" xfId="2669" xr:uid="{E027935B-0CC3-4328-9E43-F82220C7B8EE}"/>
    <cellStyle name="s_DCF Matrix_1_CCC-Renewal Model April 2003.v3_Draft reporting v6 031909" xfId="2670" xr:uid="{BBC0A808-E0EE-45C0-BBAD-1CEA05BF01B6}"/>
    <cellStyle name="s_DCF Matrix_1_CCC-Renewal Model April 2003.v3_Draft reporting v7 032509" xfId="2671" xr:uid="{DA1470E6-DD02-4BB4-9D74-64E32A8CE7B8}"/>
    <cellStyle name="s_DCF Matrix_1_DCF" xfId="2672" xr:uid="{1E9BBA37-3C02-4100-A37A-BCE731DC48DA}"/>
    <cellStyle name="s_DCF Matrix_1_DCF_Book1" xfId="2673" xr:uid="{130E3521-5DED-4BBF-AEBC-6A0B192631E1}"/>
    <cellStyle name="s_DCF Matrix_1_DCF_Draft reporting v4 031709" xfId="2674" xr:uid="{02E987CA-F063-4467-80A5-C65A62DD4883}"/>
    <cellStyle name="s_DCF Matrix_1_DCF_Draft reporting v6 031909" xfId="2675" xr:uid="{DC3EDEDD-9D4D-4B4C-AE9C-5D63CD304F3B}"/>
    <cellStyle name="s_DCF Matrix_1_DCF_Draft reporting v7 032509" xfId="2676" xr:uid="{9C79EF05-B7D1-469B-87FB-53F2314EC15D}"/>
    <cellStyle name="s_DCF Matrix_1_Draft reporting v4 031709" xfId="2677" xr:uid="{9EFC943D-8B71-44BA-AC4B-0C96DE3020F4}"/>
    <cellStyle name="s_DCF Matrix_1_Draft reporting v6 031909" xfId="2678" xr:uid="{94240939-EE52-4FDB-AC22-CDC90D47C2C9}"/>
    <cellStyle name="s_DCF Matrix_1_Draft reporting v7 032509" xfId="2679" xr:uid="{6F949192-958E-4D3F-A153-5410DD32AC70}"/>
    <cellStyle name="s_DCF Matrix_1_Globemedia Model v_4" xfId="2680" xr:uid="{A4E0C275-0561-4AC0-AFC2-8993551069BC}"/>
    <cellStyle name="s_DCF Matrix_1_Globemedia Model v_4_Book1" xfId="2681" xr:uid="{AD527418-333A-4770-AAFA-80D2C6710B96}"/>
    <cellStyle name="s_DCF Matrix_1_Globemedia Model v_4_Draft reporting v4 031709" xfId="2682" xr:uid="{96CE7E10-1FFE-418A-80A5-28DAC2B5EE7C}"/>
    <cellStyle name="s_DCF Matrix_1_Globemedia Model v_4_Draft reporting v6 031909" xfId="2683" xr:uid="{E70E6DED-66D3-4D57-B495-C4DC87BF4C17}"/>
    <cellStyle name="s_DCF Matrix_1_Globemedia Model v_4_Draft reporting v7 032509" xfId="2684" xr:uid="{E0617775-919F-423F-A8E4-53C0568FDD01}"/>
    <cellStyle name="s_DCF Matrix_1_Inco LBO" xfId="2685" xr:uid="{8EF41477-82A5-4DC3-ADAD-BE3F3064B01A}"/>
    <cellStyle name="s_DCF Matrix_1_Inco LBO_Book1" xfId="2686" xr:uid="{C4F45BC1-7D27-4D83-89DD-52C617267D25}"/>
    <cellStyle name="s_DCF Matrix_1_Inco LBO_Draft reporting v4 031709" xfId="2687" xr:uid="{E8FBB64E-83DA-4180-A9EA-B44844DA242E}"/>
    <cellStyle name="s_DCF Matrix_1_Inco LBO_Draft reporting v6 031909" xfId="2688" xr:uid="{681E94D8-5B35-4FC7-AB5D-4EC66CDC42C5}"/>
    <cellStyle name="s_DCF Matrix_1_Inco LBO_Draft reporting v7 032509" xfId="2689" xr:uid="{09812692-E00D-4AB4-AC4D-8EEE98460855}"/>
    <cellStyle name="s_DCF Matrix_1_IPO" xfId="2690" xr:uid="{6861E51B-9923-43C6-969F-AFC93EEE769C}"/>
    <cellStyle name="s_DCF Matrix_1_IPO_Book1" xfId="2691" xr:uid="{16CDEE5F-29B7-47D2-ABDF-9FADE4A3CA92}"/>
    <cellStyle name="s_DCF Matrix_1_IPO_Draft reporting v4 031709" xfId="2692" xr:uid="{782F2327-206F-4A8D-BFDD-ACC875FD0C70}"/>
    <cellStyle name="s_DCF Matrix_1_IPO_Draft reporting v6 031909" xfId="2693" xr:uid="{926E41FF-A52D-4FB8-9048-EB4EBA655037}"/>
    <cellStyle name="s_DCF Matrix_1_IPO_Draft reporting v7 032509" xfId="2694" xr:uid="{9DD417FF-6474-4D97-93B5-0ACD75D5951F}"/>
    <cellStyle name="s_DCF Matrix_1_Ireland Model 3-24" xfId="2695" xr:uid="{99D21CB0-925F-4C6D-92F9-ADB104EF6A4D}"/>
    <cellStyle name="s_DCF Matrix_1_Ireland Model 3-24_Book1" xfId="2696" xr:uid="{5709BC92-57B2-442A-8EE6-6C727346C30D}"/>
    <cellStyle name="s_DCF Matrix_1_Ireland Model 3-24_Draft reporting v4 031709" xfId="2697" xr:uid="{BE44D90C-8273-40DF-A49C-7FAE4C26A31B}"/>
    <cellStyle name="s_DCF Matrix_1_Ireland Model 3-24_Draft reporting v6 031909" xfId="2698" xr:uid="{4D462132-682D-4BCE-A199-3EAACB12FAEC}"/>
    <cellStyle name="s_DCF Matrix_1_Ireland Model 3-24_Draft reporting v7 032509" xfId="2699" xr:uid="{67297036-44EE-4065-9744-BFBA239943CF}"/>
    <cellStyle name="s_DCF Matrix_1_MiniMerger7" xfId="2700" xr:uid="{A5C6E28A-6793-43D1-B187-5A38E9C404FA}"/>
    <cellStyle name="s_DCF Matrix_1_MiniMerger7_Book1" xfId="2701" xr:uid="{310E65DE-2118-4217-BB2A-3D71DF001270}"/>
    <cellStyle name="s_DCF Matrix_1_MiniMerger7_Draft reporting v4 031709" xfId="2702" xr:uid="{32376723-2D0C-4946-80B3-CDDC6268A03A}"/>
    <cellStyle name="s_DCF Matrix_1_MiniMerger7_Draft reporting v6 031909" xfId="2703" xr:uid="{552A6729-75DD-4BFF-A607-AC31A4F2AA40}"/>
    <cellStyle name="s_DCF Matrix_1_MiniMerger7_Draft reporting v7 032509" xfId="2704" xr:uid="{3DFAADF0-29EF-4B90-BD97-5F2D6078B5FC}"/>
    <cellStyle name="s_DCF Matrix_1_TRU Domestic v2" xfId="2705" xr:uid="{451B8B0B-DF68-4983-8008-E94E001B3F08}"/>
    <cellStyle name="s_DCF Matrix_1_TRU Domestic v2_Book1" xfId="2706" xr:uid="{E91E297E-FCC5-481A-9717-21A6851CD276}"/>
    <cellStyle name="s_DCF Matrix_1_TRU Domestic v2_Draft reporting v4 031709" xfId="2707" xr:uid="{D27E8419-A7BB-46F7-A009-22C3F5E556AC}"/>
    <cellStyle name="s_DCF Matrix_1_TRU Domestic v2_Draft reporting v6 031909" xfId="2708" xr:uid="{267855AA-0A8A-4A42-B773-853010630DB6}"/>
    <cellStyle name="s_DCF Matrix_1_TRU Domestic v2_Draft reporting v7 032509" xfId="2709" xr:uid="{D898A33C-680A-480C-8AC0-B2900350CCF5}"/>
    <cellStyle name="s_DCF Matrix_2" xfId="2710" xr:uid="{3B24B6C6-C543-42A9-89C9-F0E1A38D08FF}"/>
    <cellStyle name="s_DCF Matrix_2_AM0909" xfId="2711" xr:uid="{CB39E292-B2B0-4174-ADFF-1F3CBEE3EFDF}"/>
    <cellStyle name="s_DCF Matrix_2_AM0909_Book1" xfId="2712" xr:uid="{3C327B67-40AF-4E4C-B1B1-5B495CBF33D5}"/>
    <cellStyle name="s_DCF Matrix_2_AM0909_Draft reporting v4 031709" xfId="2713" xr:uid="{716B490C-AF38-45AA-8E6C-20A5B291A175}"/>
    <cellStyle name="s_DCF Matrix_2_AM0909_Draft reporting v6 031909" xfId="2714" xr:uid="{271AF096-9A05-43E3-AB1E-EA941E38B95C}"/>
    <cellStyle name="s_DCF Matrix_2_AM0909_Draft reporting v7 032509" xfId="2715" xr:uid="{E9D48E9C-6546-4FD7-B0D3-0BB241FFB366}"/>
    <cellStyle name="s_DCF Matrix_2_Book1" xfId="2716" xr:uid="{89D1A920-DB2B-4087-946E-1CE68FDB5FE2}"/>
    <cellStyle name="s_DCF Matrix_2_Brenner" xfId="2717" xr:uid="{BA7185CB-A060-4271-8952-ED5EBAE79F62}"/>
    <cellStyle name="s_DCF Matrix_2_Brenner_Book1" xfId="2718" xr:uid="{9F26BDF0-440B-4725-B28F-2D1C7133560F}"/>
    <cellStyle name="s_DCF Matrix_2_Brenner_Draft reporting v4 031709" xfId="2719" xr:uid="{12325A6C-6E22-4E39-A5FA-F95FEF41961D}"/>
    <cellStyle name="s_DCF Matrix_2_Brenner_Draft reporting v6 031909" xfId="2720" xr:uid="{E05BFE5A-980A-4E12-8C98-6097BBE55CFC}"/>
    <cellStyle name="s_DCF Matrix_2_Brenner_Draft reporting v7 032509" xfId="2721" xr:uid="{E5D52447-C551-4F17-836A-445F2F38F4C0}"/>
    <cellStyle name="s_DCF Matrix_2_Draft reporting v4 031709" xfId="2722" xr:uid="{563C5BA0-E788-40B9-876C-D2A002FF6696}"/>
    <cellStyle name="s_DCF Matrix_2_Draft reporting v6 031909" xfId="2723" xr:uid="{035A7133-87ED-422C-9594-708AA5A6F220}"/>
    <cellStyle name="s_DCF Matrix_2_Draft reporting v7 032509" xfId="2724" xr:uid="{FD009915-B134-4826-A6B5-8BFE975F0E67}"/>
    <cellStyle name="s_DCF Matrix_Book1" xfId="2725" xr:uid="{89086D81-85DE-4C17-BFF3-D4BBAA4492C4}"/>
    <cellStyle name="s_DCF Matrix_CCC-Renewal Model April 2003.v3" xfId="2726" xr:uid="{A11B4ECA-2B55-4185-AE19-3D129F03BFAE}"/>
    <cellStyle name="s_DCF Matrix_CCC-Renewal Model April 2003.v3_Book1" xfId="2727" xr:uid="{7F35E435-2EF4-4245-ABF4-8BB9ECD72200}"/>
    <cellStyle name="s_DCF Matrix_CCC-Renewal Model April 2003.v3_Draft reporting v4 031709" xfId="2728" xr:uid="{7C45BEA5-C45F-4AAE-A5B2-3E0E40559E75}"/>
    <cellStyle name="s_DCF Matrix_CCC-Renewal Model April 2003.v3_Draft reporting v6 031909" xfId="2729" xr:uid="{D76D4706-19B9-4083-A0C1-3466938D8A68}"/>
    <cellStyle name="s_DCF Matrix_CCC-Renewal Model April 2003.v3_Draft reporting v7 032509" xfId="2730" xr:uid="{42DD54C2-C5C4-4194-8448-C9A3F048FDC0}"/>
    <cellStyle name="s_DCF Matrix_DCF" xfId="2731" xr:uid="{828A2BE2-3CD2-4A7F-B15A-9D7C040EEFF2}"/>
    <cellStyle name="s_DCF Matrix_DCF_Book1" xfId="2732" xr:uid="{1DFDE8E0-B981-40F4-A1EF-13699942B896}"/>
    <cellStyle name="s_DCF Matrix_DCF_Draft reporting v4 031709" xfId="2733" xr:uid="{B83C5989-0DF2-47F9-88F4-F52070FA05E2}"/>
    <cellStyle name="s_DCF Matrix_DCF_Draft reporting v6 031909" xfId="2734" xr:uid="{F6DBB6C2-7DF9-4C45-838F-EB9EF7773B2C}"/>
    <cellStyle name="s_DCF Matrix_DCF_Draft reporting v7 032509" xfId="2735" xr:uid="{3D76FBAF-AB4F-4524-8204-18C3DBE2FFDC}"/>
    <cellStyle name="s_DCF Matrix_Draft reporting v4 031709" xfId="2736" xr:uid="{EA0DD52A-47DA-4A26-8CE4-F3E454655CC1}"/>
    <cellStyle name="s_DCF Matrix_Draft reporting v6 031909" xfId="2737" xr:uid="{E1DFAD3A-000E-4CDD-8927-C119429A0CF8}"/>
    <cellStyle name="s_DCF Matrix_Draft reporting v7 032509" xfId="2738" xr:uid="{91E6BD4E-FC7B-4658-85E1-22A9022611C5}"/>
    <cellStyle name="s_DCF Matrix_Globemedia Model v_4" xfId="2739" xr:uid="{8B790A4A-D36A-4C97-AEEA-80B45F0AD7A9}"/>
    <cellStyle name="s_DCF Matrix_Globemedia Model v_4_Book1" xfId="2740" xr:uid="{4FDB27B0-1D66-461D-86D7-25120CEAEF7E}"/>
    <cellStyle name="s_DCF Matrix_Globemedia Model v_4_Draft reporting v4 031709" xfId="2741" xr:uid="{4B004E68-BCCC-4594-9255-A18D548353CB}"/>
    <cellStyle name="s_DCF Matrix_Globemedia Model v_4_Draft reporting v6 031909" xfId="2742" xr:uid="{D9A00D44-F3B3-4BE5-948B-EF0088BEF182}"/>
    <cellStyle name="s_DCF Matrix_Globemedia Model v_4_Draft reporting v7 032509" xfId="2743" xr:uid="{C0252E0E-868A-4E72-859C-FEB20C6127D6}"/>
    <cellStyle name="s_DCF Matrix_Inco LBO" xfId="2744" xr:uid="{1F3781AC-A223-4CE6-9324-DA591F7DCE78}"/>
    <cellStyle name="s_DCF Matrix_Inco LBO_Book1" xfId="2745" xr:uid="{382E9E4D-3AD5-42CB-B07D-BD841B578A7A}"/>
    <cellStyle name="s_DCF Matrix_Inco LBO_Draft reporting v4 031709" xfId="2746" xr:uid="{103E5654-BBC8-40A8-BCDC-1F6CAEEA230B}"/>
    <cellStyle name="s_DCF Matrix_Inco LBO_Draft reporting v6 031909" xfId="2747" xr:uid="{FAAA0FBE-BA94-4E89-A8A7-DCFE5868E4C4}"/>
    <cellStyle name="s_DCF Matrix_Inco LBO_Draft reporting v7 032509" xfId="2748" xr:uid="{AB1C6857-84D4-4419-A4DF-CC81D08F5629}"/>
    <cellStyle name="s_DCF Matrix_IPO" xfId="2749" xr:uid="{8C992FF9-F4CF-498B-9862-591B601BBB24}"/>
    <cellStyle name="s_DCF Matrix_IPO_Book1" xfId="2750" xr:uid="{2B54042E-229E-4893-8D4B-E1C8C0B050A8}"/>
    <cellStyle name="s_DCF Matrix_IPO_Draft reporting v4 031709" xfId="2751" xr:uid="{4313B057-F2C8-442D-AC87-A805B4AE3476}"/>
    <cellStyle name="s_DCF Matrix_IPO_Draft reporting v6 031909" xfId="2752" xr:uid="{78370F0A-2155-4C02-8BBE-048CDF4D8174}"/>
    <cellStyle name="s_DCF Matrix_IPO_Draft reporting v7 032509" xfId="2753" xr:uid="{96521231-D907-4C7C-86FB-A5B6F2A423A9}"/>
    <cellStyle name="s_DCF Matrix_Ireland Model 3-24" xfId="2754" xr:uid="{77DB0165-E9E6-4720-8584-5651B94F7805}"/>
    <cellStyle name="s_DCF Matrix_Ireland Model 3-24_Book1" xfId="2755" xr:uid="{00F698F5-4FB7-4E5B-A420-BF7C510EDBE5}"/>
    <cellStyle name="s_DCF Matrix_Ireland Model 3-24_Draft reporting v4 031709" xfId="2756" xr:uid="{F16AD17E-4C93-4640-8AB0-E3031AB29DC7}"/>
    <cellStyle name="s_DCF Matrix_Ireland Model 3-24_Draft reporting v6 031909" xfId="2757" xr:uid="{ED6D1678-DB28-48C0-9D9C-1786D6A7BF17}"/>
    <cellStyle name="s_DCF Matrix_Ireland Model 3-24_Draft reporting v7 032509" xfId="2758" xr:uid="{B4B71E40-1CB6-492F-B773-EE4210E0F453}"/>
    <cellStyle name="s_DCF Matrix_MiniMerger7" xfId="2759" xr:uid="{73286EFD-7480-4722-8715-BEA05B942DAC}"/>
    <cellStyle name="s_DCF Matrix_MiniMerger7_Book1" xfId="2760" xr:uid="{07C2B052-718E-41E5-BDD1-38F12FE9D635}"/>
    <cellStyle name="s_DCF Matrix_MiniMerger7_Draft reporting v4 031709" xfId="2761" xr:uid="{974A4CE2-71C3-47BF-B32B-736E1F92C230}"/>
    <cellStyle name="s_DCF Matrix_MiniMerger7_Draft reporting v6 031909" xfId="2762" xr:uid="{183E68AB-0346-436E-95FD-0D59A9E5D523}"/>
    <cellStyle name="s_DCF Matrix_MiniMerger7_Draft reporting v7 032509" xfId="2763" xr:uid="{1E1E21CA-1307-4100-A1A3-C119B97DB159}"/>
    <cellStyle name="s_DCF Matrix_REVISE24" xfId="2764" xr:uid="{BCA3E700-4F48-4FB2-87AD-6B1485C1ACF5}"/>
    <cellStyle name="s_DCF Matrix_REVISE24_Book1" xfId="2765" xr:uid="{B754371D-18E1-4ECC-BC3F-6F06F7C5C8DF}"/>
    <cellStyle name="s_DCF Matrix_REVISE24_Draft reporting v4 031709" xfId="2766" xr:uid="{D0127C01-B4F0-4333-8F27-87D70EF0AC42}"/>
    <cellStyle name="s_DCF Matrix_REVISE24_Draft reporting v6 031909" xfId="2767" xr:uid="{90A35A30-F7E9-4AC2-A0F4-486F664BBCE0}"/>
    <cellStyle name="s_DCF Matrix_REVISE24_Draft reporting v7 032509" xfId="2768" xr:uid="{C5931270-5007-4367-B3C5-E59EB45A4E27}"/>
    <cellStyle name="s_DCF Matrix_TRU Domestic v2" xfId="2769" xr:uid="{243B8143-4C74-4BD7-ABC2-CE0BA6C958C0}"/>
    <cellStyle name="s_DCF Matrix_TRU Domestic v2_Book1" xfId="2770" xr:uid="{2A33C192-31B0-4780-A465-5AF89C336C63}"/>
    <cellStyle name="s_DCF Matrix_TRU Domestic v2_Draft reporting v4 031709" xfId="2771" xr:uid="{B104BEF2-1D5A-4721-BEE8-EBDD206774D7}"/>
    <cellStyle name="s_DCF Matrix_TRU Domestic v2_Draft reporting v6 031909" xfId="2772" xr:uid="{227F3DC3-4EAD-4431-8334-2222480B79C3}"/>
    <cellStyle name="s_DCF Matrix_TRU Domestic v2_Draft reporting v7 032509" xfId="2773" xr:uid="{763A6FB4-B270-4B43-B754-3052E2A1D267}"/>
    <cellStyle name="s_DCF_1" xfId="2774" xr:uid="{10CEEED0-19BB-43CE-8CEC-4F8B8BF3C37A}"/>
    <cellStyle name="s_DCF_1_Book1" xfId="2775" xr:uid="{B4C422BC-AEB7-42F1-AB70-3E5B4591026D}"/>
    <cellStyle name="s_DCF_1_Draft reporting v4 031709" xfId="2776" xr:uid="{8D887607-960E-4A74-8ED1-EEE0B5ADC9E6}"/>
    <cellStyle name="s_DCF_1_Draft reporting v6 031909" xfId="2777" xr:uid="{E0C06DCA-1D1F-4EF3-A3FD-4BF2833F1CFF}"/>
    <cellStyle name="s_DCF_1_Draft reporting v7 032509" xfId="2778" xr:uid="{39B70208-03F0-4415-9D13-D707A61ECD4D}"/>
    <cellStyle name="s_DCF_2" xfId="2779" xr:uid="{13BC1273-345A-49FF-8DFE-0A868A03CD68}"/>
    <cellStyle name="s_DCF_2_Book1" xfId="2780" xr:uid="{9DE8B7C5-A8D5-49BB-9E03-366BBAAFDFC3}"/>
    <cellStyle name="s_DCF_2_Draft reporting v4 031709" xfId="2781" xr:uid="{2097A0F7-33C0-41B0-A368-F3E75CBF7B3B}"/>
    <cellStyle name="s_DCF_2_Draft reporting v6 031909" xfId="2782" xr:uid="{1141D8EC-F5AE-489B-B3B4-787BDBA60D18}"/>
    <cellStyle name="s_DCF_2_Draft reporting v7 032509" xfId="2783" xr:uid="{BDFE3138-76C2-4A90-9421-912AA9D55D3F}"/>
    <cellStyle name="s_DCF_Book1" xfId="2784" xr:uid="{AFB05A54-8B93-4931-86F8-25A8BD321F52}"/>
    <cellStyle name="s_DCF_Draft reporting v4 031709" xfId="2785" xr:uid="{8EA6B35A-01D6-40B8-87A3-7013FE065474}"/>
    <cellStyle name="s_DCF_Draft reporting v6 031909" xfId="2786" xr:uid="{54F9737E-7EBD-4269-8F1A-73F72EDE74FA}"/>
    <cellStyle name="s_DCF_Draft reporting v7 032509" xfId="2787" xr:uid="{A968009D-99BE-483C-9D71-EDFB9712BEA6}"/>
    <cellStyle name="s_DCFLBO Code" xfId="2788" xr:uid="{A32D7FE0-806D-4824-A612-41CE44E147F7}"/>
    <cellStyle name="s_DCFLBO Code_1" xfId="2789" xr:uid="{5599FE64-D550-438E-A485-3B2424B68A1F}"/>
    <cellStyle name="s_DCFLBO Code_1_Book1" xfId="2790" xr:uid="{222FFDF3-181A-45C4-A8A0-47CE461356A8}"/>
    <cellStyle name="s_DCFLBO Code_1_Draft reporting v4 031709" xfId="2791" xr:uid="{8286C60C-E1EE-4044-8A64-D36054066693}"/>
    <cellStyle name="s_DCFLBO Code_1_Draft reporting v6 031909" xfId="2792" xr:uid="{EFE57D8C-E50C-4159-B127-BC0E6A2A94E1}"/>
    <cellStyle name="s_DCFLBO Code_1_Draft reporting v7 032509" xfId="2793" xr:uid="{C7903948-D0F9-439A-A04B-74C30EC72732}"/>
    <cellStyle name="s_DCFLBO Code_BOA_DCF_08" xfId="2794" xr:uid="{31F9D53E-1643-4BD3-8420-DA4B3E18D6F8}"/>
    <cellStyle name="s_DCFLBO Code_BOA_DCF_08_Book1" xfId="2795" xr:uid="{629181AA-B77E-4967-81B4-1027E539EC6B}"/>
    <cellStyle name="s_DCFLBO Code_BOA_DCF_08_Draft reporting v4 031709" xfId="2796" xr:uid="{8F433383-F84F-4989-B05A-1D452BF68F44}"/>
    <cellStyle name="s_DCFLBO Code_BOA_DCF_08_Draft reporting v6 031909" xfId="2797" xr:uid="{7075E3CF-217B-4860-BAE3-EEA691594F0F}"/>
    <cellStyle name="s_DCFLBO Code_BOA_DCF_08_Draft reporting v7 032509" xfId="2798" xr:uid="{0F041869-2512-407D-95A0-1B94D3808CE0}"/>
    <cellStyle name="s_DCFLBO Code_Book1" xfId="2799" xr:uid="{511BF58B-E481-4F98-90F8-B87457A9EB6D}"/>
    <cellStyle name="s_DCFLBO Code_Celtic DCF" xfId="2800" xr:uid="{F3410EAE-B946-4295-AB99-CE5728D6043F}"/>
    <cellStyle name="s_DCFLBO Code_Celtic DCF Inputs" xfId="2801" xr:uid="{E8E0DFAE-4BAA-410B-8317-64545F5D30FF}"/>
    <cellStyle name="s_DCFLBO Code_Celtic DCF Inputs_Book1" xfId="2802" xr:uid="{243807D1-EAA5-4C11-A51A-C9A53D58F1F1}"/>
    <cellStyle name="s_DCFLBO Code_Celtic DCF Inputs_Draft reporting v4 031709" xfId="2803" xr:uid="{CA038929-463D-45F8-B198-4EA70269B2E3}"/>
    <cellStyle name="s_DCFLBO Code_Celtic DCF Inputs_Draft reporting v6 031909" xfId="2804" xr:uid="{2698FD3D-29CE-4517-9ECB-32B78AFB2A90}"/>
    <cellStyle name="s_DCFLBO Code_Celtic DCF Inputs_Draft reporting v7 032509" xfId="2805" xr:uid="{F89C9253-50EA-4F7A-B2F3-622F6159FBCE}"/>
    <cellStyle name="s_DCFLBO Code_Celtic DCF_Book1" xfId="2806" xr:uid="{86575966-BA71-4D33-8F2E-47AC2746D699}"/>
    <cellStyle name="s_DCFLBO Code_Celtic DCF_Draft reporting v4 031709" xfId="2807" xr:uid="{7357AB5A-EC42-4CB1-8F0C-53A96366DE8D}"/>
    <cellStyle name="s_DCFLBO Code_Celtic DCF_Draft reporting v6 031909" xfId="2808" xr:uid="{96E486E7-A1C5-4A21-8CF0-3915235FC52F}"/>
    <cellStyle name="s_DCFLBO Code_Celtic DCF_Draft reporting v7 032509" xfId="2809" xr:uid="{D88FFE83-DF5E-4460-9685-CFCF3BB8D0F9}"/>
    <cellStyle name="s_DCFLBO Code_crystal model 051602" xfId="2810" xr:uid="{DD61AA10-AA55-4642-BD7E-A4525647C9B2}"/>
    <cellStyle name="s_DCFLBO Code_crystal model 051602_Book1" xfId="2811" xr:uid="{27B12E95-F1FD-4D56-98E4-37FE6C696A26}"/>
    <cellStyle name="s_DCFLBO Code_crystal model 051602_Draft reporting v4 031709" xfId="2812" xr:uid="{9B610A2E-115F-4E49-B7B1-8FA78719F80E}"/>
    <cellStyle name="s_DCFLBO Code_crystal model 051602_Draft reporting v6 031909" xfId="2813" xr:uid="{0302B942-66D0-4776-BBC5-3E7D8BB52D19}"/>
    <cellStyle name="s_DCFLBO Code_crystal model 051602_Draft reporting v7 032509" xfId="2814" xr:uid="{7D51EA3A-C035-4170-9C64-61D4C0A9559C}"/>
    <cellStyle name="s_DCFLBO Code_Draft reporting v4 031709" xfId="2815" xr:uid="{61BF2DF2-F7D5-49BA-8ADE-D3E2C40D0A95}"/>
    <cellStyle name="s_DCFLBO Code_Draft reporting v6 031909" xfId="2816" xr:uid="{C9A8A0F1-9FF6-4E67-9172-7443AE2609AE}"/>
    <cellStyle name="s_DCFLBO Code_Draft reporting v7 032509" xfId="2817" xr:uid="{DFD4D7C7-1FA9-4FDB-B543-B78AE537D2E6}"/>
    <cellStyle name="s_DCFLBO Code_Ireland Model 3-24" xfId="2818" xr:uid="{A972CFBE-587C-4779-B525-52F9F3CC4F88}"/>
    <cellStyle name="s_DCFLBO Code_Ireland Model 3-24_Book1" xfId="2819" xr:uid="{1FF5AB1D-80C8-4641-85ED-97A5A9F58C7A}"/>
    <cellStyle name="s_DCFLBO Code_Ireland Model 3-24_Draft reporting v4 031709" xfId="2820" xr:uid="{53072E62-C709-4E63-A90F-DEC62B4A4AE2}"/>
    <cellStyle name="s_DCFLBO Code_Ireland Model 3-24_Draft reporting v6 031909" xfId="2821" xr:uid="{0933D740-51D6-4748-87C5-3225629D8576}"/>
    <cellStyle name="s_DCFLBO Code_Ireland Model 3-24_Draft reporting v7 032509" xfId="2822" xr:uid="{D167BBA2-6FB0-4D8E-94AB-9BDEE6EFBEA1}"/>
    <cellStyle name="s_DCFLBO Code_Valuation Summary" xfId="2823" xr:uid="{F950513E-3CE8-4294-B2E1-959285C5006C}"/>
    <cellStyle name="s_DCFLBO Code_Valuation Summary_Book1" xfId="2824" xr:uid="{43C81F58-7E80-496E-B93B-5D3BDA9D2C75}"/>
    <cellStyle name="s_DCFLBO Code_Valuation Summary_Draft reporting v4 031709" xfId="2825" xr:uid="{DA850F8E-CD0B-4126-A342-2E4C2D029D41}"/>
    <cellStyle name="s_DCFLBO Code_Valuation Summary_Draft reporting v6 031909" xfId="2826" xr:uid="{7C7918B6-E3CF-42AF-89E5-49B2F7CDAF5A}"/>
    <cellStyle name="s_DCFLBO Code_Valuation Summary_Draft reporting v7 032509" xfId="2827" xr:uid="{890116FA-639D-4CFD-AFA8-85A455279854}"/>
    <cellStyle name="s_Deal" xfId="2828" xr:uid="{F104CE20-463F-4F9A-9311-B2773A078709}"/>
    <cellStyle name="s_Deal_1" xfId="2829" xr:uid="{148A9CAA-76ED-46DD-AA98-A2AE734C3D5E}"/>
    <cellStyle name="s_Deal_1_Book1" xfId="2830" xr:uid="{F511D10C-296D-4E48-B982-644DEECB38FC}"/>
    <cellStyle name="s_Deal_1_Draft reporting v4 031709" xfId="2831" xr:uid="{3C7FDBA4-295E-474E-B56B-8F1F890D9FD3}"/>
    <cellStyle name="s_Deal_1_Draft reporting v6 031909" xfId="2832" xr:uid="{A5C9C375-CE2E-4676-9EA1-6BCE5BEE0577}"/>
    <cellStyle name="s_Deal_1_Draft reporting v7 032509" xfId="2833" xr:uid="{13D31109-06B3-43AB-9960-89F4BAAB4F9F}"/>
    <cellStyle name="s_Deal_2" xfId="2834" xr:uid="{5E531115-D6FF-4C8C-953B-FB01CB81B367}"/>
    <cellStyle name="s_Deal_2_Book1" xfId="2835" xr:uid="{0BB4B29D-3838-4F9E-9967-70C294C5408D}"/>
    <cellStyle name="s_Deal_2_Draft reporting v4 031709" xfId="2836" xr:uid="{4EE64A8C-133F-4FF5-9B90-1CFF1C0C830F}"/>
    <cellStyle name="s_Deal_2_Draft reporting v6 031909" xfId="2837" xr:uid="{D9DBFCC3-9342-42A2-AED0-564BB3ADDAA7}"/>
    <cellStyle name="s_Deal_2_Draft reporting v7 032509" xfId="2838" xr:uid="{7AD35C0C-2AE4-4501-A1E2-63647821CE11}"/>
    <cellStyle name="s_Deal_Book1" xfId="2839" xr:uid="{3CB45707-959B-4B1C-A910-D3FF7DD1E565}"/>
    <cellStyle name="s_Deal_Draft reporting v4 031709" xfId="2840" xr:uid="{EB7439B4-566F-4271-8E3F-CE67713DA2E5}"/>
    <cellStyle name="s_Deal_Draft reporting v6 031909" xfId="2841" xr:uid="{312E4F79-0C55-4DE8-93FC-C0851CAEF59F}"/>
    <cellStyle name="s_Deal_Draft reporting v7 032509" xfId="2842" xr:uid="{52F6483B-1561-4E30-9237-F0067EE7FF49}"/>
    <cellStyle name="s_Dental (2)" xfId="2843" xr:uid="{111D6577-41BB-4A49-8D9B-DABBA0004D7D}"/>
    <cellStyle name="s_Dental (2)_1" xfId="2844" xr:uid="{D4435741-93E1-4F41-9BB7-9FAF82EC5E26}"/>
    <cellStyle name="s_Dental (2)_1_Book1" xfId="2845" xr:uid="{6167561B-0B66-4011-866E-D30A178ACB62}"/>
    <cellStyle name="s_Dental (2)_1_Draft reporting v4 031709" xfId="2846" xr:uid="{D03922BB-2CA5-4B51-B57F-90BEE0087DCB}"/>
    <cellStyle name="s_Dental (2)_1_Draft reporting v6 031909" xfId="2847" xr:uid="{42369193-699F-420B-9510-D00FBA0AE259}"/>
    <cellStyle name="s_Dental (2)_1_Draft reporting v7 032509" xfId="2848" xr:uid="{049BBD7F-268B-4535-8E0F-6A29E4BAF6E0}"/>
    <cellStyle name="s_Dental (2)_2" xfId="2849" xr:uid="{C3DBB0CA-056E-49AC-8891-4CD7916442D6}"/>
    <cellStyle name="s_Dental (2)_2_Book1" xfId="2850" xr:uid="{94B71527-F9A7-4246-9EAF-698603AB35F3}"/>
    <cellStyle name="s_Dental (2)_2_Celtic DCF" xfId="2851" xr:uid="{13D76BDA-8204-44AB-A471-6D8C4A1C6B74}"/>
    <cellStyle name="s_Dental (2)_2_Celtic DCF Inputs" xfId="2852" xr:uid="{21ECF00E-4654-427E-966B-58E7536E1A6C}"/>
    <cellStyle name="s_Dental (2)_2_Celtic DCF Inputs_Book1" xfId="2853" xr:uid="{6A27DD4A-E27A-4812-8705-53638942DD7C}"/>
    <cellStyle name="s_Dental (2)_2_Celtic DCF Inputs_Draft reporting v4 031709" xfId="2854" xr:uid="{67DD2390-5B25-4CF2-857E-0DC70E4F02B9}"/>
    <cellStyle name="s_Dental (2)_2_Celtic DCF Inputs_Draft reporting v6 031909" xfId="2855" xr:uid="{4FC41E8A-BAB0-4346-BFA4-1F634CFD8586}"/>
    <cellStyle name="s_Dental (2)_2_Celtic DCF Inputs_Draft reporting v7 032509" xfId="2856" xr:uid="{26F934C5-4648-455D-A63A-23834C36FC0E}"/>
    <cellStyle name="s_Dental (2)_2_Celtic DCF_Book1" xfId="2857" xr:uid="{A8ABE6C9-3F5E-4A68-94F0-4B6BBD1E863D}"/>
    <cellStyle name="s_Dental (2)_2_Celtic DCF_Draft reporting v4 031709" xfId="2858" xr:uid="{C4F30FD4-DA9C-4FDA-9A61-BD437F765AF1}"/>
    <cellStyle name="s_Dental (2)_2_Celtic DCF_Draft reporting v6 031909" xfId="2859" xr:uid="{677AEA95-4681-405B-B319-F1A31439F0BE}"/>
    <cellStyle name="s_Dental (2)_2_Celtic DCF_Draft reporting v7 032509" xfId="2860" xr:uid="{1F03381B-5128-47B5-8B25-9482C6551EE7}"/>
    <cellStyle name="s_Dental (2)_2_Draft reporting v4 031709" xfId="2861" xr:uid="{A7763338-E51E-41C2-9709-F3FB10BC8AB6}"/>
    <cellStyle name="s_Dental (2)_2_Draft reporting v6 031909" xfId="2862" xr:uid="{86C8F440-4DDD-4A72-9D5B-C1A99EF25218}"/>
    <cellStyle name="s_Dental (2)_2_Draft reporting v7 032509" xfId="2863" xr:uid="{D413F19A-D0A3-49A6-BF9F-C5AAD426D9F3}"/>
    <cellStyle name="s_Dental (2)_2_Valuation Summary" xfId="2864" xr:uid="{8B2C6FFC-E3D3-4DEE-A5D7-3BD4FA660A85}"/>
    <cellStyle name="s_Dental (2)_2_Valuation Summary_Book1" xfId="2865" xr:uid="{17D1B780-A664-47B9-863E-4BE7A5E46B89}"/>
    <cellStyle name="s_Dental (2)_2_Valuation Summary_Draft reporting v4 031709" xfId="2866" xr:uid="{C52172F6-E78A-490F-A44B-7B280E70BDA1}"/>
    <cellStyle name="s_Dental (2)_2_Valuation Summary_Draft reporting v6 031909" xfId="2867" xr:uid="{6754DAC2-0553-4654-8844-5F1FBA651818}"/>
    <cellStyle name="s_Dental (2)_2_Valuation Summary_Draft reporting v7 032509" xfId="2868" xr:uid="{CBD9D89B-6BA5-4E6B-8B16-1D90F2D73D18}"/>
    <cellStyle name="s_Dental (2)_Book1" xfId="2869" xr:uid="{05BA29D7-4FE9-49D3-9123-CBC8950D40BE}"/>
    <cellStyle name="s_Dental (2)_Draft reporting v4 031709" xfId="2870" xr:uid="{CE65ADC1-75B3-4D3F-8734-CFC42467EEE3}"/>
    <cellStyle name="s_Dental (2)_Draft reporting v6 031909" xfId="2871" xr:uid="{03CFC1C0-1503-4BEC-9B1B-1A9C7F8F4CEB}"/>
    <cellStyle name="s_Dental (2)_Draft reporting v7 032509" xfId="2872" xr:uid="{45EA3AD3-695B-44D7-8BE8-36E2C043A57E}"/>
    <cellStyle name="s_Div_Cut_Model2" xfId="2873" xr:uid="{4F30B05B-0D6E-4C3D-A8BF-2694B4A4C3FA}"/>
    <cellStyle name="s_Div_Cut_Model2_1" xfId="2874" xr:uid="{D26FBB6E-CF53-4C13-975D-B96AF8CE9870}"/>
    <cellStyle name="s_Div_Cut_Model2_1_Book1" xfId="2875" xr:uid="{39648DB1-DEBB-42C6-A44D-91690C842700}"/>
    <cellStyle name="s_Div_Cut_Model2_1_Draft reporting v4 031709" xfId="2876" xr:uid="{8704206E-1E89-466B-AB25-C38B3E72BBA7}"/>
    <cellStyle name="s_Div_Cut_Model2_1_Draft reporting v6 031909" xfId="2877" xr:uid="{079EC47D-81A3-4251-998C-37B7E333C33B}"/>
    <cellStyle name="s_Div_Cut_Model2_1_Draft reporting v7 032509" xfId="2878" xr:uid="{BA7C132D-3B58-4D48-845F-696F06CF7DD3}"/>
    <cellStyle name="s_Div_Cut_Model2_2" xfId="2879" xr:uid="{CA2D3779-5B95-42A2-9479-11EAC784F105}"/>
    <cellStyle name="s_Div_Cut_Model2_2_Book1" xfId="2880" xr:uid="{8A0CA0FF-C5AA-4E66-AE91-3BC2E729D058}"/>
    <cellStyle name="s_Div_Cut_Model2_2_Draft reporting v4 031709" xfId="2881" xr:uid="{FA53C6C5-EE97-4838-9F95-0ED44AF02BD4}"/>
    <cellStyle name="s_Div_Cut_Model2_2_Draft reporting v6 031909" xfId="2882" xr:uid="{377E3FF5-706F-4F63-A535-EC97C920F8AC}"/>
    <cellStyle name="s_Div_Cut_Model2_2_Draft reporting v7 032509" xfId="2883" xr:uid="{512CE48B-B03C-42F8-A3AA-0572E20032FD}"/>
    <cellStyle name="s_Div_Cut_Model2_Book1" xfId="2884" xr:uid="{93ADBE1D-3EC1-476D-9658-7938A84C9995}"/>
    <cellStyle name="s_Div_Cut_Model2_Draft reporting v4 031709" xfId="2885" xr:uid="{0424CBF1-FAF3-4005-8BFD-E6507FC1EF73}"/>
    <cellStyle name="s_Div_Cut_Model2_Draft reporting v6 031909" xfId="2886" xr:uid="{7E828132-415A-4C07-A4CE-E28368028990}"/>
    <cellStyle name="s_Div_Cut_Model2_Draft reporting v7 032509" xfId="2887" xr:uid="{FD17E340-BCF3-4D50-A0BC-E653F43EAEC5}"/>
    <cellStyle name="s_Draft reporting v4 031709" xfId="2888" xr:uid="{B2BFEF1E-6CB8-444C-9D85-1F06F71D482C}"/>
    <cellStyle name="s_Draft reporting v6 031909" xfId="2889" xr:uid="{4C9D5695-85CF-44D0-A7E1-C817AD79CEF7}"/>
    <cellStyle name="s_Draft reporting v7 032509" xfId="2890" xr:uid="{2B978EFB-CF45-4E4D-8B58-95A5BD67FC99}"/>
    <cellStyle name="s_E (2)" xfId="2891" xr:uid="{3239ABAE-8670-432A-ADCD-95908EB978AE}"/>
    <cellStyle name="s_E (2)_1" xfId="2892" xr:uid="{72181910-E8A0-456E-9F2E-4FBCE67C1166}"/>
    <cellStyle name="s_E (2)_1_Book1" xfId="2893" xr:uid="{9709034B-D7F1-45B3-8E3E-381BD263B313}"/>
    <cellStyle name="s_E (2)_1_Draft reporting v4 031709" xfId="2894" xr:uid="{8CA4505B-95F3-4991-B37B-3D6B48259663}"/>
    <cellStyle name="s_E (2)_1_Draft reporting v6 031909" xfId="2895" xr:uid="{1084D281-30C5-4C94-9539-7A6B8A65BE41}"/>
    <cellStyle name="s_E (2)_1_Draft reporting v7 032509" xfId="2896" xr:uid="{6AF2F857-19D4-4D6A-A2BD-1327EBDD17C6}"/>
    <cellStyle name="s_E (2)_Book1" xfId="2897" xr:uid="{B902EF1B-EE6B-474C-83C2-12C9DCFF04E9}"/>
    <cellStyle name="s_E (2)_Draft reporting v4 031709" xfId="2898" xr:uid="{729E7A62-5D5B-47E3-87B8-83E749F2592F}"/>
    <cellStyle name="s_E (2)_Draft reporting v6 031909" xfId="2899" xr:uid="{91AE3B7A-59D6-49B3-9A87-F76C54DF320F}"/>
    <cellStyle name="s_E (2)_Draft reporting v7 032509" xfId="2900" xr:uid="{9A83517C-0BD8-4780-88D4-F9A3C3F53E3E}"/>
    <cellStyle name="s_Earnings" xfId="2901" xr:uid="{C34BDFB8-9FAD-49B0-816C-B6D209590838}"/>
    <cellStyle name="s_Earnings (2)" xfId="2902" xr:uid="{1BCFF67E-741B-4783-8E1D-3D5D38F0EEB9}"/>
    <cellStyle name="s_Earnings (2)_1" xfId="2903" xr:uid="{A74CED86-351F-4D97-9192-EA6307E56144}"/>
    <cellStyle name="s_Earnings (2)_1_Book1" xfId="2904" xr:uid="{E5A53B0F-87C4-4271-B7E5-453B0561CCC8}"/>
    <cellStyle name="s_Earnings (2)_1_Draft reporting v4 031709" xfId="2905" xr:uid="{31A8E338-2C18-446A-9DFE-245FB7825BFA}"/>
    <cellStyle name="s_Earnings (2)_1_Draft reporting v6 031909" xfId="2906" xr:uid="{E506A06B-42C9-4E2C-B58F-E0CFA43ADFC5}"/>
    <cellStyle name="s_Earnings (2)_1_Draft reporting v7 032509" xfId="2907" xr:uid="{A6BCDD14-973D-412F-AA9C-4DBDCE0F692E}"/>
    <cellStyle name="s_Earnings (2)_Book1" xfId="2908" xr:uid="{98126E0A-E5A5-437C-B0FC-C24385EBD1CA}"/>
    <cellStyle name="s_Earnings (2)_Draft reporting v4 031709" xfId="2909" xr:uid="{F7A01ADB-1291-4152-AF62-A81B70D5BC83}"/>
    <cellStyle name="s_Earnings (2)_Draft reporting v6 031909" xfId="2910" xr:uid="{2CF6F2DC-2A0E-45C4-8F90-26716FA544E7}"/>
    <cellStyle name="s_Earnings (2)_Draft reporting v7 032509" xfId="2911" xr:uid="{03E07199-3E2B-441A-B10D-893A78ACF0C6}"/>
    <cellStyle name="s_Earnings_~5424068" xfId="2912" xr:uid="{60ABED73-B71A-4F83-A2B0-5C4F0EEA1F51}"/>
    <cellStyle name="s_Earnings_~5424068_Book1" xfId="2913" xr:uid="{202466ED-45F3-4EBE-81E7-58D08238F8AE}"/>
    <cellStyle name="s_Earnings_~5424068_Draft reporting v4 031709" xfId="2914" xr:uid="{F871B76F-1688-4837-B328-5F0E132CF7B6}"/>
    <cellStyle name="s_Earnings_~5424068_Draft reporting v6 031909" xfId="2915" xr:uid="{95B0D743-8B81-491E-9BBA-2EB99617919F}"/>
    <cellStyle name="s_Earnings_~5424068_Draft reporting v7 032509" xfId="2916" xr:uid="{5B95E394-8134-4866-A9F6-7CD2BF276669}"/>
    <cellStyle name="s_Earnings_1" xfId="2917" xr:uid="{67736B61-D340-4707-AFCD-38B2C34A50AE}"/>
    <cellStyle name="s_Earnings_1_AM0909" xfId="2918" xr:uid="{23984A51-ACD4-48D4-95A3-64CF38BEAD86}"/>
    <cellStyle name="s_Earnings_1_AM0909_Book1" xfId="2919" xr:uid="{D2DDE9B9-F707-4DEA-9BE1-740227F607F6}"/>
    <cellStyle name="s_Earnings_1_AM0909_Draft reporting v4 031709" xfId="2920" xr:uid="{234AC0AD-2B48-4B02-8B60-988C10F5B6C5}"/>
    <cellStyle name="s_Earnings_1_AM0909_Draft reporting v6 031909" xfId="2921" xr:uid="{7A63F9BD-2F05-4148-964D-F45203243580}"/>
    <cellStyle name="s_Earnings_1_AM0909_Draft reporting v7 032509" xfId="2922" xr:uid="{EC804066-9D00-4FF1-9850-026BCFE50B2F}"/>
    <cellStyle name="s_Earnings_1_Book1" xfId="2923" xr:uid="{6A7996A2-90F0-40AA-920C-735C2C37A345}"/>
    <cellStyle name="s_Earnings_1_Brenner" xfId="2924" xr:uid="{3A4DC6D3-120C-4E86-951A-5C89B8C9876C}"/>
    <cellStyle name="s_Earnings_1_Brenner_Book1" xfId="2925" xr:uid="{3B1AF69D-7564-49B2-8EEC-F624EE751A25}"/>
    <cellStyle name="s_Earnings_1_Brenner_Draft reporting v4 031709" xfId="2926" xr:uid="{24332926-BDAD-4338-947E-B9D7BCA43E8F}"/>
    <cellStyle name="s_Earnings_1_Brenner_Draft reporting v6 031909" xfId="2927" xr:uid="{79A07215-B50B-4F57-913B-8A669242FCEA}"/>
    <cellStyle name="s_Earnings_1_Brenner_Draft reporting v7 032509" xfId="2928" xr:uid="{B04E160F-A8BB-4F3D-9DC5-C281F7DE2172}"/>
    <cellStyle name="s_Earnings_1_Draft reporting v4 031709" xfId="2929" xr:uid="{8F2B56B4-F963-4608-A0EB-CA3A2448A18C}"/>
    <cellStyle name="s_Earnings_1_Draft reporting v6 031909" xfId="2930" xr:uid="{2269732B-3E55-4F16-940F-EDAC6E94BA56}"/>
    <cellStyle name="s_Earnings_1_Draft reporting v7 032509" xfId="2931" xr:uid="{72412270-2023-45B8-BD3A-4F2BFEB56AFA}"/>
    <cellStyle name="s_Earnings_2" xfId="2932" xr:uid="{9642BE79-6089-417D-A899-E960AF3B2999}"/>
    <cellStyle name="s_Earnings_2_AM0909" xfId="2933" xr:uid="{DD687246-FA3D-459E-A6B6-C1F132A5260B}"/>
    <cellStyle name="s_Earnings_2_AM0909_Book1" xfId="2934" xr:uid="{20738AD0-71C3-4FF9-B97A-E141D91A901A}"/>
    <cellStyle name="s_Earnings_2_AM0909_Draft reporting v4 031709" xfId="2935" xr:uid="{8341B975-F4E6-40CC-942B-A2BD6BB45C0B}"/>
    <cellStyle name="s_Earnings_2_AM0909_Draft reporting v6 031909" xfId="2936" xr:uid="{C0E8E255-9AF4-47E1-9507-9B25E0DE5447}"/>
    <cellStyle name="s_Earnings_2_AM0909_Draft reporting v7 032509" xfId="2937" xr:uid="{A0CAB388-CD7A-4609-BC32-F63429683FCE}"/>
    <cellStyle name="s_Earnings_2_Book1" xfId="2938" xr:uid="{A04A09DD-800F-4DB3-9308-177659E0AE64}"/>
    <cellStyle name="s_Earnings_2_Brenner" xfId="2939" xr:uid="{A5292BC0-D305-4F69-90C2-5D747D64A141}"/>
    <cellStyle name="s_Earnings_2_Brenner_Book1" xfId="2940" xr:uid="{B649629D-BF9B-4F26-92CC-523EF5EECB64}"/>
    <cellStyle name="s_Earnings_2_Brenner_Draft reporting v4 031709" xfId="2941" xr:uid="{E508ABF5-7EA8-4165-8CFC-0D72899206B1}"/>
    <cellStyle name="s_Earnings_2_Brenner_Draft reporting v6 031909" xfId="2942" xr:uid="{434EADD6-5130-4D5F-91A4-8CDC0331FE01}"/>
    <cellStyle name="s_Earnings_2_Brenner_Draft reporting v7 032509" xfId="2943" xr:uid="{08376E79-B849-487B-917C-7E9A3FDB6DAE}"/>
    <cellStyle name="s_Earnings_2_Draft reporting v4 031709" xfId="2944" xr:uid="{9EFE1AC3-1B2E-4F47-B563-72FE8C2B45F3}"/>
    <cellStyle name="s_Earnings_2_Draft reporting v6 031909" xfId="2945" xr:uid="{589E8AE4-1C67-4A6A-8AA8-28EE2C020958}"/>
    <cellStyle name="s_Earnings_2_Draft reporting v7 032509" xfId="2946" xr:uid="{31CB0ACB-51DD-4348-8651-6D81A6A65156}"/>
    <cellStyle name="s_Earnings_AM0909" xfId="2947" xr:uid="{A5BFA30D-EEC9-413D-8BA4-9EF8C4E7B7C9}"/>
    <cellStyle name="s_Earnings_AM0909_Book1" xfId="2948" xr:uid="{7015EA52-D8E7-4CA8-AB5C-347E62CCF813}"/>
    <cellStyle name="s_Earnings_AM0909_Draft reporting v4 031709" xfId="2949" xr:uid="{D6E99083-8A2D-459C-8E0B-51EC2E003B8A}"/>
    <cellStyle name="s_Earnings_AM0909_Draft reporting v6 031909" xfId="2950" xr:uid="{93BC1F72-FDFA-4EB9-94DE-8E380E6789B2}"/>
    <cellStyle name="s_Earnings_AM0909_Draft reporting v7 032509" xfId="2951" xr:uid="{4C784C66-7E93-407C-A95D-7E55CC6D82B4}"/>
    <cellStyle name="s_Earnings_Book1" xfId="2952" xr:uid="{BFCE1222-47D3-49C8-A122-47E5516CACD9}"/>
    <cellStyle name="s_Earnings_Brenner" xfId="2953" xr:uid="{6876D95F-2D8E-4660-8030-CAE78FA976E7}"/>
    <cellStyle name="s_Earnings_Brenner_Book1" xfId="2954" xr:uid="{D81B3BFF-7E67-43A5-A326-BED4961FA4E5}"/>
    <cellStyle name="s_Earnings_Brenner_Draft reporting v4 031709" xfId="2955" xr:uid="{D1227948-CDEE-46FC-99E2-E3211A749E90}"/>
    <cellStyle name="s_Earnings_Brenner_Draft reporting v6 031909" xfId="2956" xr:uid="{A2E0AE80-4C35-43AB-BFDC-5D71D1C90297}"/>
    <cellStyle name="s_Earnings_Brenner_Draft reporting v7 032509" xfId="2957" xr:uid="{C7EDA61E-ABF8-4481-BA4C-7D587AE8A22E}"/>
    <cellStyle name="s_Earnings_CCC-Renewal Model April 2003.v3" xfId="2958" xr:uid="{13E674C2-06F5-415A-A6A1-59FA875E3583}"/>
    <cellStyle name="s_Earnings_CCC-Renewal Model April 2003.v3_Book1" xfId="2959" xr:uid="{62D9CD62-5173-4547-9B8A-78B1D3F212C8}"/>
    <cellStyle name="s_Earnings_CCC-Renewal Model April 2003.v3_Draft reporting v4 031709" xfId="2960" xr:uid="{783740A4-BBA1-42E3-9DEB-4433800C0279}"/>
    <cellStyle name="s_Earnings_CCC-Renewal Model April 2003.v3_Draft reporting v6 031909" xfId="2961" xr:uid="{EB9686E8-5EB5-4F50-8D7F-208554EFEB4C}"/>
    <cellStyle name="s_Earnings_CCC-Renewal Model April 2003.v3_Draft reporting v7 032509" xfId="2962" xr:uid="{7A4CC479-9EA5-4610-A37B-113FA97DABB0}"/>
    <cellStyle name="s_Earnings_DCF" xfId="2963" xr:uid="{70B967F6-FFDA-402B-9235-8EC2657BEACA}"/>
    <cellStyle name="s_Earnings_DCF_Book1" xfId="2964" xr:uid="{224DA2FA-3929-4EB1-809F-64AAF356CB3E}"/>
    <cellStyle name="s_Earnings_DCF_Draft reporting v4 031709" xfId="2965" xr:uid="{E11DCC39-30BF-481C-8906-38F1581C7A96}"/>
    <cellStyle name="s_Earnings_DCF_Draft reporting v6 031909" xfId="2966" xr:uid="{0010735A-F3CF-4B88-94BE-E2CE22323E02}"/>
    <cellStyle name="s_Earnings_DCF_Draft reporting v7 032509" xfId="2967" xr:uid="{5446741E-F4FA-402E-9B0E-809C83E7BFF4}"/>
    <cellStyle name="s_Earnings_Draft reporting v4 031709" xfId="2968" xr:uid="{A9E022BB-E3EF-4F07-8F5F-14B424222B05}"/>
    <cellStyle name="s_Earnings_Draft reporting v6 031909" xfId="2969" xr:uid="{3C68E0E8-E584-44BE-820E-225424F26E09}"/>
    <cellStyle name="s_Earnings_Draft reporting v7 032509" xfId="2970" xr:uid="{2CB9BD7C-5758-4D11-A32F-AAC071B28C92}"/>
    <cellStyle name="s_Earnings_Globemedia Model v_4" xfId="2971" xr:uid="{59ED7DD0-A6C9-4974-8684-49C0DC73736F}"/>
    <cellStyle name="s_Earnings_Globemedia Model v_4_Book1" xfId="2972" xr:uid="{A8C80088-ED47-4C78-9435-BAFB9184297F}"/>
    <cellStyle name="s_Earnings_Globemedia Model v_4_Draft reporting v4 031709" xfId="2973" xr:uid="{BBF0714D-42DB-471B-A7FF-8C54D97A216A}"/>
    <cellStyle name="s_Earnings_Globemedia Model v_4_Draft reporting v6 031909" xfId="2974" xr:uid="{2BDEE1EC-B29D-43B8-A0FE-5F5C35702205}"/>
    <cellStyle name="s_Earnings_Globemedia Model v_4_Draft reporting v7 032509" xfId="2975" xr:uid="{EAF6DBE6-05A9-46C6-8AC7-D925C58A1014}"/>
    <cellStyle name="s_Earnings_Inco LBO" xfId="2976" xr:uid="{3D813ACF-7963-4A83-ABD1-69E91B269F40}"/>
    <cellStyle name="s_Earnings_Inco LBO_Book1" xfId="2977" xr:uid="{8E2121C7-3010-42ED-8FF5-A3E08195F16B}"/>
    <cellStyle name="s_Earnings_Inco LBO_Draft reporting v4 031709" xfId="2978" xr:uid="{9F882257-25A0-4138-A936-407453788684}"/>
    <cellStyle name="s_Earnings_Inco LBO_Draft reporting v6 031909" xfId="2979" xr:uid="{23EF055A-7EA8-4A62-A3DE-A4AEACE1E0AE}"/>
    <cellStyle name="s_Earnings_Inco LBO_Draft reporting v7 032509" xfId="2980" xr:uid="{E3A9F385-057F-4F85-9846-D6FDADB161E2}"/>
    <cellStyle name="s_Earnings_Merger model" xfId="2981" xr:uid="{CAB6E179-B508-4FF3-8C75-8C2366A79468}"/>
    <cellStyle name="s_Earnings_Merger model_Book1" xfId="2982" xr:uid="{330B9199-A3A3-44BF-B827-53171B490925}"/>
    <cellStyle name="s_Earnings_Merger model_Draft reporting v4 031709" xfId="2983" xr:uid="{B8B2AC5C-0E86-4D86-9634-426D7D6144A5}"/>
    <cellStyle name="s_Earnings_Merger model_Draft reporting v6 031909" xfId="2984" xr:uid="{F395F424-CFB2-4D93-88D5-6D46281367B9}"/>
    <cellStyle name="s_Earnings_Merger model_Draft reporting v7 032509" xfId="2985" xr:uid="{A5AD8F8A-207F-471E-928A-5D76766E754C}"/>
    <cellStyle name="s_Earnings_TRU Domestic v2" xfId="2986" xr:uid="{BB266675-4E90-477E-A02B-E9FB897D7B21}"/>
    <cellStyle name="s_Earnings_TRU Domestic v2_Book1" xfId="2987" xr:uid="{EBC8B3CC-2715-4ED1-9062-B9E777F11644}"/>
    <cellStyle name="s_Earnings_TRU Domestic v2_Draft reporting v4 031709" xfId="2988" xr:uid="{8031BE4F-DB1D-4B8A-B07D-764A897CFFF5}"/>
    <cellStyle name="s_Earnings_TRU Domestic v2_Draft reporting v6 031909" xfId="2989" xr:uid="{49E83B16-9FF0-4C14-B942-5D1EBB47D5DD}"/>
    <cellStyle name="s_Earnings_TRU Domestic v2_Draft reporting v7 032509" xfId="2990" xr:uid="{087CBB34-0FE7-4650-AC28-C75A237BC8C6}"/>
    <cellStyle name="s_East Coast (2)" xfId="2991" xr:uid="{E058CB23-327A-4C8C-A782-AD400DD48BAF}"/>
    <cellStyle name="s_East Coast (2)_1" xfId="2992" xr:uid="{3703372E-55A3-446A-B235-8932A5CD2B50}"/>
    <cellStyle name="s_East Coast (2)_1_Book1" xfId="2993" xr:uid="{96692DCF-5A15-4E03-B2CE-B3DEFF7B2010}"/>
    <cellStyle name="s_East Coast (2)_1_Draft reporting v4 031709" xfId="2994" xr:uid="{ABA854B3-6C4D-4CBC-AAE9-4E7C3EDF8C57}"/>
    <cellStyle name="s_East Coast (2)_1_Draft reporting v6 031909" xfId="2995" xr:uid="{FF4A9664-4255-41A3-976E-D6CD0CC90823}"/>
    <cellStyle name="s_East Coast (2)_1_Draft reporting v7 032509" xfId="2996" xr:uid="{B1AE6A0B-4EBA-4D81-B19A-6A3783603B49}"/>
    <cellStyle name="s_East Coast (2)_2" xfId="2997" xr:uid="{BA4BFF38-B62B-4E20-BF4A-B57EDD6111EB}"/>
    <cellStyle name="s_East Coast (2)_2_Book1" xfId="2998" xr:uid="{55CF3D8C-BAA2-40FC-9858-A315D2EFDCF5}"/>
    <cellStyle name="s_East Coast (2)_2_Draft reporting v4 031709" xfId="2999" xr:uid="{2CC08C6F-B337-454F-AA3A-E201427E727D}"/>
    <cellStyle name="s_East Coast (2)_2_Draft reporting v6 031909" xfId="3000" xr:uid="{E76C9BDB-E46B-435C-9F16-6CCDD4A4F93C}"/>
    <cellStyle name="s_East Coast (2)_2_Draft reporting v7 032509" xfId="3001" xr:uid="{7B27E08E-E226-407F-B2EE-24FC4418449C}"/>
    <cellStyle name="s_East Coast (2)_Book1" xfId="3002" xr:uid="{BB7F6BD9-0BB7-48F0-BB78-CEA028BA823C}"/>
    <cellStyle name="s_East Coast (2)_Draft reporting v4 031709" xfId="3003" xr:uid="{85A8B72F-C4D5-4D0A-8EC3-7FE2994C0B32}"/>
    <cellStyle name="s_East Coast (2)_Draft reporting v6 031909" xfId="3004" xr:uid="{974D1F67-C9B8-424D-BF94-009F0099B600}"/>
    <cellStyle name="s_East Coast (2)_Draft reporting v7 032509" xfId="3005" xr:uid="{9A7DB2C2-2219-44CE-AF8B-F4DA9A54B813}"/>
    <cellStyle name="s_Fin Graph" xfId="3006" xr:uid="{CAAD9F6B-9C1F-4AFB-84CC-19C3164DD6D1}"/>
    <cellStyle name="s_Fin Graph_1" xfId="3007" xr:uid="{B01A17A3-E516-4316-8B19-117A20C36BF8}"/>
    <cellStyle name="s_Fin Graph_1_Book1" xfId="3008" xr:uid="{645105D0-F086-4B2F-9A04-79DE9E9DD97C}"/>
    <cellStyle name="s_Fin Graph_1_Draft reporting v4 031709" xfId="3009" xr:uid="{671F5AAC-76C7-4D79-ABD2-46F0FF0417E1}"/>
    <cellStyle name="s_Fin Graph_1_Draft reporting v6 031909" xfId="3010" xr:uid="{294153C1-E4FB-4269-A2CE-987A53062785}"/>
    <cellStyle name="s_Fin Graph_1_Draft reporting v7 032509" xfId="3011" xr:uid="{DAE265D6-4335-4C7A-94A7-8E3F2C2BEB71}"/>
    <cellStyle name="s_Fin Graph_2" xfId="3012" xr:uid="{850984FA-E98A-44F4-A0BC-2EA9E8B9E61F}"/>
    <cellStyle name="s_Fin Graph_2_Book1" xfId="3013" xr:uid="{55CEEB9F-1D01-4EA5-87DE-ED38ACFDB28F}"/>
    <cellStyle name="s_Fin Graph_2_Draft reporting v4 031709" xfId="3014" xr:uid="{DC639E0E-CCF9-4FB8-B8DC-2083AC09B9FF}"/>
    <cellStyle name="s_Fin Graph_2_Draft reporting v6 031909" xfId="3015" xr:uid="{24EEC393-9D92-48FC-A421-DFD43F0731F3}"/>
    <cellStyle name="s_Fin Graph_2_Draft reporting v7 032509" xfId="3016" xr:uid="{4F0F567C-B6FA-454F-8D10-3B6E3C39571D}"/>
    <cellStyle name="s_Fin Graph_Book1" xfId="3017" xr:uid="{E1ECDB1F-9C77-41FD-ADC2-E608C23229D4}"/>
    <cellStyle name="s_Fin Graph_Draft reporting v4 031709" xfId="3018" xr:uid="{8C3964E5-81FB-40B8-94C2-1588214972F2}"/>
    <cellStyle name="s_Fin Graph_Draft reporting v6 031909" xfId="3019" xr:uid="{5BE0744A-B5F2-42CB-BF88-AF7E9C4BE77C}"/>
    <cellStyle name="s_Fin Graph_Draft reporting v7 032509" xfId="3020" xr:uid="{DFB3E232-FDEE-47D0-8112-4EC13953F615}"/>
    <cellStyle name="s_Final Model" xfId="3021" xr:uid="{D67DFB35-72FB-4C85-A9FE-0372CBEDEBBF}"/>
    <cellStyle name="s_Final Model_1" xfId="3022" xr:uid="{A26ECC9C-018F-44BF-A6CA-A94A2E673A0E}"/>
    <cellStyle name="s_Final Model_1_Book1" xfId="3023" xr:uid="{A79D4154-4421-43C4-9601-2F91B59AD671}"/>
    <cellStyle name="s_Final Model_1_Draft reporting v4 031709" xfId="3024" xr:uid="{63462C4D-3F6C-4BD1-8A0F-B2698542791B}"/>
    <cellStyle name="s_Final Model_1_Draft reporting v6 031909" xfId="3025" xr:uid="{629F016D-DACC-4EAB-9D8D-F025D9F0ADEB}"/>
    <cellStyle name="s_Final Model_1_Draft reporting v7 032509" xfId="3026" xr:uid="{E4DE820B-6345-4B6C-9DF2-B443F924054B}"/>
    <cellStyle name="s_Final Model_Book1" xfId="3027" xr:uid="{9D2842E5-C6CC-4EDA-BD8A-4096311C7BB0}"/>
    <cellStyle name="s_Final Model_Draft reporting v4 031709" xfId="3028" xr:uid="{FD2EC76F-F25A-442D-97D7-5F2515C7E3CE}"/>
    <cellStyle name="s_Final Model_Draft reporting v6 031909" xfId="3029" xr:uid="{71ACE6C1-FBEF-41D4-A466-7FD0E602BF02}"/>
    <cellStyle name="s_Final Model_Draft reporting v7 032509" xfId="3030" xr:uid="{53F1877C-7CB6-4EB0-8D7A-3D46353830E5}"/>
    <cellStyle name="s_Florida (2)" xfId="3031" xr:uid="{3D61D2B8-46A8-4C6C-8126-25FA8DB4CE03}"/>
    <cellStyle name="s_Florida (2)_1" xfId="3032" xr:uid="{CF7BEC2A-6E21-4C31-B386-0065FEF5058E}"/>
    <cellStyle name="s_Florida (2)_1_Book1" xfId="3033" xr:uid="{D57BA6D5-5EEF-4B92-926C-D130AC62BBB9}"/>
    <cellStyle name="s_Florida (2)_1_Draft reporting v4 031709" xfId="3034" xr:uid="{9852F478-08C0-4620-B58A-7C34C34D0405}"/>
    <cellStyle name="s_Florida (2)_1_Draft reporting v6 031909" xfId="3035" xr:uid="{6E92BE92-95E4-43CD-B2EF-0F89BDCFF99F}"/>
    <cellStyle name="s_Florida (2)_1_Draft reporting v7 032509" xfId="3036" xr:uid="{60454F2F-24D0-41DB-94CF-4C5E03E26B41}"/>
    <cellStyle name="s_Florida (2)_2" xfId="3037" xr:uid="{2B797392-6F59-43BF-8FB5-F71B0711546C}"/>
    <cellStyle name="s_Florida (2)_2_Book1" xfId="3038" xr:uid="{794A26F9-FEF9-4EA5-B69E-B2CBAB9BB5E4}"/>
    <cellStyle name="s_Florida (2)_2_Draft reporting v4 031709" xfId="3039" xr:uid="{715D17FA-AB4C-469D-92D0-E1610186B2AD}"/>
    <cellStyle name="s_Florida (2)_2_Draft reporting v6 031909" xfId="3040" xr:uid="{0DBA768D-E1C9-4972-8893-23DC2C4CBDA7}"/>
    <cellStyle name="s_Florida (2)_2_Draft reporting v7 032509" xfId="3041" xr:uid="{B5B918A5-5A64-43EA-B4BD-3D89757A4630}"/>
    <cellStyle name="s_Florida (2)_Book1" xfId="3042" xr:uid="{BF80ACBB-EA21-4AF7-84DB-B306873FF8FD}"/>
    <cellStyle name="s_Florida (2)_Draft reporting v4 031709" xfId="3043" xr:uid="{54D333F8-7391-47D3-A86F-A9004621C165}"/>
    <cellStyle name="s_Florida (2)_Draft reporting v6 031909" xfId="3044" xr:uid="{EEBEC12B-5FC4-4EA4-BED9-84C5E1D69D84}"/>
    <cellStyle name="s_Florida (2)_Draft reporting v7 032509" xfId="3045" xr:uid="{955073CE-1F54-4FA8-9CD6-E639AE1B10CA}"/>
    <cellStyle name="s_G" xfId="3046" xr:uid="{4CFED93A-9E6F-44DF-83F5-7A70B52E6EA5}"/>
    <cellStyle name="s_G_1" xfId="3047" xr:uid="{94799B7F-745A-437D-A3E4-D295715623B7}"/>
    <cellStyle name="s_G_1_Book1" xfId="3048" xr:uid="{20C9E0D0-8F59-4872-A240-DA0A17FA7FC4}"/>
    <cellStyle name="s_G_1_Draft reporting v4 031709" xfId="3049" xr:uid="{93145776-0452-499B-9DB2-A4E7B3BFFCBE}"/>
    <cellStyle name="s_G_1_Draft reporting v6 031909" xfId="3050" xr:uid="{86DC6A6B-7F5A-49FE-A9CC-8D2555D17375}"/>
    <cellStyle name="s_G_1_Draft reporting v7 032509" xfId="3051" xr:uid="{41015CAC-BE87-4371-B7D7-DBF9F1B01276}"/>
    <cellStyle name="s_G_Book1" xfId="3052" xr:uid="{25A759DA-76D3-465C-97BD-3CE05F0D1754}"/>
    <cellStyle name="s_G_Draft reporting v4 031709" xfId="3053" xr:uid="{E00F8CA1-0B3A-4772-B6A0-5C6BA4A2637F}"/>
    <cellStyle name="s_G_Draft reporting v6 031909" xfId="3054" xr:uid="{546F7F12-3E30-432D-AC96-7AFC8C1B025D}"/>
    <cellStyle name="s_G_Draft reporting v7 032509" xfId="3055" xr:uid="{7D5A9FA3-12ED-49D0-A059-84575007BDB4}"/>
    <cellStyle name="s_Georgia (2)" xfId="3056" xr:uid="{D63F1810-6992-4CB0-84C5-D4BD496C8D2E}"/>
    <cellStyle name="s_Georgia (2)_1" xfId="3057" xr:uid="{8D056E8C-9C4A-45F2-A249-480887D53B22}"/>
    <cellStyle name="s_Georgia (2)_1_Book1" xfId="3058" xr:uid="{E45FA399-322C-490E-A610-6922410FA249}"/>
    <cellStyle name="s_Georgia (2)_1_Draft reporting v4 031709" xfId="3059" xr:uid="{01EC6490-C6FA-41DF-8577-0C5462AA2331}"/>
    <cellStyle name="s_Georgia (2)_1_Draft reporting v6 031909" xfId="3060" xr:uid="{BE689D2B-74A5-4158-885A-42F5FAB21FFA}"/>
    <cellStyle name="s_Georgia (2)_1_Draft reporting v7 032509" xfId="3061" xr:uid="{12413667-9772-417F-9DC4-C178D8206BC7}"/>
    <cellStyle name="s_Georgia (2)_Book1" xfId="3062" xr:uid="{5BBAC116-629C-46D5-8142-FB74D9FE84B1}"/>
    <cellStyle name="s_Georgia (2)_Draft reporting v4 031709" xfId="3063" xr:uid="{A0CB0B3B-0530-4A8A-A5A7-48DF15DBF6C3}"/>
    <cellStyle name="s_Georgia (2)_Draft reporting v6 031909" xfId="3064" xr:uid="{9F43DB51-6507-4619-A72C-C701C95774B4}"/>
    <cellStyle name="s_Georgia (2)_Draft reporting v7 032509" xfId="3065" xr:uid="{B0461D09-993A-4C7F-9650-144C7AD0F932}"/>
    <cellStyle name="s_Globemedia Model v_4" xfId="3066" xr:uid="{A0154BC2-F293-4112-8E29-6A13A6F516D0}"/>
    <cellStyle name="s_Globemedia Model v_4_Book1" xfId="3067" xr:uid="{BB945AE3-4107-4222-A41F-D5E7235621DA}"/>
    <cellStyle name="s_Globemedia Model v_4_Draft reporting v4 031709" xfId="3068" xr:uid="{BA42E98F-2D32-4CBF-B35F-B0E775E2686D}"/>
    <cellStyle name="s_Globemedia Model v_4_Draft reporting v6 031909" xfId="3069" xr:uid="{C998173A-5B46-4D01-AB4A-5A0086A4B918}"/>
    <cellStyle name="s_Globemedia Model v_4_Draft reporting v7 032509" xfId="3070" xr:uid="{6639D7B6-3D6A-4599-A429-B9105C02F450}"/>
    <cellStyle name="s_Hard Rock" xfId="3071" xr:uid="{7CF71B26-DF8C-4D59-B49C-967E5C6E14A0}"/>
    <cellStyle name="s_Hard Rock (2)" xfId="3072" xr:uid="{DE464EB3-C9D7-4FB8-A580-7C7360AA6FE8}"/>
    <cellStyle name="s_Hard Rock (2)_1" xfId="3073" xr:uid="{3FD09861-11A2-43F1-81A6-A9B347102623}"/>
    <cellStyle name="s_Hard Rock (2)_1_Book1" xfId="3074" xr:uid="{974CC9D2-9E6E-496D-8966-45127B4615D4}"/>
    <cellStyle name="s_Hard Rock (2)_1_Draft reporting v4 031709" xfId="3075" xr:uid="{CD293281-FBD1-47C5-A1BA-5A36D2271EFA}"/>
    <cellStyle name="s_Hard Rock (2)_1_Draft reporting v6 031909" xfId="3076" xr:uid="{074819A7-7619-43B5-B1DE-301AD12DE275}"/>
    <cellStyle name="s_Hard Rock (2)_1_Draft reporting v7 032509" xfId="3077" xr:uid="{233D10D4-04EF-4D7C-B38F-B1EC942E82F5}"/>
    <cellStyle name="s_Hard Rock (2)_Book1" xfId="3078" xr:uid="{6345ED31-AE2F-4F25-9F45-5D35301DB15A}"/>
    <cellStyle name="s_Hard Rock (2)_Celtic DCF" xfId="3079" xr:uid="{B89084D2-4EC8-49FD-823E-0A93DDDC3435}"/>
    <cellStyle name="s_Hard Rock (2)_Celtic DCF Inputs" xfId="3080" xr:uid="{592B2E7C-A381-4B98-AA2B-0CE7D76EB201}"/>
    <cellStyle name="s_Hard Rock (2)_Celtic DCF Inputs_Book1" xfId="3081" xr:uid="{541A7C23-683A-4173-87E2-41B94229B30A}"/>
    <cellStyle name="s_Hard Rock (2)_Celtic DCF Inputs_Draft reporting v4 031709" xfId="3082" xr:uid="{B22961FC-8223-4B99-87C4-F19B49D80188}"/>
    <cellStyle name="s_Hard Rock (2)_Celtic DCF Inputs_Draft reporting v6 031909" xfId="3083" xr:uid="{55FE10B0-C1D6-482A-9F3E-E40D88336EAC}"/>
    <cellStyle name="s_Hard Rock (2)_Celtic DCF Inputs_Draft reporting v7 032509" xfId="3084" xr:uid="{5E8CAE48-B2E0-40C3-9AAF-4C675307DD24}"/>
    <cellStyle name="s_Hard Rock (2)_Celtic DCF_Book1" xfId="3085" xr:uid="{FDE7610A-91CC-47C2-88CC-1D659F6ED8EA}"/>
    <cellStyle name="s_Hard Rock (2)_Celtic DCF_Draft reporting v4 031709" xfId="3086" xr:uid="{4C9B171B-E961-4381-88E3-4CE2FF1F59AA}"/>
    <cellStyle name="s_Hard Rock (2)_Celtic DCF_Draft reporting v6 031909" xfId="3087" xr:uid="{7BF8CE57-116B-4F04-9C6E-E13C37434F01}"/>
    <cellStyle name="s_Hard Rock (2)_Celtic DCF_Draft reporting v7 032509" xfId="3088" xr:uid="{AD7A07AC-8B3E-4271-880D-78C3FF3566FE}"/>
    <cellStyle name="s_Hard Rock (2)_Draft reporting v4 031709" xfId="3089" xr:uid="{1F4A922C-705F-4137-B7ED-F482A8FB70D4}"/>
    <cellStyle name="s_Hard Rock (2)_Draft reporting v6 031909" xfId="3090" xr:uid="{9D2EE9B4-8C3E-40E3-9328-BAB297D55B3F}"/>
    <cellStyle name="s_Hard Rock (2)_Draft reporting v7 032509" xfId="3091" xr:uid="{C99F44D1-7F02-45A6-BF63-57E86B2F020E}"/>
    <cellStyle name="s_Hard Rock (2)_Valuation Summary" xfId="3092" xr:uid="{930041E1-1AED-453E-8D3B-978C22305050}"/>
    <cellStyle name="s_Hard Rock (2)_Valuation Summary_Book1" xfId="3093" xr:uid="{0EFB7D1D-768D-4836-BA07-DA887CC2FE73}"/>
    <cellStyle name="s_Hard Rock (2)_Valuation Summary_Draft reporting v4 031709" xfId="3094" xr:uid="{FE878CC1-5A86-46FE-873D-543EEBB7C5C6}"/>
    <cellStyle name="s_Hard Rock (2)_Valuation Summary_Draft reporting v6 031909" xfId="3095" xr:uid="{ED16FAFB-19D3-45A9-A8B9-D2443E0539A3}"/>
    <cellStyle name="s_Hard Rock (2)_Valuation Summary_Draft reporting v7 032509" xfId="3096" xr:uid="{BB0A5F5F-F48E-449B-BD8D-161DFBE83294}"/>
    <cellStyle name="s_Hard Rock_1" xfId="3097" xr:uid="{A1B03016-3F9B-4F4A-8432-A03FE7AE0942}"/>
    <cellStyle name="s_Hard Rock_1_Book1" xfId="3098" xr:uid="{1644A533-CB16-4D72-AB34-EB3B9714175D}"/>
    <cellStyle name="s_Hard Rock_1_Celtic DCF" xfId="3099" xr:uid="{DF1A2548-83A2-494E-8B33-FD1ECF5700DD}"/>
    <cellStyle name="s_Hard Rock_1_Celtic DCF Inputs" xfId="3100" xr:uid="{511D22D9-E248-4826-8551-B74A1BDC02E5}"/>
    <cellStyle name="s_Hard Rock_1_Celtic DCF Inputs_Book1" xfId="3101" xr:uid="{0E5DA9CC-4D80-44A1-ABCD-8159C7EE97A0}"/>
    <cellStyle name="s_Hard Rock_1_Celtic DCF Inputs_Draft reporting v4 031709" xfId="3102" xr:uid="{C20D5634-D284-4A23-BFA4-E6851CBD425D}"/>
    <cellStyle name="s_Hard Rock_1_Celtic DCF Inputs_Draft reporting v6 031909" xfId="3103" xr:uid="{3EE885E9-29F4-4628-8207-A0C74FF34AC2}"/>
    <cellStyle name="s_Hard Rock_1_Celtic DCF Inputs_Draft reporting v7 032509" xfId="3104" xr:uid="{871AED23-4DAF-49EE-822F-D0EBEB7248EA}"/>
    <cellStyle name="s_Hard Rock_1_Celtic DCF_Book1" xfId="3105" xr:uid="{D93E70AC-F5FF-488B-9CE4-80CCE6AE0C25}"/>
    <cellStyle name="s_Hard Rock_1_Celtic DCF_Draft reporting v4 031709" xfId="3106" xr:uid="{6F5FDC84-A7EF-482B-AA33-47F4B5E10619}"/>
    <cellStyle name="s_Hard Rock_1_Celtic DCF_Draft reporting v6 031909" xfId="3107" xr:uid="{013B8EA5-E5ED-49D0-9D68-C4C8111B55DD}"/>
    <cellStyle name="s_Hard Rock_1_Celtic DCF_Draft reporting v7 032509" xfId="3108" xr:uid="{5100651D-6CB8-4CE2-82AF-3D2F96FC622D}"/>
    <cellStyle name="s_Hard Rock_1_Draft reporting v4 031709" xfId="3109" xr:uid="{32FB319B-DF52-4B7C-95F9-1779CC17B4B8}"/>
    <cellStyle name="s_Hard Rock_1_Draft reporting v6 031909" xfId="3110" xr:uid="{8BDFCD76-A692-498D-9CCF-A0FA99A13393}"/>
    <cellStyle name="s_Hard Rock_1_Draft reporting v7 032509" xfId="3111" xr:uid="{19311FE0-1A8F-4BB0-A8DF-A558107F58A9}"/>
    <cellStyle name="s_Hard Rock_1_Valuation Summary" xfId="3112" xr:uid="{9A5BDF28-6ED2-4223-BE1C-25C3BCA739DF}"/>
    <cellStyle name="s_Hard Rock_1_Valuation Summary_Book1" xfId="3113" xr:uid="{11ECE68B-2948-47B7-BE50-CB03E005789E}"/>
    <cellStyle name="s_Hard Rock_1_Valuation Summary_Draft reporting v4 031709" xfId="3114" xr:uid="{E8845E3C-8259-4686-950A-35077F3377FB}"/>
    <cellStyle name="s_Hard Rock_1_Valuation Summary_Draft reporting v6 031909" xfId="3115" xr:uid="{986E656A-5F35-48F6-84D3-800D46002472}"/>
    <cellStyle name="s_Hard Rock_1_Valuation Summary_Draft reporting v7 032509" xfId="3116" xr:uid="{1CDB9EA8-98E4-48F9-B98C-813DAAFDF265}"/>
    <cellStyle name="s_Hard Rock_2" xfId="3117" xr:uid="{4E43BB87-A2F4-45BA-946A-DBD0B0ADA93A}"/>
    <cellStyle name="s_Hard Rock_2_Book1" xfId="3118" xr:uid="{2ACE9978-0B86-496E-B370-CA982C7C9AB3}"/>
    <cellStyle name="s_Hard Rock_2_Draft reporting v4 031709" xfId="3119" xr:uid="{C2B1D5A1-5669-4586-9FDE-BFEC48E89CC8}"/>
    <cellStyle name="s_Hard Rock_2_Draft reporting v6 031909" xfId="3120" xr:uid="{98579AC6-FB53-4CF5-A982-E40905300628}"/>
    <cellStyle name="s_Hard Rock_2_Draft reporting v7 032509" xfId="3121" xr:uid="{D89383B4-D8C4-47AE-B34D-6EFD8595A5CF}"/>
    <cellStyle name="s_Hard Rock_Book1" xfId="3122" xr:uid="{ED01C7A0-3F77-467A-A5FA-E8A0C939A397}"/>
    <cellStyle name="s_Hard Rock_Draft reporting v4 031709" xfId="3123" xr:uid="{85AE9E8E-983B-4147-9373-D259B6192D1D}"/>
    <cellStyle name="s_Hard Rock_Draft reporting v6 031909" xfId="3124" xr:uid="{73CCE5A5-2970-4915-B00E-F217646CE010}"/>
    <cellStyle name="s_Hard Rock_Draft reporting v7 032509" xfId="3125" xr:uid="{DFF08BAD-90E4-4EC8-81E7-96C5F69BCBAD}"/>
    <cellStyle name="s_HardInc " xfId="3126" xr:uid="{A896204D-CCD2-47D0-B884-6FE8F677D020}"/>
    <cellStyle name="s_HardInc  (2)" xfId="3127" xr:uid="{056DF8E7-DFE5-444B-9F44-4ED3BAB7BB53}"/>
    <cellStyle name="s_HardInc  (2)_1" xfId="3128" xr:uid="{73ABF76B-E2D0-438C-811D-73FC5D9E9024}"/>
    <cellStyle name="s_HardInc  (2)_1_Book1" xfId="3129" xr:uid="{988EB3EC-67B6-4038-AC7A-E8B74A5182AA}"/>
    <cellStyle name="s_HardInc  (2)_1_Draft reporting v4 031709" xfId="3130" xr:uid="{8152F715-3FB3-47DD-B31D-9A29CF5CEC3A}"/>
    <cellStyle name="s_HardInc  (2)_1_Draft reporting v6 031909" xfId="3131" xr:uid="{8652BC92-F8D2-45B9-BC4F-9610168946E1}"/>
    <cellStyle name="s_HardInc  (2)_1_Draft reporting v7 032509" xfId="3132" xr:uid="{2BB21453-10D6-4DA7-81BE-981B82CF1838}"/>
    <cellStyle name="s_HardInc  (2)_2" xfId="3133" xr:uid="{B4D28631-AB6A-4CAD-95E5-3505B0CAEF53}"/>
    <cellStyle name="s_HardInc  (2)_2_Book1" xfId="3134" xr:uid="{F468C2DB-4082-4B78-8C15-BAFB09F30A4D}"/>
    <cellStyle name="s_HardInc  (2)_2_Draft reporting v4 031709" xfId="3135" xr:uid="{460B846B-9CB4-4EB8-AD80-FDF2DFCECE0C}"/>
    <cellStyle name="s_HardInc  (2)_2_Draft reporting v6 031909" xfId="3136" xr:uid="{5AE17AF8-A65E-41FD-B77A-D078503729AD}"/>
    <cellStyle name="s_HardInc  (2)_2_Draft reporting v7 032509" xfId="3137" xr:uid="{E15C632F-CCD2-4B1A-B065-1FB9DCC50168}"/>
    <cellStyle name="s_HardInc  (2)_Book1" xfId="3138" xr:uid="{FF310B92-4FC6-4656-89F8-18EBE0465614}"/>
    <cellStyle name="s_HardInc  (2)_Celtic DCF" xfId="3139" xr:uid="{7C9A5258-B5C8-4085-B0B9-8010A3C202C2}"/>
    <cellStyle name="s_HardInc  (2)_Celtic DCF Inputs" xfId="3140" xr:uid="{F89D9E25-8296-41A4-9232-1C9E189E5002}"/>
    <cellStyle name="s_HardInc  (2)_Celtic DCF Inputs_Book1" xfId="3141" xr:uid="{D405200B-4F87-4AC4-92B2-55EF4A66E8A0}"/>
    <cellStyle name="s_HardInc  (2)_Celtic DCF Inputs_Draft reporting v4 031709" xfId="3142" xr:uid="{05EB809C-8BD0-4473-A165-08BA1E943DFB}"/>
    <cellStyle name="s_HardInc  (2)_Celtic DCF Inputs_Draft reporting v6 031909" xfId="3143" xr:uid="{219ADF05-CA83-4E53-BE29-F425F43016B0}"/>
    <cellStyle name="s_HardInc  (2)_Celtic DCF Inputs_Draft reporting v7 032509" xfId="3144" xr:uid="{5CFFD85C-278B-4F36-A6F5-B62CD08DE9B8}"/>
    <cellStyle name="s_HardInc  (2)_Celtic DCF_Book1" xfId="3145" xr:uid="{85C26A87-AB54-429E-A57A-AA7260E95103}"/>
    <cellStyle name="s_HardInc  (2)_Celtic DCF_Draft reporting v4 031709" xfId="3146" xr:uid="{B5BBFF67-980E-4A60-A90C-9A72C8B64191}"/>
    <cellStyle name="s_HardInc  (2)_Celtic DCF_Draft reporting v6 031909" xfId="3147" xr:uid="{C93A40C2-A1B4-4BF5-A77F-A6B2CDE82296}"/>
    <cellStyle name="s_HardInc  (2)_Celtic DCF_Draft reporting v7 032509" xfId="3148" xr:uid="{A223FC02-1508-4E5F-B6EB-F8B9DEF55140}"/>
    <cellStyle name="s_HardInc  (2)_Draft reporting v4 031709" xfId="3149" xr:uid="{A36CA712-5033-4DFF-B497-DE0D5E1BD6B8}"/>
    <cellStyle name="s_HardInc  (2)_Draft reporting v6 031909" xfId="3150" xr:uid="{537E0A42-4F02-4FD1-9D03-54D49FA016D8}"/>
    <cellStyle name="s_HardInc  (2)_Draft reporting v7 032509" xfId="3151" xr:uid="{C07AA1D9-85CC-4AA4-9AEE-569C6962A9EF}"/>
    <cellStyle name="s_HardInc  (2)_Valuation Summary" xfId="3152" xr:uid="{C28B1340-34C3-45B8-9ECC-9B9DA1FA4B3F}"/>
    <cellStyle name="s_HardInc  (2)_Valuation Summary_Book1" xfId="3153" xr:uid="{9348642D-5B5A-46A3-8240-02E46962D8DF}"/>
    <cellStyle name="s_HardInc  (2)_Valuation Summary_Draft reporting v4 031709" xfId="3154" xr:uid="{32ACCAE4-C90F-495F-9514-CEF1F6F459F7}"/>
    <cellStyle name="s_HardInc  (2)_Valuation Summary_Draft reporting v6 031909" xfId="3155" xr:uid="{2E86D24D-A978-460A-9E2C-D45267BCAA90}"/>
    <cellStyle name="s_HardInc  (2)_Valuation Summary_Draft reporting v7 032509" xfId="3156" xr:uid="{29DFEB15-DDD6-4193-A026-22664B077845}"/>
    <cellStyle name="s_HardInc _Book1" xfId="3157" xr:uid="{A7F70C7B-98CB-4213-83B6-340447770241}"/>
    <cellStyle name="s_HardInc _Celtic DCF" xfId="3158" xr:uid="{F0FDBB48-FBB3-4130-A0DD-4680752ACA14}"/>
    <cellStyle name="s_HardInc _Celtic DCF Inputs" xfId="3159" xr:uid="{73AE53C6-BB4B-427B-90CE-8A377F48D55F}"/>
    <cellStyle name="s_HardInc _Celtic DCF Inputs_Book1" xfId="3160" xr:uid="{4E3ACBAE-51DC-4127-B69F-82217F707523}"/>
    <cellStyle name="s_HardInc _Celtic DCF Inputs_Draft reporting v4 031709" xfId="3161" xr:uid="{51F07991-F1E3-4BCD-8FF9-D03EBA25F3BB}"/>
    <cellStyle name="s_HardInc _Celtic DCF Inputs_Draft reporting v6 031909" xfId="3162" xr:uid="{81E2093B-0DC5-499E-9B21-01AD77CFE455}"/>
    <cellStyle name="s_HardInc _Celtic DCF Inputs_Draft reporting v7 032509" xfId="3163" xr:uid="{C21619B7-B782-48FA-8646-A2BD3EA3503E}"/>
    <cellStyle name="s_HardInc _Celtic DCF_Book1" xfId="3164" xr:uid="{4B059601-8667-41BA-B9C0-529F790C43CF}"/>
    <cellStyle name="s_HardInc _Celtic DCF_Draft reporting v4 031709" xfId="3165" xr:uid="{C4E0C940-3CBB-4643-A4B0-C69AB4961D16}"/>
    <cellStyle name="s_HardInc _Celtic DCF_Draft reporting v6 031909" xfId="3166" xr:uid="{970664E1-744D-4251-95A0-73A4F67FDEDE}"/>
    <cellStyle name="s_HardInc _Celtic DCF_Draft reporting v7 032509" xfId="3167" xr:uid="{6706CCB4-08D4-4F29-BBEC-F3659B3DFD13}"/>
    <cellStyle name="s_HardInc _Draft reporting v4 031709" xfId="3168" xr:uid="{9986B438-C320-4859-B2ED-E535BB7EA124}"/>
    <cellStyle name="s_HardInc _Draft reporting v6 031909" xfId="3169" xr:uid="{24A8C1BD-23BE-4097-A00B-BBB36114ADC8}"/>
    <cellStyle name="s_HardInc _Draft reporting v7 032509" xfId="3170" xr:uid="{B3D5E335-2D54-47D8-84F1-87935B71CAE8}"/>
    <cellStyle name="s_HardInc _Valuation Summary" xfId="3171" xr:uid="{8E83DAD4-33CE-4628-8561-749BB323992B}"/>
    <cellStyle name="s_HardInc _Valuation Summary_Book1" xfId="3172" xr:uid="{A9374B24-01B0-4277-AEE7-99CA3CD1C6E5}"/>
    <cellStyle name="s_HardInc _Valuation Summary_Draft reporting v4 031709" xfId="3173" xr:uid="{A57DB57B-DFE9-40D4-993C-7D090D9E0B0E}"/>
    <cellStyle name="s_HardInc _Valuation Summary_Draft reporting v6 031909" xfId="3174" xr:uid="{0BE5B96F-6B1C-4572-B275-B93E7F53691A}"/>
    <cellStyle name="s_HardInc _Valuation Summary_Draft reporting v7 032509" xfId="3175" xr:uid="{5F43908D-731A-4B85-BD72-402DDD4EFE3C}"/>
    <cellStyle name="s_Has-Gets (2)" xfId="3176" xr:uid="{53E5861E-6451-4B1D-864A-84C66E07AE02}"/>
    <cellStyle name="s_Has-Gets (2)_1" xfId="3177" xr:uid="{36EF6E8F-DD53-4AD5-AA44-70CB902D58E4}"/>
    <cellStyle name="s_Has-Gets (2)_1_Book1" xfId="3178" xr:uid="{CA17D0C7-7677-457A-9ED5-0AFF26A926B1}"/>
    <cellStyle name="s_Has-Gets (2)_1_Draft reporting v4 031709" xfId="3179" xr:uid="{DBEBAE27-9947-4B59-953F-5CD6BC1E0F68}"/>
    <cellStyle name="s_Has-Gets (2)_1_Draft reporting v6 031909" xfId="3180" xr:uid="{82E1B6DC-7952-41C1-A6A8-47B91F23031A}"/>
    <cellStyle name="s_Has-Gets (2)_1_Draft reporting v7 032509" xfId="3181" xr:uid="{9F191A1B-F621-4F81-8C01-8864BCDBAD70}"/>
    <cellStyle name="s_Has-Gets (2)_Book1" xfId="3182" xr:uid="{621C503D-CC4F-435E-B3F3-F14C81DF6CA0}"/>
    <cellStyle name="s_Has-Gets (2)_Draft reporting v4 031709" xfId="3183" xr:uid="{974B0D31-1A0C-4D25-A0D7-DCCE62BBDF59}"/>
    <cellStyle name="s_Has-Gets (2)_Draft reporting v6 031909" xfId="3184" xr:uid="{BD5581A4-041E-4C0B-87E3-D768192EC705}"/>
    <cellStyle name="s_Has-Gets (2)_Draft reporting v7 032509" xfId="3185" xr:uid="{E75D1FCF-3394-4409-870B-740683937DB5}"/>
    <cellStyle name="s_Hist Graph" xfId="3186" xr:uid="{09EE0A3C-2FE5-45C3-A976-9884D84A65E0}"/>
    <cellStyle name="s_Hist Graph_1" xfId="3187" xr:uid="{E3B203B2-35FA-4EF7-ACFC-A5950C845BA2}"/>
    <cellStyle name="s_Hist Graph_1_Book1" xfId="3188" xr:uid="{25F2D606-0F07-48D8-BB32-0176635C1894}"/>
    <cellStyle name="s_Hist Graph_1_Draft reporting v4 031709" xfId="3189" xr:uid="{D7855D94-0992-406A-8977-9844F732D28C}"/>
    <cellStyle name="s_Hist Graph_1_Draft reporting v6 031909" xfId="3190" xr:uid="{9AD747A4-B1DF-4528-93AC-6CF51801C799}"/>
    <cellStyle name="s_Hist Graph_1_Draft reporting v7 032509" xfId="3191" xr:uid="{631CADF0-0C55-4160-BA4C-3BA042C2D522}"/>
    <cellStyle name="s_Hist Graph_2" xfId="3192" xr:uid="{DDA1D535-6427-4FE9-89DC-C78473D1EC1D}"/>
    <cellStyle name="s_Hist Graph_2_Book1" xfId="3193" xr:uid="{CFC87491-1B3F-4DFF-B09F-B81F2B4C8B06}"/>
    <cellStyle name="s_Hist Graph_2_Draft reporting v4 031709" xfId="3194" xr:uid="{E1FA7A91-409B-4348-A889-9941290E24D9}"/>
    <cellStyle name="s_Hist Graph_2_Draft reporting v6 031909" xfId="3195" xr:uid="{7018D871-4C49-4203-B136-0C01B1472289}"/>
    <cellStyle name="s_Hist Graph_2_Draft reporting v7 032509" xfId="3196" xr:uid="{554C78E5-AB62-46B8-89AC-5975E1934C0E}"/>
    <cellStyle name="s_Hist Graph_Book1" xfId="3197" xr:uid="{071C2B8C-6CC8-45E8-B1F2-54B7FCEDB1F2}"/>
    <cellStyle name="s_Hist Graph_Draft reporting v4 031709" xfId="3198" xr:uid="{11BC0D04-83E7-460D-BB78-3A8EA24F3957}"/>
    <cellStyle name="s_Hist Graph_Draft reporting v6 031909" xfId="3199" xr:uid="{7FF341C4-9DB6-4984-8231-B688B75A1AFE}"/>
    <cellStyle name="s_Hist Graph_Draft reporting v7 032509" xfId="3200" xr:uid="{D36849B6-4A76-43AB-967A-23C6472F7D09}"/>
    <cellStyle name="s_Hist Inputs" xfId="3201" xr:uid="{A4B9A961-96E2-4FDE-A5A6-6BA43117ED6C}"/>
    <cellStyle name="s_Hist Inputs (2)" xfId="3202" xr:uid="{F0F24DB2-70D7-4856-97CD-F744DE4579BD}"/>
    <cellStyle name="s_Hist Inputs (2)_1" xfId="3203" xr:uid="{61F99672-ED9E-4DD7-991D-C4529986E5B5}"/>
    <cellStyle name="s_Hist Inputs (2)_1_Book1" xfId="3204" xr:uid="{D1E722C8-A30A-4B04-A148-8A861EAABA20}"/>
    <cellStyle name="s_Hist Inputs (2)_1_Draft reporting v4 031709" xfId="3205" xr:uid="{A2487996-EFA0-416D-AFAB-12D55D05DBC5}"/>
    <cellStyle name="s_Hist Inputs (2)_1_Draft reporting v6 031909" xfId="3206" xr:uid="{EC759917-F6EC-43F4-949B-FEA045EB7DDC}"/>
    <cellStyle name="s_Hist Inputs (2)_1_Draft reporting v7 032509" xfId="3207" xr:uid="{E94F40BC-61C3-4673-B76C-F084572069FD}"/>
    <cellStyle name="s_Hist Inputs (2)_Book1" xfId="3208" xr:uid="{8F7DBAD3-C6AF-4EF9-A882-A398BE647505}"/>
    <cellStyle name="s_Hist Inputs (2)_Draft reporting v4 031709" xfId="3209" xr:uid="{22C83935-17F7-41FB-895E-A74B70DB5729}"/>
    <cellStyle name="s_Hist Inputs (2)_Draft reporting v6 031909" xfId="3210" xr:uid="{03227DC6-A21E-4992-84C8-5044982851BB}"/>
    <cellStyle name="s_Hist Inputs (2)_Draft reporting v7 032509" xfId="3211" xr:uid="{C4DCA691-8E7F-4F32-B462-8F33CAD46048}"/>
    <cellStyle name="s_Hist Inputs_1" xfId="3212" xr:uid="{0347CC14-D16A-4E0B-AC51-382BDE5D6230}"/>
    <cellStyle name="s_Hist Inputs_1_AM0909" xfId="3213" xr:uid="{F6373777-695A-476C-985A-6E9604EA34FE}"/>
    <cellStyle name="s_Hist Inputs_1_AM0909_Book1" xfId="3214" xr:uid="{0C9D92FB-D997-4CD0-83A4-E2854094797D}"/>
    <cellStyle name="s_Hist Inputs_1_AM0909_Draft reporting v4 031709" xfId="3215" xr:uid="{14077534-5783-4D3C-8F82-453E51D8B72B}"/>
    <cellStyle name="s_Hist Inputs_1_AM0909_Draft reporting v6 031909" xfId="3216" xr:uid="{33D86A6D-A5DF-499B-AA17-E70071CC4C2F}"/>
    <cellStyle name="s_Hist Inputs_1_AM0909_Draft reporting v7 032509" xfId="3217" xr:uid="{F4DE5DA3-BC11-4633-9151-1F9EA22CEF15}"/>
    <cellStyle name="s_Hist Inputs_1_Book1" xfId="3218" xr:uid="{D4649F8D-D5A6-4ED6-A2C7-25A265C92AEE}"/>
    <cellStyle name="s_Hist Inputs_1_Brenner" xfId="3219" xr:uid="{3C8C5C2A-E31F-456A-8160-45EA6D0165FF}"/>
    <cellStyle name="s_Hist Inputs_1_Brenner_Book1" xfId="3220" xr:uid="{EBA325C3-A0EA-4C9D-B08D-110C5AA61C4A}"/>
    <cellStyle name="s_Hist Inputs_1_Brenner_Draft reporting v4 031709" xfId="3221" xr:uid="{CE86C404-056B-4E97-B725-E4B38F2F6EF3}"/>
    <cellStyle name="s_Hist Inputs_1_Brenner_Draft reporting v6 031909" xfId="3222" xr:uid="{055C5708-0007-40C5-BE6D-A6EA82F7E345}"/>
    <cellStyle name="s_Hist Inputs_1_Brenner_Draft reporting v7 032509" xfId="3223" xr:uid="{FCF539CE-6571-4D6E-9637-7721AE6373F4}"/>
    <cellStyle name="s_Hist Inputs_1_Draft reporting v4 031709" xfId="3224" xr:uid="{7BE98F2B-BA85-4D62-BBE1-BE622A01152E}"/>
    <cellStyle name="s_Hist Inputs_1_Draft reporting v6 031909" xfId="3225" xr:uid="{5235B4C3-A364-4559-89E7-4542A1FAF534}"/>
    <cellStyle name="s_Hist Inputs_1_Draft reporting v7 032509" xfId="3226" xr:uid="{95895994-B275-43E5-B61A-C13DA34FCBB3}"/>
    <cellStyle name="s_Hist Inputs_2" xfId="3227" xr:uid="{5289E644-C2E6-408F-B6C0-A40B36A7A2C9}"/>
    <cellStyle name="s_Hist Inputs_2_Book1" xfId="3228" xr:uid="{62AE4AE1-54D4-452C-9877-635FC22807D1}"/>
    <cellStyle name="s_Hist Inputs_2_Draft reporting v4 031709" xfId="3229" xr:uid="{864DB340-C6C3-4F78-BD09-80A0FDB54E78}"/>
    <cellStyle name="s_Hist Inputs_2_Draft reporting v6 031909" xfId="3230" xr:uid="{67539E06-32EA-48CB-8D8C-4EB5286DD830}"/>
    <cellStyle name="s_Hist Inputs_2_Draft reporting v7 032509" xfId="3231" xr:uid="{E5509B20-03FC-4439-B4AF-5650D3FD6C44}"/>
    <cellStyle name="s_Hist Inputs_AM0909" xfId="3232" xr:uid="{0F4347B4-7147-41AA-B857-F008D5A259A0}"/>
    <cellStyle name="s_Hist Inputs_AM0909_Book1" xfId="3233" xr:uid="{B4280E33-9179-41A3-A0AC-2F344EDF1719}"/>
    <cellStyle name="s_Hist Inputs_AM0909_Draft reporting v4 031709" xfId="3234" xr:uid="{4D54C859-B06D-4539-96CC-205580196C4A}"/>
    <cellStyle name="s_Hist Inputs_AM0909_Draft reporting v6 031909" xfId="3235" xr:uid="{459FD5E5-F7F1-429E-870D-1B244E039364}"/>
    <cellStyle name="s_Hist Inputs_AM0909_Draft reporting v7 032509" xfId="3236" xr:uid="{C49F4F75-9DB9-47E3-981A-8601EE00BF6F}"/>
    <cellStyle name="s_Hist Inputs_Book1" xfId="3237" xr:uid="{5DC0FC0C-A7E4-49C1-BBCB-0CF1DB6238D8}"/>
    <cellStyle name="s_Hist Inputs_Brenner" xfId="3238" xr:uid="{4D717402-F3D5-477C-AEE6-0CAA72A0F651}"/>
    <cellStyle name="s_Hist Inputs_Brenner_Book1" xfId="3239" xr:uid="{CBD97247-716B-4E19-A3A3-9CA045220E8B}"/>
    <cellStyle name="s_Hist Inputs_Brenner_Draft reporting v4 031709" xfId="3240" xr:uid="{E57B9947-FA76-4AE7-8F40-EA8C7B7DA5EE}"/>
    <cellStyle name="s_Hist Inputs_Brenner_Draft reporting v6 031909" xfId="3241" xr:uid="{B55E089B-4C73-42B4-8998-FEA97639C22C}"/>
    <cellStyle name="s_Hist Inputs_Brenner_Draft reporting v7 032509" xfId="3242" xr:uid="{D241B80A-E74D-4036-BDFF-5E20FD18FEF2}"/>
    <cellStyle name="s_Hist Inputs_Draft reporting v4 031709" xfId="3243" xr:uid="{A50EA99E-4AF0-4648-8154-C6E7EA3CF1B2}"/>
    <cellStyle name="s_Hist Inputs_Draft reporting v6 031909" xfId="3244" xr:uid="{3737349D-A0CC-40AC-A07E-01B7C3A19F7B}"/>
    <cellStyle name="s_Hist Inputs_Draft reporting v7 032509" xfId="3245" xr:uid="{61140360-237B-45FD-AF1D-6D5BC15376B3}"/>
    <cellStyle name="s_IFF-BOA mini-meger" xfId="3246" xr:uid="{C8191C6F-DFAC-45E9-A567-9972BF583726}"/>
    <cellStyle name="s_IFF-BOA mini-meger_1" xfId="3247" xr:uid="{3ED9D902-64B8-4D0F-A11E-F356ED9422F1}"/>
    <cellStyle name="s_IFF-BOA mini-meger_1_Book1" xfId="3248" xr:uid="{4F1491FE-9244-43FE-A110-004120CF89AF}"/>
    <cellStyle name="s_IFF-BOA mini-meger_1_Draft reporting v4 031709" xfId="3249" xr:uid="{DD187ACD-676D-4874-A457-9B9D29792C3F}"/>
    <cellStyle name="s_IFF-BOA mini-meger_1_Draft reporting v6 031909" xfId="3250" xr:uid="{3ECC9893-4972-4D3C-9374-FF2D7F5E772D}"/>
    <cellStyle name="s_IFF-BOA mini-meger_1_Draft reporting v7 032509" xfId="3251" xr:uid="{06CDEBB9-ADA4-4E61-8CA5-4D8A5535D037}"/>
    <cellStyle name="s_IFF-BOA mini-meger_Book1" xfId="3252" xr:uid="{404B7893-C174-4646-B808-0456769ACB7A}"/>
    <cellStyle name="s_IFF-BOA mini-meger_Draft reporting v4 031709" xfId="3253" xr:uid="{E5E06DFA-5896-475D-8039-C3DD8F97F712}"/>
    <cellStyle name="s_IFF-BOA mini-meger_Draft reporting v6 031909" xfId="3254" xr:uid="{AD9A093E-C157-44CF-AD8A-EBE9C62E1CF5}"/>
    <cellStyle name="s_IFF-BOA mini-meger_Draft reporting v7 032509" xfId="3255" xr:uid="{9FFB62A6-9A98-4BA0-8A00-762812508D68}"/>
    <cellStyle name="s_Inco LBO" xfId="3256" xr:uid="{FB62BA87-73D4-4C87-9B90-A4D3911D68CA}"/>
    <cellStyle name="s_Inco LBO_Book1" xfId="3257" xr:uid="{C2D7E67D-4431-488A-857C-BD594A39452C}"/>
    <cellStyle name="s_Inco LBO_Draft reporting v4 031709" xfId="3258" xr:uid="{056560C4-46DA-463A-9EFB-E799AA5BA394}"/>
    <cellStyle name="s_Inco LBO_Draft reporting v6 031909" xfId="3259" xr:uid="{EB44983D-8479-4352-ACEC-AF356003C1D1}"/>
    <cellStyle name="s_Inco LBO_Draft reporting v7 032509" xfId="3260" xr:uid="{DB04C081-E7D7-4345-ACD7-E4978E15CE34}"/>
    <cellStyle name="s_ingredients 2" xfId="3261" xr:uid="{FA350B20-3C8F-48CB-B414-528AE8B6F0FA}"/>
    <cellStyle name="s_ingredients 2_1" xfId="3262" xr:uid="{AB881534-B121-4026-8200-1BDB5294C24D}"/>
    <cellStyle name="s_ingredients 2_1_Book1" xfId="3263" xr:uid="{11F80974-BDA4-47E3-8D8C-E1C4A1478F2B}"/>
    <cellStyle name="s_ingredients 2_1_Draft reporting v4 031709" xfId="3264" xr:uid="{7DFE3B94-844C-4920-B96E-DD7CA0EA7BE2}"/>
    <cellStyle name="s_ingredients 2_1_Draft reporting v6 031909" xfId="3265" xr:uid="{B1CFC194-A5D6-404F-9CF6-52DBC2F53E1B}"/>
    <cellStyle name="s_ingredients 2_1_Draft reporting v7 032509" xfId="3266" xr:uid="{5C2067B5-38FE-4445-9FC5-2C0980056A7F}"/>
    <cellStyle name="s_ingredients 2_2" xfId="3267" xr:uid="{9589C28F-436D-4865-9E38-0221F6B2D039}"/>
    <cellStyle name="s_ingredients 2_2_Book1" xfId="3268" xr:uid="{9CBC77C8-A80F-4415-A8DD-90A5F73DD1B6}"/>
    <cellStyle name="s_ingredients 2_2_Draft reporting v4 031709" xfId="3269" xr:uid="{97CFE6A1-18C1-4453-B772-C3D6BE547B3A}"/>
    <cellStyle name="s_ingredients 2_2_Draft reporting v6 031909" xfId="3270" xr:uid="{F0FA031F-241D-4AA9-8780-D0DAB7B1170B}"/>
    <cellStyle name="s_ingredients 2_2_Draft reporting v7 032509" xfId="3271" xr:uid="{FD9949B0-41E2-4C51-9D34-0101FAA0C924}"/>
    <cellStyle name="s_ingredients 2_Book1" xfId="3272" xr:uid="{2720EEDC-509F-48D7-A772-5FC1D199DB4B}"/>
    <cellStyle name="s_ingredients 2_Draft reporting v4 031709" xfId="3273" xr:uid="{7085BD13-3D6C-4456-89E4-56633101384B}"/>
    <cellStyle name="s_ingredients 2_Draft reporting v6 031909" xfId="3274" xr:uid="{9192CE30-FF8A-4252-BA2F-EA5984B7A4F0}"/>
    <cellStyle name="s_ingredients 2_Draft reporting v7 032509" xfId="3275" xr:uid="{E03C1100-73B0-482D-B86D-95326BB61073}"/>
    <cellStyle name="s_IPO" xfId="3276" xr:uid="{EB105AD9-45A3-4188-AA7E-6811151759A5}"/>
    <cellStyle name="s_IPO_Book1" xfId="3277" xr:uid="{FAC5CC58-EB9E-4CA4-ADDE-11860CA3269F}"/>
    <cellStyle name="s_IPO_Draft reporting v4 031709" xfId="3278" xr:uid="{C6AC85E7-6A7C-4B4E-9BCC-DA8F99E24294}"/>
    <cellStyle name="s_IPO_Draft reporting v6 031909" xfId="3279" xr:uid="{425717E6-DB42-4B16-9124-1C4EC7636F3B}"/>
    <cellStyle name="s_IPO_Draft reporting v7 032509" xfId="3280" xr:uid="{80158215-9521-4C68-B6E6-9C27643F0F2F}"/>
    <cellStyle name="s_Ireland Model 3-24" xfId="3281" xr:uid="{DE705EF0-8D7A-4DF1-8DF5-E556378C760C}"/>
    <cellStyle name="s_Ireland Model 3-24_Book1" xfId="3282" xr:uid="{36FF779A-51E3-4D51-A76C-19CFA4854356}"/>
    <cellStyle name="s_Ireland Model 3-24_Draft reporting v4 031709" xfId="3283" xr:uid="{77F12868-0DE1-40E6-A461-0DECEAC9111D}"/>
    <cellStyle name="s_Ireland Model 3-24_Draft reporting v6 031909" xfId="3284" xr:uid="{AA731B21-9C9F-4821-BB73-2DDE6D85DD98}"/>
    <cellStyle name="s_Ireland Model 3-24_Draft reporting v7 032509" xfId="3285" xr:uid="{AF4D8129-F802-483E-B9D2-972EE01D8EAB}"/>
    <cellStyle name="s_IRR Sensitivity (2)" xfId="3286" xr:uid="{8751EF98-0747-43BE-BD2B-203817F48A27}"/>
    <cellStyle name="s_IRR Sensitivity (2)_1" xfId="3287" xr:uid="{D7A79E52-2BB8-48DF-A6BF-584C2301F390}"/>
    <cellStyle name="s_IRR Sensitivity (2)_1_Book1" xfId="3288" xr:uid="{8845536F-4368-4230-A106-6F0E2CC60956}"/>
    <cellStyle name="s_IRR Sensitivity (2)_1_Draft reporting v4 031709" xfId="3289" xr:uid="{8C8BF1D4-12BE-4A8F-B808-D2537A5F469C}"/>
    <cellStyle name="s_IRR Sensitivity (2)_1_Draft reporting v6 031909" xfId="3290" xr:uid="{1A7AB0B0-FAA8-47FE-850A-F28C6D936806}"/>
    <cellStyle name="s_IRR Sensitivity (2)_1_Draft reporting v7 032509" xfId="3291" xr:uid="{F4D259FB-A0B4-41F1-B29A-7E298DB12288}"/>
    <cellStyle name="s_IRR Sensitivity (2)_2" xfId="3292" xr:uid="{0BF19069-28F1-4CF9-9950-4B27A6936940}"/>
    <cellStyle name="s_IRR Sensitivity (2)_2_Book1" xfId="3293" xr:uid="{1BD350A9-C82B-4942-831B-CE5CB1C8A5F1}"/>
    <cellStyle name="s_IRR Sensitivity (2)_2_Draft reporting v4 031709" xfId="3294" xr:uid="{36DA14D8-D8C1-4125-B140-17DD2E0F9CAD}"/>
    <cellStyle name="s_IRR Sensitivity (2)_2_Draft reporting v6 031909" xfId="3295" xr:uid="{3DF97D3C-10AF-43CB-89FA-B57952C6B2B1}"/>
    <cellStyle name="s_IRR Sensitivity (2)_2_Draft reporting v7 032509" xfId="3296" xr:uid="{AF4FB9D1-1FE5-43D4-B728-A1C0C2120846}"/>
    <cellStyle name="s_IRR Sensitivity (2)_Book1" xfId="3297" xr:uid="{788D34B5-D744-4A92-9D47-CE645C0745EE}"/>
    <cellStyle name="s_IRR Sensitivity (2)_Draft reporting v4 031709" xfId="3298" xr:uid="{C9F624D4-9677-422D-970C-9DC8C888C09D}"/>
    <cellStyle name="s_IRR Sensitivity (2)_Draft reporting v6 031909" xfId="3299" xr:uid="{55D14A02-809F-4D69-9313-0E038EAB2022}"/>
    <cellStyle name="s_IRR Sensitivity (2)_Draft reporting v7 032509" xfId="3300" xr:uid="{8FD761F8-03ED-4AAE-ADFD-B2262217E71E}"/>
    <cellStyle name="s_LambSum_link_a" xfId="3301" xr:uid="{6C447BC4-B0F1-4524-9E3C-F9A99E5429FD}"/>
    <cellStyle name="s_LambSum_link_a_Book1" xfId="3302" xr:uid="{B8A17BF6-165C-45E2-BC50-E8FEC7A246CF}"/>
    <cellStyle name="s_LambSum_link_a_Draft reporting v4 031709" xfId="3303" xr:uid="{4C1E8B85-91B7-438E-B2E1-BFA5F20E8CAA}"/>
    <cellStyle name="s_LambSum_link_a_Draft reporting v6 031909" xfId="3304" xr:uid="{9D3BDCAA-BEB7-4892-8F99-C236E06E674A}"/>
    <cellStyle name="s_LambSum_link_a_Draft reporting v7 032509" xfId="3305" xr:uid="{1F09A190-B662-4A03-8E9B-A29E836293E7}"/>
    <cellStyle name="s_LBO" xfId="3306" xr:uid="{98BCB5D7-65D0-4946-8A47-C222C9F9DE7F}"/>
    <cellStyle name="s_LBO IRR" xfId="3307" xr:uid="{A6C07D83-51D9-4484-8DBE-D7FE21551611}"/>
    <cellStyle name="s_LBO IRR_1" xfId="3308" xr:uid="{100EF038-9955-4F51-A231-4E33C5DC0CC6}"/>
    <cellStyle name="s_LBO IRR_1_Book1" xfId="3309" xr:uid="{C2D9ED92-87FA-417B-A57C-BEB8CBFEBF74}"/>
    <cellStyle name="s_LBO IRR_1_Draft reporting v4 031709" xfId="3310" xr:uid="{9FEC2B80-D9CB-42E5-A657-5956CC25EA74}"/>
    <cellStyle name="s_LBO IRR_1_Draft reporting v6 031909" xfId="3311" xr:uid="{E84A2504-B534-42E1-AC36-FE643F9A9330}"/>
    <cellStyle name="s_LBO IRR_1_Draft reporting v7 032509" xfId="3312" xr:uid="{3BB66CFE-E8E4-4214-958D-1C79769E067E}"/>
    <cellStyle name="s_LBO IRR_2" xfId="3313" xr:uid="{AB3EC976-A0B2-46EA-A9E5-0C71D234C88C}"/>
    <cellStyle name="s_LBO IRR_2_Book1" xfId="3314" xr:uid="{62D32DD7-B564-4C6E-84E3-3B21E9A8DE8E}"/>
    <cellStyle name="s_LBO IRR_2_Draft reporting v4 031709" xfId="3315" xr:uid="{CF813FEA-6C95-4991-BD5A-4D0475BEFCFE}"/>
    <cellStyle name="s_LBO IRR_2_Draft reporting v6 031909" xfId="3316" xr:uid="{37BA1083-5AB7-4A88-B66B-1EFCBE898557}"/>
    <cellStyle name="s_LBO IRR_2_Draft reporting v7 032509" xfId="3317" xr:uid="{85AC7334-C133-488E-AF11-EA8CF4A62402}"/>
    <cellStyle name="s_LBO IRR_Book1" xfId="3318" xr:uid="{12637C7A-527C-4055-82C6-703CF749B40C}"/>
    <cellStyle name="s_LBO IRR_Draft reporting v4 031709" xfId="3319" xr:uid="{79D658F2-A85D-4AF3-B421-7AB862A96D9B}"/>
    <cellStyle name="s_LBO IRR_Draft reporting v6 031909" xfId="3320" xr:uid="{F0154669-20E7-4477-8415-3231E07F346B}"/>
    <cellStyle name="s_LBO IRR_Draft reporting v7 032509" xfId="3321" xr:uid="{D865B117-CCAA-4952-B0F7-1297FEA2AA9E}"/>
    <cellStyle name="s_LBO Sens" xfId="3322" xr:uid="{E8BAEC7C-8EFA-44CE-93F0-8FB627DC036C}"/>
    <cellStyle name="s_LBO Sens_1" xfId="3323" xr:uid="{94DC512B-CADD-4BDA-890B-A47FACC02E80}"/>
    <cellStyle name="s_LBO Sens_1_Book1" xfId="3324" xr:uid="{97AD8518-5975-4CDD-B82C-76052D4506BA}"/>
    <cellStyle name="s_LBO Sens_1_Draft reporting v4 031709" xfId="3325" xr:uid="{EAC7A795-C52A-44A9-B35D-F7ADB1E6A24C}"/>
    <cellStyle name="s_LBO Sens_1_Draft reporting v6 031909" xfId="3326" xr:uid="{8879323A-D14F-4B0F-8EA8-C2118C88416E}"/>
    <cellStyle name="s_LBO Sens_1_Draft reporting v7 032509" xfId="3327" xr:uid="{C1C25565-A885-47BE-9B3D-E12B37BA5101}"/>
    <cellStyle name="s_LBO Sens_2" xfId="3328" xr:uid="{8BF0848C-19DB-48C8-86B5-929A5F203200}"/>
    <cellStyle name="s_LBO Sens_2_Book1" xfId="3329" xr:uid="{447B514E-B836-4E84-8362-35091C8C5F74}"/>
    <cellStyle name="s_LBO Sens_2_Draft reporting v4 031709" xfId="3330" xr:uid="{297A7E9A-8F5D-48BC-BE1D-693E3DACD5A3}"/>
    <cellStyle name="s_LBO Sens_2_Draft reporting v6 031909" xfId="3331" xr:uid="{02F57A52-FB6E-4B6F-9187-DB3C14B60E07}"/>
    <cellStyle name="s_LBO Sens_2_Draft reporting v7 032509" xfId="3332" xr:uid="{527D533B-C901-4ADB-AEBC-69697837C7B3}"/>
    <cellStyle name="s_LBO Sens_Book1" xfId="3333" xr:uid="{56FB63E4-8411-45F8-9557-99B3B6F57D15}"/>
    <cellStyle name="s_LBO Sens_Draft reporting v4 031709" xfId="3334" xr:uid="{E79DD03D-F6E5-4CBC-A205-E6C41F3E8575}"/>
    <cellStyle name="s_LBO Sens_Draft reporting v6 031909" xfId="3335" xr:uid="{2AD2CE1D-BFC2-471F-BA35-9B161C46A4F4}"/>
    <cellStyle name="s_LBO Sens_Draft reporting v7 032509" xfId="3336" xr:uid="{E05AF291-99C7-4792-9F17-5478A5A205E4}"/>
    <cellStyle name="s_LBO Summary" xfId="3337" xr:uid="{28868A86-CBEE-45FC-9A5D-36AB1516EB0B}"/>
    <cellStyle name="s_LBO Summary_1" xfId="3338" xr:uid="{473D0902-3018-4A8D-8717-1701C68F25E1}"/>
    <cellStyle name="s_LBO Summary_1_Book1" xfId="3339" xr:uid="{053658A3-4349-40AB-BA68-5FA1DA18A91A}"/>
    <cellStyle name="s_LBO Summary_1_Draft reporting v4 031709" xfId="3340" xr:uid="{2F7175BC-0D25-4A06-8557-09BA7E7C9F2B}"/>
    <cellStyle name="s_LBO Summary_1_Draft reporting v6 031909" xfId="3341" xr:uid="{C16875FB-D3CD-42B0-BE69-023F0A2C3E57}"/>
    <cellStyle name="s_LBO Summary_1_Draft reporting v7 032509" xfId="3342" xr:uid="{C28F5413-8CE5-45AE-8353-A28D89EC4DB2}"/>
    <cellStyle name="s_LBO Summary_1_Mary911" xfId="3343" xr:uid="{B9DAD141-8F8D-4BFD-8879-A39F1805B509}"/>
    <cellStyle name="s_LBO Summary_1_Mary911_Book1" xfId="3344" xr:uid="{2231BB01-8B3B-4239-B33D-1FAAD4217718}"/>
    <cellStyle name="s_LBO Summary_1_Mary911_Draft reporting v4 031709" xfId="3345" xr:uid="{D0013FD9-394E-46A9-8093-56BF5DA2CD39}"/>
    <cellStyle name="s_LBO Summary_1_Mary911_Draft reporting v6 031909" xfId="3346" xr:uid="{B0502F9C-47D4-4D24-8889-400860E0ADC2}"/>
    <cellStyle name="s_LBO Summary_1_Mary911_Draft reporting v7 032509" xfId="3347" xr:uid="{8D10BB68-9D37-4739-8CED-86984A60E04F}"/>
    <cellStyle name="s_LBO Summary_1_mona0915a" xfId="3348" xr:uid="{0E18F761-E5D9-40E3-9671-F849A7813D02}"/>
    <cellStyle name="s_LBO Summary_1_mona0915a_Book1" xfId="3349" xr:uid="{00C05CBD-EF3C-4956-A238-2244997628D5}"/>
    <cellStyle name="s_LBO Summary_1_mona0915a_Draft reporting v4 031709" xfId="3350" xr:uid="{70F30303-10D5-4390-99C3-CBB198710C8C}"/>
    <cellStyle name="s_LBO Summary_1_mona0915a_Draft reporting v6 031909" xfId="3351" xr:uid="{D4C1AC56-FE26-4779-9F19-49973D974708}"/>
    <cellStyle name="s_LBO Summary_1_mona0915a_Draft reporting v7 032509" xfId="3352" xr:uid="{03C6088E-776B-463A-9EF2-9F952E06441E}"/>
    <cellStyle name="s_LBO Summary_1_mona0915b" xfId="3353" xr:uid="{73E6E4DC-41D5-40DA-B2A4-5A1257591502}"/>
    <cellStyle name="s_LBO Summary_1_mona0915b_Book1" xfId="3354" xr:uid="{4A3F112B-5A5A-40F0-8877-047E46F8351E}"/>
    <cellStyle name="s_LBO Summary_1_mona0915b_Draft reporting v4 031709" xfId="3355" xr:uid="{B81619AD-8636-43E9-A216-9371F51AB9EC}"/>
    <cellStyle name="s_LBO Summary_1_mona0915b_Draft reporting v6 031909" xfId="3356" xr:uid="{99DE946F-B932-4CB7-AA0D-5FAB57149356}"/>
    <cellStyle name="s_LBO Summary_1_mona0915b_Draft reporting v7 032509" xfId="3357" xr:uid="{7CF4BFEF-9088-4EBF-AF0C-4FEB974B9328}"/>
    <cellStyle name="s_LBO Summary_2" xfId="3358" xr:uid="{1A1301CE-3142-4532-80DF-CB245F288EC5}"/>
    <cellStyle name="s_LBO Summary_2_AM0909" xfId="3359" xr:uid="{77C0D2A4-8338-4348-B340-33DFEFEF56C6}"/>
    <cellStyle name="s_LBO Summary_2_AM0909_Book1" xfId="3360" xr:uid="{DF7A5D9E-400B-495C-8DF6-88EA302B32AD}"/>
    <cellStyle name="s_LBO Summary_2_AM0909_Draft reporting v4 031709" xfId="3361" xr:uid="{48B85BC7-CEF5-45AC-A593-7A8656966317}"/>
    <cellStyle name="s_LBO Summary_2_AM0909_Draft reporting v6 031909" xfId="3362" xr:uid="{254EE533-6D08-4724-BC17-F1F674471B41}"/>
    <cellStyle name="s_LBO Summary_2_AM0909_Draft reporting v7 032509" xfId="3363" xr:uid="{BAEA10A0-73E4-4A48-B762-B4BC0A134000}"/>
    <cellStyle name="s_LBO Summary_2_Book1" xfId="3364" xr:uid="{0E2602CD-4A63-4D5D-88E7-2C4C05E9907B}"/>
    <cellStyle name="s_LBO Summary_2_Brenner" xfId="3365" xr:uid="{9AAF8238-4720-496A-A49E-4063653C6C02}"/>
    <cellStyle name="s_LBO Summary_2_Brenner_Book1" xfId="3366" xr:uid="{048F289E-9D50-469A-979D-6E69AA36BBA0}"/>
    <cellStyle name="s_LBO Summary_2_Brenner_Draft reporting v4 031709" xfId="3367" xr:uid="{34C52F41-C14B-407A-AA19-D6E1F79DEBE2}"/>
    <cellStyle name="s_LBO Summary_2_Brenner_Draft reporting v6 031909" xfId="3368" xr:uid="{F396DAB6-E6FF-418E-9A3E-034C2A374BF0}"/>
    <cellStyle name="s_LBO Summary_2_Brenner_Draft reporting v7 032509" xfId="3369" xr:uid="{F19D614B-0056-460C-897F-513C2E970587}"/>
    <cellStyle name="s_LBO Summary_2_Draft reporting v4 031709" xfId="3370" xr:uid="{784D37FE-8D97-4E87-9608-9802945F43F0}"/>
    <cellStyle name="s_LBO Summary_2_Draft reporting v6 031909" xfId="3371" xr:uid="{C62DFC45-0271-44FB-957E-BF9C29FCC221}"/>
    <cellStyle name="s_LBO Summary_2_Draft reporting v7 032509" xfId="3372" xr:uid="{A625FD82-9AD2-48B0-AA16-0CD393087853}"/>
    <cellStyle name="s_LBO Summary_AM0909" xfId="3373" xr:uid="{2A5022BF-7F23-45F7-B76A-14D26412BF94}"/>
    <cellStyle name="s_LBO Summary_AM0909_Book1" xfId="3374" xr:uid="{3512C211-E6D8-4287-B5DC-D6923D665A70}"/>
    <cellStyle name="s_LBO Summary_AM0909_Draft reporting v4 031709" xfId="3375" xr:uid="{D11B3BB9-6EF7-4EC5-99BF-FBB76B2722FB}"/>
    <cellStyle name="s_LBO Summary_AM0909_Draft reporting v6 031909" xfId="3376" xr:uid="{6FB30DC7-2A4A-4B2D-BEAC-068F8802DA29}"/>
    <cellStyle name="s_LBO Summary_AM0909_Draft reporting v7 032509" xfId="3377" xr:uid="{23E0725E-C6A6-4D3E-BA75-EE32DF930C59}"/>
    <cellStyle name="s_LBO Summary_Book1" xfId="3378" xr:uid="{DB0A9DEF-4CBF-4AEB-94D6-8D7CC7CF0B79}"/>
    <cellStyle name="s_LBO Summary_Brenner" xfId="3379" xr:uid="{A61ABBEE-9A55-4D93-B9C2-83CC79181C62}"/>
    <cellStyle name="s_LBO Summary_Brenner_Book1" xfId="3380" xr:uid="{99D9C899-6CBC-4318-8D78-4C0B7B181058}"/>
    <cellStyle name="s_LBO Summary_Brenner_Draft reporting v4 031709" xfId="3381" xr:uid="{2159D3E5-E050-4281-A055-C5DCD1E046C2}"/>
    <cellStyle name="s_LBO Summary_Brenner_Draft reporting v6 031909" xfId="3382" xr:uid="{041810F0-9826-462A-BCCB-BDCB5D516923}"/>
    <cellStyle name="s_LBO Summary_Brenner_Draft reporting v7 032509" xfId="3383" xr:uid="{5E491412-41A2-4877-98AA-9FD6130B2C51}"/>
    <cellStyle name="s_LBO Summary_Draft reporting v4 031709" xfId="3384" xr:uid="{8F23300B-21F7-4723-825D-A8B65D3552BE}"/>
    <cellStyle name="s_LBO Summary_Draft reporting v6 031909" xfId="3385" xr:uid="{DA043DF3-30F4-4E56-8F0E-B6F9D96695C3}"/>
    <cellStyle name="s_LBO Summary_Draft reporting v7 032509" xfId="3386" xr:uid="{EFCD329A-AA2A-46A8-A6B2-E9AE8E05F909}"/>
    <cellStyle name="s_LBO Summary_Mary911" xfId="3387" xr:uid="{61664FEF-4B2D-4310-9EF1-B371EB394C12}"/>
    <cellStyle name="s_LBO Summary_Mary911_Book1" xfId="3388" xr:uid="{B4D45122-ADC6-4B6B-9F13-BC316036F69F}"/>
    <cellStyle name="s_LBO Summary_Mary911_Draft reporting v4 031709" xfId="3389" xr:uid="{1EBF8913-B7A5-44A0-B512-DA57C3B4654F}"/>
    <cellStyle name="s_LBO Summary_Mary911_Draft reporting v6 031909" xfId="3390" xr:uid="{3BC8C306-1203-404A-9304-D0E5C2893542}"/>
    <cellStyle name="s_LBO Summary_Mary911_Draft reporting v7 032509" xfId="3391" xr:uid="{80F9753D-E5B4-43FD-8469-6AFAABF3656C}"/>
    <cellStyle name="s_LBO Summary_mona0915a" xfId="3392" xr:uid="{B8479E03-6FAD-4E9C-A3ED-CFF492C56EC5}"/>
    <cellStyle name="s_LBO Summary_mona0915a_Book1" xfId="3393" xr:uid="{3D457E62-F69B-4262-88DD-A6E13E90A932}"/>
    <cellStyle name="s_LBO Summary_mona0915a_Draft reporting v4 031709" xfId="3394" xr:uid="{614174E0-4CA9-4657-ADE4-710E2AD6E827}"/>
    <cellStyle name="s_LBO Summary_mona0915a_Draft reporting v6 031909" xfId="3395" xr:uid="{5341C296-966A-4A81-AC71-B5FE2887BE5E}"/>
    <cellStyle name="s_LBO Summary_mona0915a_Draft reporting v7 032509" xfId="3396" xr:uid="{8B00364D-E0AA-445B-A74E-6B629F923E68}"/>
    <cellStyle name="s_LBO Summary_mona0915b" xfId="3397" xr:uid="{7FEA1A48-7C2C-4E1F-B447-E5934EB7F2E4}"/>
    <cellStyle name="s_LBO Summary_mona0915b_Book1" xfId="3398" xr:uid="{9A5B88D0-6AC1-46F1-975E-AC388F070C1E}"/>
    <cellStyle name="s_LBO Summary_mona0915b_Draft reporting v4 031709" xfId="3399" xr:uid="{2045B0ED-E114-4864-9582-197D58FD0ABE}"/>
    <cellStyle name="s_LBO Summary_mona0915b_Draft reporting v6 031909" xfId="3400" xr:uid="{C677376B-EDC5-4C7E-9AC5-88DF4D1B11C7}"/>
    <cellStyle name="s_LBO Summary_mona0915b_Draft reporting v7 032509" xfId="3401" xr:uid="{AB27EE56-A3EE-4FD8-A359-25FF0C3BDAF3}"/>
    <cellStyle name="s_LBO_1" xfId="3402" xr:uid="{E7D6C372-B14E-4F0C-8167-7E20266D84A1}"/>
    <cellStyle name="s_LBO_1_Book1" xfId="3403" xr:uid="{3120B328-26C0-4D12-ADBC-B41F82C5B044}"/>
    <cellStyle name="s_LBO_1_Draft reporting v4 031709" xfId="3404" xr:uid="{C8415E31-E042-4CB1-A6B7-F063D84E06A7}"/>
    <cellStyle name="s_LBO_1_Draft reporting v6 031909" xfId="3405" xr:uid="{F6BA1DA9-7649-423E-B160-9ABC4258386F}"/>
    <cellStyle name="s_LBO_1_Draft reporting v7 032509" xfId="3406" xr:uid="{9EDDE1FD-45B5-403E-B15F-9204B16E74D6}"/>
    <cellStyle name="s_LBO_2" xfId="3407" xr:uid="{4493478B-FA8F-4B5E-AF38-78B592E28872}"/>
    <cellStyle name="s_LBO_2_Book1" xfId="3408" xr:uid="{213796DF-55DB-4316-86C9-CA2609044165}"/>
    <cellStyle name="s_LBO_2_Draft reporting v4 031709" xfId="3409" xr:uid="{3E25C4F8-6B8E-4D0E-815C-F9C6F7CF1394}"/>
    <cellStyle name="s_LBO_2_Draft reporting v6 031909" xfId="3410" xr:uid="{73332B52-5892-4FBC-B297-3F54AE91EDD1}"/>
    <cellStyle name="s_LBO_2_Draft reporting v7 032509" xfId="3411" xr:uid="{78D30635-1039-49BC-A782-60712045D55F}"/>
    <cellStyle name="s_LBO_Book1" xfId="3412" xr:uid="{A32CE849-695C-44E5-86D1-8BDFEBCE9EAF}"/>
    <cellStyle name="s_LBO_Draft reporting v4 031709" xfId="3413" xr:uid="{A9F56682-4331-44C5-955E-3F1B4A68D849}"/>
    <cellStyle name="s_LBO_Draft reporting v6 031909" xfId="3414" xr:uid="{3341EC42-A995-498B-8FE2-B102453C82B8}"/>
    <cellStyle name="s_LBO_Draft reporting v7 032509" xfId="3415" xr:uid="{869E01DA-0E1E-4552-852B-2AC9BFF9EF5A}"/>
    <cellStyle name="s_Mary911" xfId="3416" xr:uid="{64724A38-35C8-4F54-8F5E-6F5336925775}"/>
    <cellStyle name="s_Mary911_Book1" xfId="3417" xr:uid="{5703C19F-6E04-4813-AD3C-B34C1286960A}"/>
    <cellStyle name="s_Mary911_Draft reporting v4 031709" xfId="3418" xr:uid="{963FA4E9-1C11-4FAA-84EA-9D4FE439CBED}"/>
    <cellStyle name="s_Mary911_Draft reporting v6 031909" xfId="3419" xr:uid="{5C619768-19CC-4320-8940-6D705A9157D8}"/>
    <cellStyle name="s_Mary911_Draft reporting v7 032509" xfId="3420" xr:uid="{9AD4A1C5-B391-46AD-9221-20772DE3E10C}"/>
    <cellStyle name="s_Matterhorn IS" xfId="3421" xr:uid="{3FE41DF3-5928-409A-A650-0280AEF210C7}"/>
    <cellStyle name="s_Matterhorn IS_Book1" xfId="3422" xr:uid="{7FA5D928-4587-4E34-B7F3-9BA274927CD9}"/>
    <cellStyle name="s_Matterhorn IS_Draft reporting v4 031709" xfId="3423" xr:uid="{A991D92A-CFF7-409C-99AD-80CEBDF68EB9}"/>
    <cellStyle name="s_Matterhorn IS_Draft reporting v6 031909" xfId="3424" xr:uid="{05514729-3EF5-4ED7-9A61-30709D2DAA7A}"/>
    <cellStyle name="s_Matterhorn IS_Draft reporting v7 032509" xfId="3425" xr:uid="{D701608F-E384-464A-8DFF-2236E20E1110}"/>
    <cellStyle name="s_Merger model" xfId="3426" xr:uid="{21CAEAFB-EB9D-4284-BC79-C44B25B04495}"/>
    <cellStyle name="s_Merger model_Book1" xfId="3427" xr:uid="{F167F334-6B9F-4E22-AC08-4C0733115218}"/>
    <cellStyle name="s_Merger model_Draft reporting v4 031709" xfId="3428" xr:uid="{B57B3A09-1EDE-4CA3-9F0D-6B1392388730}"/>
    <cellStyle name="s_Merger model_Draft reporting v6 031909" xfId="3429" xr:uid="{3C39CA38-787E-4FEE-8532-FD1D7056B7E3}"/>
    <cellStyle name="s_Merger model_Draft reporting v7 032509" xfId="3430" xr:uid="{C8CE2439-A1D4-4364-B11F-7A01B2E9C906}"/>
    <cellStyle name="s_Mini merg7_20" xfId="3431" xr:uid="{AA1786EA-6F73-4289-A09F-69F70809178E}"/>
    <cellStyle name="s_Mini merg7_20_Book1" xfId="3432" xr:uid="{4186FB22-C9D5-49A8-84B4-42B07A1E4016}"/>
    <cellStyle name="s_Mini merg7_20_Draft reporting v4 031709" xfId="3433" xr:uid="{3F7ACE0D-A1A3-4E05-994C-92FA21E3E03B}"/>
    <cellStyle name="s_Mini merg7_20_Draft reporting v6 031909" xfId="3434" xr:uid="{8D9728EB-22E6-456F-95D1-694F6098C442}"/>
    <cellStyle name="s_Mini merg7_20_Draft reporting v7 032509" xfId="3435" xr:uid="{26FA808B-8B0A-4722-A8B4-76BC7ED5F010}"/>
    <cellStyle name="s_Model 1-31-01" xfId="3436" xr:uid="{21E46045-E8CC-4E87-8AF5-367E890834B4}"/>
    <cellStyle name="s_Model 1-31-01 c" xfId="3437" xr:uid="{D2E6D09D-08D6-4622-B7B5-C030595BF978}"/>
    <cellStyle name="s_Model 1-31-01 c_1" xfId="3438" xr:uid="{4E6911C3-FF72-4671-873D-2E91DEF9BCAF}"/>
    <cellStyle name="s_Model 1-31-01 c_1_Book1" xfId="3439" xr:uid="{78F6DEBF-5A08-4453-90E4-05E8F9E1A210}"/>
    <cellStyle name="s_Model 1-31-01 c_1_Draft reporting v4 031709" xfId="3440" xr:uid="{E2F20BDB-40D2-4B3E-AFD1-24133D3DB8B3}"/>
    <cellStyle name="s_Model 1-31-01 c_1_Draft reporting v6 031909" xfId="3441" xr:uid="{835210F0-8AF4-4A0B-95F4-B30CE3AC39E4}"/>
    <cellStyle name="s_Model 1-31-01 c_1_Draft reporting v7 032509" xfId="3442" xr:uid="{1E6E8485-D940-45C6-96F4-DC7D51AD4CDE}"/>
    <cellStyle name="s_Model 1-31-01 c_2" xfId="3443" xr:uid="{C905A816-6857-445A-9298-5653C8D82C9B}"/>
    <cellStyle name="s_Model 1-31-01 c_2_Book1" xfId="3444" xr:uid="{D9645098-FC94-41AA-AD3F-8C14C8F64506}"/>
    <cellStyle name="s_Model 1-31-01 c_2_Draft reporting v4 031709" xfId="3445" xr:uid="{45C00A33-6A1B-4050-A429-79EDDC4278FD}"/>
    <cellStyle name="s_Model 1-31-01 c_2_Draft reporting v6 031909" xfId="3446" xr:uid="{34F1EC68-4136-444E-95D9-8EBE6703AC67}"/>
    <cellStyle name="s_Model 1-31-01 c_2_Draft reporting v7 032509" xfId="3447" xr:uid="{7219F941-6C06-401D-A820-01B1C267FBB7}"/>
    <cellStyle name="s_Model 1-31-01 c_Book1" xfId="3448" xr:uid="{20B4DA23-4045-4980-B9AF-5FB528815318}"/>
    <cellStyle name="s_Model 1-31-01 c_Draft reporting v4 031709" xfId="3449" xr:uid="{EC3668DC-DF5E-4375-B36D-A066AA0723B9}"/>
    <cellStyle name="s_Model 1-31-01 c_Draft reporting v6 031909" xfId="3450" xr:uid="{2F80E4BA-F355-4721-A59A-8C2A7B1D2D59}"/>
    <cellStyle name="s_Model 1-31-01 c_Draft reporting v7 032509" xfId="3451" xr:uid="{57611A6C-EFC9-4830-8D4D-6C65AA311253}"/>
    <cellStyle name="s_Model 1-31-01_1" xfId="3452" xr:uid="{40AFCF13-3D33-45D2-8339-44781D48891A}"/>
    <cellStyle name="s_Model 1-31-01_1_Book1" xfId="3453" xr:uid="{8C5E54EF-E163-4DAF-B3C3-84EF89C81D0D}"/>
    <cellStyle name="s_Model 1-31-01_1_Draft reporting v4 031709" xfId="3454" xr:uid="{DAB6BB0E-A89B-43B9-A603-422D1615B177}"/>
    <cellStyle name="s_Model 1-31-01_1_Draft reporting v6 031909" xfId="3455" xr:uid="{1F5A73D0-FFBD-42EF-BCF8-BA98DA9C8CD6}"/>
    <cellStyle name="s_Model 1-31-01_1_Draft reporting v7 032509" xfId="3456" xr:uid="{BA198FFA-80A0-4833-93B2-3A5A05E60BB6}"/>
    <cellStyle name="s_Model 1-31-01_2" xfId="3457" xr:uid="{5B948C0F-F99B-47E7-BB02-EE51F5BA07AC}"/>
    <cellStyle name="s_Model 1-31-01_2_Book1" xfId="3458" xr:uid="{74084A5B-863A-4281-9ACC-A704DA5D23F6}"/>
    <cellStyle name="s_Model 1-31-01_2_Draft reporting v4 031709" xfId="3459" xr:uid="{684520AC-0D7B-41D6-A164-DACC18BAD597}"/>
    <cellStyle name="s_Model 1-31-01_2_Draft reporting v6 031909" xfId="3460" xr:uid="{9BABBCBB-B59B-4C03-88E7-C8D70944B7FA}"/>
    <cellStyle name="s_Model 1-31-01_2_Draft reporting v7 032509" xfId="3461" xr:uid="{8222E08E-5935-43AB-89FA-B143833FFB15}"/>
    <cellStyle name="s_Model 1-31-01_Book1" xfId="3462" xr:uid="{7946C74A-6324-4F8C-8AFE-371B3AF41832}"/>
    <cellStyle name="s_Model 1-31-01_Draft reporting v4 031709" xfId="3463" xr:uid="{A60F0151-8617-4BD4-8161-7CDECFA78C6D}"/>
    <cellStyle name="s_Model 1-31-01_Draft reporting v6 031909" xfId="3464" xr:uid="{12BBB516-AB5C-4720-834E-0817AFCCD8BF}"/>
    <cellStyle name="s_Model 1-31-01_Draft reporting v7 032509" xfId="3465" xr:uid="{B94374BF-FCF1-40BD-AD65-D6EDD2395CDF}"/>
    <cellStyle name="s_Model 2-1-01 b" xfId="3466" xr:uid="{ED05E61F-253C-422B-BC8A-272D7ACBF289}"/>
    <cellStyle name="s_Model 2-1-01 b_1" xfId="3467" xr:uid="{24121EB8-4ED5-4A4E-B557-580081C35C6D}"/>
    <cellStyle name="s_Model 2-1-01 b_1_Book1" xfId="3468" xr:uid="{938868A4-78F1-424C-A6AD-423D664FD724}"/>
    <cellStyle name="s_Model 2-1-01 b_1_Draft reporting v4 031709" xfId="3469" xr:uid="{E0F79395-3373-49C4-BEDB-08B13DD6C1E6}"/>
    <cellStyle name="s_Model 2-1-01 b_1_Draft reporting v6 031909" xfId="3470" xr:uid="{617915EB-1DF6-4F31-9682-04B3ADE43F1D}"/>
    <cellStyle name="s_Model 2-1-01 b_1_Draft reporting v7 032509" xfId="3471" xr:uid="{FA20F21B-19E6-4DCD-8331-8DDE60B8D6B7}"/>
    <cellStyle name="s_Model 2-1-01 b_Book1" xfId="3472" xr:uid="{C51C89DE-1D8D-4219-9DC8-E5C01055993D}"/>
    <cellStyle name="s_Model 2-1-01 b_Draft reporting v4 031709" xfId="3473" xr:uid="{7F2E7206-0CD7-417F-9E26-EC7B5E86AEA9}"/>
    <cellStyle name="s_Model 2-1-01 b_Draft reporting v6 031909" xfId="3474" xr:uid="{9E3CC0B9-B672-4916-8595-4D7ABB7186A6}"/>
    <cellStyle name="s_Model 2-1-01 b_Draft reporting v7 032509" xfId="3475" xr:uid="{E82C2F15-2279-46F0-8BDA-B35235FD4A74}"/>
    <cellStyle name="s_Model 2-1-01cb" xfId="3476" xr:uid="{A7AB27C1-9641-492C-870C-C86C3E6370A5}"/>
    <cellStyle name="s_Model 2-1-01cb_1" xfId="3477" xr:uid="{6150ECCE-8F1E-42EB-B4F3-4D24695CCD83}"/>
    <cellStyle name="s_Model 2-1-01cb_1_Book1" xfId="3478" xr:uid="{BBA3290A-AA29-430B-9BBA-2F779E89F873}"/>
    <cellStyle name="s_Model 2-1-01cb_1_Draft reporting v4 031709" xfId="3479" xr:uid="{130F9F81-FCF7-448C-B904-CC023E74D6D3}"/>
    <cellStyle name="s_Model 2-1-01cb_1_Draft reporting v6 031909" xfId="3480" xr:uid="{88E9A5EE-12A1-4520-B765-09EAC0574CD7}"/>
    <cellStyle name="s_Model 2-1-01cb_1_Draft reporting v7 032509" xfId="3481" xr:uid="{07BC7BA7-C944-4751-AF73-8B9884392204}"/>
    <cellStyle name="s_Model 2-1-01cb_2" xfId="3482" xr:uid="{54F402EC-E644-4021-B62E-8C749B68337A}"/>
    <cellStyle name="s_Model 2-1-01cb_2_Book1" xfId="3483" xr:uid="{C9246EEE-4338-449C-9FA5-8C431F69197C}"/>
    <cellStyle name="s_Model 2-1-01cb_2_Draft reporting v4 031709" xfId="3484" xr:uid="{CE114FA1-D041-4F93-B781-8F6855165553}"/>
    <cellStyle name="s_Model 2-1-01cb_2_Draft reporting v6 031909" xfId="3485" xr:uid="{6D3425D0-75A8-4F8A-ABFC-302BB6B3AFB8}"/>
    <cellStyle name="s_Model 2-1-01cb_2_Draft reporting v7 032509" xfId="3486" xr:uid="{8FFD5ECA-7AAD-4504-B093-0316656E218A}"/>
    <cellStyle name="s_Model 2-1-01cb_Book1" xfId="3487" xr:uid="{76C275BC-EC09-4F10-B0FA-467740665F0A}"/>
    <cellStyle name="s_Model 2-1-01cb_Draft reporting v4 031709" xfId="3488" xr:uid="{B8598F49-6BFB-4CCA-A62F-3B1CCEF065A9}"/>
    <cellStyle name="s_Model 2-1-01cb_Draft reporting v6 031909" xfId="3489" xr:uid="{A6326040-A158-4D07-B123-2E8C4D5001B8}"/>
    <cellStyle name="s_Model 2-1-01cb_Draft reporting v7 032509" xfId="3490" xr:uid="{F864D839-AD47-44A2-B770-7894FF9735BA}"/>
    <cellStyle name="s_Model 2-1-01d" xfId="3491" xr:uid="{2515F929-3886-46CB-A99B-4B095E4844DE}"/>
    <cellStyle name="s_Model 2-1-01d_1" xfId="3492" xr:uid="{86500677-D076-46BB-B069-D3D3B2D702CB}"/>
    <cellStyle name="s_Model 2-1-01d_1_Book1" xfId="3493" xr:uid="{BC53F47D-4A57-4A20-B4D8-3767A3ECFE45}"/>
    <cellStyle name="s_Model 2-1-01d_1_Draft reporting v4 031709" xfId="3494" xr:uid="{4FD9AB08-BF28-46A0-8EA8-A3535062E548}"/>
    <cellStyle name="s_Model 2-1-01d_1_Draft reporting v6 031909" xfId="3495" xr:uid="{77B025B4-0F29-475B-80C7-8F5F3D08CF77}"/>
    <cellStyle name="s_Model 2-1-01d_1_Draft reporting v7 032509" xfId="3496" xr:uid="{0838950C-B309-4657-9F47-939B12313126}"/>
    <cellStyle name="s_Model 2-1-01d_2" xfId="3497" xr:uid="{4D322184-22FB-4E10-9E93-149076CF915C}"/>
    <cellStyle name="s_Model 2-1-01d_2_Book1" xfId="3498" xr:uid="{5C61F696-6F95-4D75-B299-E670F6DF55DE}"/>
    <cellStyle name="s_Model 2-1-01d_2_Draft reporting v4 031709" xfId="3499" xr:uid="{4EF99BC2-7EAA-49D4-88E8-2FD80879CE5E}"/>
    <cellStyle name="s_Model 2-1-01d_2_Draft reporting v6 031909" xfId="3500" xr:uid="{0D9BEFB5-09E2-4E83-8856-7EEBDACD9689}"/>
    <cellStyle name="s_Model 2-1-01d_2_Draft reporting v7 032509" xfId="3501" xr:uid="{4158B87B-0AE0-48A9-83BD-3B3C2A90014C}"/>
    <cellStyle name="s_Model 2-1-01d_Book1" xfId="3502" xr:uid="{205D3AC0-CCB7-4E2C-BB19-0EF46FC1501D}"/>
    <cellStyle name="s_Model 2-1-01d_Draft reporting v4 031709" xfId="3503" xr:uid="{2D7BFA5A-5B50-42DB-AEB0-91BB7F130FDB}"/>
    <cellStyle name="s_Model 2-1-01d_Draft reporting v6 031909" xfId="3504" xr:uid="{80BFDAC7-1954-49BB-B94B-A8F5EFF2ABE6}"/>
    <cellStyle name="s_Model 2-1-01d_Draft reporting v7 032509" xfId="3505" xr:uid="{ACFA4C09-233D-4084-9082-A84B4E5A8B41}"/>
    <cellStyle name="s_Model 2-1-01e" xfId="3506" xr:uid="{F00D0452-1285-4702-9F0F-360FC3CEB42C}"/>
    <cellStyle name="s_Model 2-1-01e_1" xfId="3507" xr:uid="{892EE41A-A738-4D4F-B95A-27251400541E}"/>
    <cellStyle name="s_Model 2-1-01e_1_Book1" xfId="3508" xr:uid="{5C58DF48-2B80-4DFD-A5F1-4D219B32DEFB}"/>
    <cellStyle name="s_Model 2-1-01e_1_Draft reporting v4 031709" xfId="3509" xr:uid="{C8EFCF38-42AF-4CB9-93C4-90E4B676346D}"/>
    <cellStyle name="s_Model 2-1-01e_1_Draft reporting v6 031909" xfId="3510" xr:uid="{BEC3B5FB-3112-4AA0-B27E-6C6D7A05D496}"/>
    <cellStyle name="s_Model 2-1-01e_1_Draft reporting v7 032509" xfId="3511" xr:uid="{DC58C9DB-19A1-402F-B1C9-5F5638C240C4}"/>
    <cellStyle name="s_Model 2-1-01e_2" xfId="3512" xr:uid="{A0C72A7E-7014-46E1-BA88-25F2284D59FE}"/>
    <cellStyle name="s_Model 2-1-01e_2_Book1" xfId="3513" xr:uid="{EC6B7511-2296-4DAA-B3BF-FE0F1FD957ED}"/>
    <cellStyle name="s_Model 2-1-01e_2_Draft reporting v4 031709" xfId="3514" xr:uid="{932D8BEA-38C3-41C2-9737-4CC6E1EA474E}"/>
    <cellStyle name="s_Model 2-1-01e_2_Draft reporting v6 031909" xfId="3515" xr:uid="{53A6B083-A72F-460F-958D-A67D3911D653}"/>
    <cellStyle name="s_Model 2-1-01e_2_Draft reporting v7 032509" xfId="3516" xr:uid="{5EBA0663-30D8-488A-9B04-10D053F7A4AE}"/>
    <cellStyle name="s_Model 2-1-01e_Book1" xfId="3517" xr:uid="{DFA0B306-E3C7-4AE2-B7BA-461D698810D6}"/>
    <cellStyle name="s_Model 2-1-01e_Draft reporting v4 031709" xfId="3518" xr:uid="{FACEE50E-67F8-45AD-9C3E-0BF51063FCCC}"/>
    <cellStyle name="s_Model 2-1-01e_Draft reporting v6 031909" xfId="3519" xr:uid="{3041539B-F1F1-4422-8290-DA1F8CF37931}"/>
    <cellStyle name="s_Model 2-1-01e_Draft reporting v7 032509" xfId="3520" xr:uid="{1606A23A-0408-46EF-BD68-17105ADA4657}"/>
    <cellStyle name="s_Model 2-2-01 a" xfId="3521" xr:uid="{AE4B4AF1-C326-47E7-8C28-B326890A96C4}"/>
    <cellStyle name="s_Model 2-2-01 a_1" xfId="3522" xr:uid="{38D8A37E-F6F6-4FA3-8EE9-19DD3A0ACFC5}"/>
    <cellStyle name="s_Model 2-2-01 a_1_Book1" xfId="3523" xr:uid="{B27C4458-CF29-476D-8591-7C54282B7450}"/>
    <cellStyle name="s_Model 2-2-01 a_1_Draft reporting v4 031709" xfId="3524" xr:uid="{F35A0E8B-A2FE-47E0-8183-2DB884CB4AC4}"/>
    <cellStyle name="s_Model 2-2-01 a_1_Draft reporting v6 031909" xfId="3525" xr:uid="{5240FE1D-62B3-420C-B1B2-F4EF7A4C85E6}"/>
    <cellStyle name="s_Model 2-2-01 a_1_Draft reporting v7 032509" xfId="3526" xr:uid="{CE2BB151-870D-401C-B6CC-D106D185E602}"/>
    <cellStyle name="s_Model 2-2-01 a_Book1" xfId="3527" xr:uid="{4DF7F746-0265-4FEE-A52F-B76590B13848}"/>
    <cellStyle name="s_Model 2-2-01 a_Draft reporting v4 031709" xfId="3528" xr:uid="{4920C1ED-A864-41B9-992C-9DE3DE235FDD}"/>
    <cellStyle name="s_Model 2-2-01 a_Draft reporting v6 031909" xfId="3529" xr:uid="{8D5198D6-5B67-4BF6-9677-C6BAED72BB5F}"/>
    <cellStyle name="s_Model 2-2-01 a_Draft reporting v7 032509" xfId="3530" xr:uid="{C0B92C37-BDCE-486E-B408-97CF02A01981}"/>
    <cellStyle name="s_Model 2-2-01 b" xfId="3531" xr:uid="{D6653AB4-1E5F-4847-955C-FA486FFC2A82}"/>
    <cellStyle name="s_Model 2-2-01 b_1" xfId="3532" xr:uid="{26D19D0D-6B8E-48BC-BFBC-15166D7E6CB6}"/>
    <cellStyle name="s_Model 2-2-01 b_1_Book1" xfId="3533" xr:uid="{027D816F-F951-4C5B-8F82-42F2F11B7304}"/>
    <cellStyle name="s_Model 2-2-01 b_1_Draft reporting v4 031709" xfId="3534" xr:uid="{A798D64C-3D41-4B3D-8FE7-6A0C7DE7F98A}"/>
    <cellStyle name="s_Model 2-2-01 b_1_Draft reporting v6 031909" xfId="3535" xr:uid="{4CF826E9-7DDE-48B5-BD89-BEB0FBD90F81}"/>
    <cellStyle name="s_Model 2-2-01 b_1_Draft reporting v7 032509" xfId="3536" xr:uid="{533A5283-5B8C-405E-8327-58ADF6864A80}"/>
    <cellStyle name="s_Model 2-2-01 b_2" xfId="3537" xr:uid="{851051FE-6385-4150-938F-7F944F215A22}"/>
    <cellStyle name="s_Model 2-2-01 b_2_Book1" xfId="3538" xr:uid="{7E1B311E-A8DB-49FD-B543-5D2F780A0651}"/>
    <cellStyle name="s_Model 2-2-01 b_2_Draft reporting v4 031709" xfId="3539" xr:uid="{9F9916DE-0C7E-4180-B69B-B504405D0702}"/>
    <cellStyle name="s_Model 2-2-01 b_2_Draft reporting v6 031909" xfId="3540" xr:uid="{48F46836-8C01-4FBE-85BC-BAE989DEC4E2}"/>
    <cellStyle name="s_Model 2-2-01 b_2_Draft reporting v7 032509" xfId="3541" xr:uid="{BC6795FC-E4D1-4B3F-BF97-5DEDBE5F613C}"/>
    <cellStyle name="s_Model 2-2-01 b_Book1" xfId="3542" xr:uid="{B0B7A488-4324-4BFD-A673-A5C3740036E9}"/>
    <cellStyle name="s_Model 2-2-01 b_Draft reporting v4 031709" xfId="3543" xr:uid="{F0E7315B-7C08-4CBF-A12E-7412C75EFAFF}"/>
    <cellStyle name="s_Model 2-2-01 b_Draft reporting v6 031909" xfId="3544" xr:uid="{B3FE7615-1DDC-4FA4-A2F8-D4E247D1F191}"/>
    <cellStyle name="s_Model 2-2-01 b_Draft reporting v7 032509" xfId="3545" xr:uid="{46684123-A07B-43C0-97EB-87AB263457CC}"/>
    <cellStyle name="s_Model 2-3-01 d" xfId="3546" xr:uid="{1EA4532F-49E6-4447-98F2-9E0DBFCAD952}"/>
    <cellStyle name="s_Model 2-3-01 d_1" xfId="3547" xr:uid="{6AB4AC49-66A5-4AB3-8703-EB022A929A41}"/>
    <cellStyle name="s_Model 2-3-01 d_1_Book1" xfId="3548" xr:uid="{2120FD97-5B67-4B6E-A479-C6FB350D89A4}"/>
    <cellStyle name="s_Model 2-3-01 d_1_Draft reporting v4 031709" xfId="3549" xr:uid="{DB46836F-89AF-4DCD-BF55-9E842086D113}"/>
    <cellStyle name="s_Model 2-3-01 d_1_Draft reporting v6 031909" xfId="3550" xr:uid="{46AEC3DA-C33E-4D6A-B8A7-384C9C5CBAE5}"/>
    <cellStyle name="s_Model 2-3-01 d_1_Draft reporting v7 032509" xfId="3551" xr:uid="{FC1EFC07-7B04-48EC-855B-F6C63BB2FAA3}"/>
    <cellStyle name="s_Model 2-3-01 d_Book1" xfId="3552" xr:uid="{C60D31DC-96E9-4D89-A547-6610E4F8C174}"/>
    <cellStyle name="s_Model 2-3-01 d_Draft reporting v4 031709" xfId="3553" xr:uid="{15B1EB4B-0009-45E8-9B70-84348C6D3C93}"/>
    <cellStyle name="s_Model 2-3-01 d_Draft reporting v6 031909" xfId="3554" xr:uid="{143117BB-655D-4ED0-ABB6-CB4944308C5C}"/>
    <cellStyle name="s_Model 2-3-01 d_Draft reporting v7 032509" xfId="3555" xr:uid="{61720C4C-61F8-4152-A746-AA627B69400A}"/>
    <cellStyle name="s_Model 2-4-01 d" xfId="3556" xr:uid="{28F533E1-C020-42DB-A9D0-8E616DCA7330}"/>
    <cellStyle name="s_Model 2-4-01 d_1" xfId="3557" xr:uid="{CB0E1153-2244-477C-9704-B36FC18138BF}"/>
    <cellStyle name="s_Model 2-4-01 d_1_Book1" xfId="3558" xr:uid="{2B615CC8-F4BE-45DC-984D-F7B345852039}"/>
    <cellStyle name="s_Model 2-4-01 d_1_Draft reporting v4 031709" xfId="3559" xr:uid="{5FDFD733-23F9-4645-AF23-1E38E937539B}"/>
    <cellStyle name="s_Model 2-4-01 d_1_Draft reporting v6 031909" xfId="3560" xr:uid="{E76C1E3E-BAF6-4CD5-90AD-4BCA15381F38}"/>
    <cellStyle name="s_Model 2-4-01 d_1_Draft reporting v7 032509" xfId="3561" xr:uid="{0CFD970E-34F4-4C83-AB43-99D263C932CE}"/>
    <cellStyle name="s_Model 2-4-01 d_Book1" xfId="3562" xr:uid="{C4717182-4838-4D88-A0F3-FFD21C88AAC2}"/>
    <cellStyle name="s_Model 2-4-01 d_Draft reporting v4 031709" xfId="3563" xr:uid="{C9565568-29FA-44EA-9910-19E2C07CC131}"/>
    <cellStyle name="s_Model 2-4-01 d_Draft reporting v6 031909" xfId="3564" xr:uid="{5998F875-DEA4-49C5-8B61-145F28D09098}"/>
    <cellStyle name="s_Model 2-4-01 d_Draft reporting v7 032509" xfId="3565" xr:uid="{59810ECE-D4F4-4752-B97E-211476EDEB24}"/>
    <cellStyle name="s_Model 2-4-01 e" xfId="3566" xr:uid="{609F1459-55D8-42E0-8C86-682D318A9082}"/>
    <cellStyle name="s_Model 2-4-01 e_1" xfId="3567" xr:uid="{DF5406E2-6626-49A1-B564-4F342E62B39F}"/>
    <cellStyle name="s_Model 2-4-01 e_1_Book1" xfId="3568" xr:uid="{DF71B96E-C0A9-46F6-B939-F82F58922CCD}"/>
    <cellStyle name="s_Model 2-4-01 e_1_Draft reporting v4 031709" xfId="3569" xr:uid="{5F54148A-03AA-49BE-9F30-AE560D1BB4A0}"/>
    <cellStyle name="s_Model 2-4-01 e_1_Draft reporting v6 031909" xfId="3570" xr:uid="{7B2FFD63-5F92-4257-80DC-6E698F131F91}"/>
    <cellStyle name="s_Model 2-4-01 e_1_Draft reporting v7 032509" xfId="3571" xr:uid="{DBFDE6B3-85E5-49D5-A569-291BD88B6B53}"/>
    <cellStyle name="s_Model 2-4-01 e_Book1" xfId="3572" xr:uid="{9F1BB9F3-836D-42F3-9A14-A22A2DDC70A5}"/>
    <cellStyle name="s_Model 2-4-01 e_Draft reporting v4 031709" xfId="3573" xr:uid="{67AA4C00-7637-4813-8353-7FA7954324D6}"/>
    <cellStyle name="s_Model 2-4-01 e_Draft reporting v6 031909" xfId="3574" xr:uid="{8506CCF1-3BD0-44AA-8F4C-4EA91C17B525}"/>
    <cellStyle name="s_Model 2-4-01 e_Draft reporting v7 032509" xfId="3575" xr:uid="{1A528AAD-12DC-4393-A86F-8AE597124454}"/>
    <cellStyle name="s_Model 2-5-01 d" xfId="3576" xr:uid="{71A2578F-0EF5-4131-A406-39EC82D62BAD}"/>
    <cellStyle name="s_Model 2-5-01 d_1" xfId="3577" xr:uid="{04DF6120-076C-4E45-B13B-1D52313C681D}"/>
    <cellStyle name="s_Model 2-5-01 d_1_Book1" xfId="3578" xr:uid="{262578A5-D54D-441D-A86A-88DB20E17B05}"/>
    <cellStyle name="s_Model 2-5-01 d_1_Draft reporting v4 031709" xfId="3579" xr:uid="{18A39A5A-C210-45EF-A1EE-65CB714EF958}"/>
    <cellStyle name="s_Model 2-5-01 d_1_Draft reporting v6 031909" xfId="3580" xr:uid="{9489CE81-9445-4692-8C78-8F3E805A7697}"/>
    <cellStyle name="s_Model 2-5-01 d_1_Draft reporting v7 032509" xfId="3581" xr:uid="{2CAB32A1-CE00-4457-B6FC-8B6B3E01713D}"/>
    <cellStyle name="s_Model 2-5-01 d_Book1" xfId="3582" xr:uid="{46E037EE-FB4B-4BFD-A83E-B44597590D0E}"/>
    <cellStyle name="s_Model 2-5-01 d_Draft reporting v4 031709" xfId="3583" xr:uid="{D8969689-B1CF-423C-B645-7FAC86568355}"/>
    <cellStyle name="s_Model 2-5-01 d_Draft reporting v6 031909" xfId="3584" xr:uid="{9C87FC3E-263A-4969-A72F-CE4F0A4620C0}"/>
    <cellStyle name="s_Model 2-5-01 d_Draft reporting v7 032509" xfId="3585" xr:uid="{D20B4DB8-BBF1-4960-BEFD-A5F3D599E754}"/>
    <cellStyle name="s_Model 2-8-01 a" xfId="3586" xr:uid="{B4C2BA97-7919-419E-9935-497894D2A442}"/>
    <cellStyle name="s_Model 2-8-01 a_1" xfId="3587" xr:uid="{ED75FF9E-2609-4F74-8C43-61959A91B6C4}"/>
    <cellStyle name="s_Model 2-8-01 a_1_Book1" xfId="3588" xr:uid="{4C2E9FC8-1C86-433B-AFE1-9A03A231C6DD}"/>
    <cellStyle name="s_Model 2-8-01 a_1_Draft reporting v4 031709" xfId="3589" xr:uid="{9D267692-4DA5-4234-8AEA-54C541535392}"/>
    <cellStyle name="s_Model 2-8-01 a_1_Draft reporting v6 031909" xfId="3590" xr:uid="{C9222939-1453-49CC-BB8F-C73558DCF82A}"/>
    <cellStyle name="s_Model 2-8-01 a_1_Draft reporting v7 032509" xfId="3591" xr:uid="{796EB3A2-DFE7-470E-AE80-12F24BB1C1E7}"/>
    <cellStyle name="s_Model 2-8-01 a_Book1" xfId="3592" xr:uid="{F18B7798-0BA9-467D-8B40-A60B1FF0D352}"/>
    <cellStyle name="s_Model 2-8-01 a_Draft reporting v4 031709" xfId="3593" xr:uid="{385BD949-BDC0-4968-BF0F-2EF2C575FA0A}"/>
    <cellStyle name="s_Model 2-8-01 a_Draft reporting v6 031909" xfId="3594" xr:uid="{B88B40E4-3969-47D9-B837-DEBEE24EA38E}"/>
    <cellStyle name="s_Model 2-8-01 a_Draft reporting v7 032509" xfId="3595" xr:uid="{95E8C030-24A4-4D90-8C2D-EA488C121FD4}"/>
    <cellStyle name="s_Model Assumptions (2)" xfId="3596" xr:uid="{85316159-8B7E-44C1-B1C9-C6FD7F003BA8}"/>
    <cellStyle name="s_Model Assumptions (2)_1" xfId="3597" xr:uid="{A66E8330-21F0-45D4-80CE-29A56600AAA9}"/>
    <cellStyle name="s_Model Assumptions (2)_1_Book1" xfId="3598" xr:uid="{F65750AA-C083-495A-BCEF-725F0132747B}"/>
    <cellStyle name="s_Model Assumptions (2)_1_Draft reporting v4 031709" xfId="3599" xr:uid="{32F849E6-EC56-4AB5-922E-7D1FD27F0DBA}"/>
    <cellStyle name="s_Model Assumptions (2)_1_Draft reporting v6 031909" xfId="3600" xr:uid="{CC7B8763-8670-46D4-9222-DCA29FFF993A}"/>
    <cellStyle name="s_Model Assumptions (2)_1_Draft reporting v7 032509" xfId="3601" xr:uid="{D036AFB7-DC6B-4604-B902-DBAB3564FB13}"/>
    <cellStyle name="s_Model Assumptions (2)_Book1" xfId="3602" xr:uid="{21A19D48-41E3-41D9-B1D7-2AA089B55776}"/>
    <cellStyle name="s_Model Assumptions (2)_Draft reporting v4 031709" xfId="3603" xr:uid="{E083FAE6-B054-46B8-9BE1-E3DA681EAE70}"/>
    <cellStyle name="s_Model Assumptions (2)_Draft reporting v6 031909" xfId="3604" xr:uid="{0B53F5BA-6955-4B51-89AE-DBA138DE8078}"/>
    <cellStyle name="s_Model Assumptions (2)_Draft reporting v7 032509" xfId="3605" xr:uid="{A294416B-9C52-410E-8B29-C1F7A58301DE}"/>
    <cellStyle name="s_Model0717" xfId="3606" xr:uid="{02C84377-620F-4755-9B28-AA50F5075236}"/>
    <cellStyle name="s_Model0717_Book1" xfId="3607" xr:uid="{EFC65914-475B-48A3-960D-663F929B76BB}"/>
    <cellStyle name="s_Model0717_Draft reporting v4 031709" xfId="3608" xr:uid="{AB4564D5-3F87-4CC1-A03A-3E0A09BF3424}"/>
    <cellStyle name="s_Model0717_Draft reporting v6 031909" xfId="3609" xr:uid="{30A899DE-6505-4865-A323-D634B8369DDD}"/>
    <cellStyle name="s_Model0717_Draft reporting v7 032509" xfId="3610" xr:uid="{0933FA93-E540-4E6B-B07F-AAD49272A3F5}"/>
    <cellStyle name="s_OBGYN (2)" xfId="3611" xr:uid="{CAA48381-A5D2-4808-ADEA-1BF3C0B60423}"/>
    <cellStyle name="s_OBGYN (2)_1" xfId="3612" xr:uid="{9483E575-87DD-4359-A0A4-6B7F36C29A08}"/>
    <cellStyle name="s_OBGYN (2)_1_Book1" xfId="3613" xr:uid="{32F4D36E-E777-4FF1-B681-C92872142DEF}"/>
    <cellStyle name="s_OBGYN (2)_1_Draft reporting v4 031709" xfId="3614" xr:uid="{A102C962-5CE3-44B6-95DB-7414767B5BBC}"/>
    <cellStyle name="s_OBGYN (2)_1_Draft reporting v6 031909" xfId="3615" xr:uid="{C3174BA3-8652-4B1A-96FA-DE7686B85776}"/>
    <cellStyle name="s_OBGYN (2)_1_Draft reporting v7 032509" xfId="3616" xr:uid="{39EC9101-9292-40C5-9F12-59F28D68DC94}"/>
    <cellStyle name="s_OBGYN (2)_2" xfId="3617" xr:uid="{5CDB88D4-A4EA-46C8-9236-5D42102F05A0}"/>
    <cellStyle name="s_OBGYN (2)_2_Book1" xfId="3618" xr:uid="{CE0674C6-8D8C-4682-87DB-7280076FC5CB}"/>
    <cellStyle name="s_OBGYN (2)_2_Draft reporting v4 031709" xfId="3619" xr:uid="{68BDBA89-111E-42B1-B10C-0E30D188478D}"/>
    <cellStyle name="s_OBGYN (2)_2_Draft reporting v6 031909" xfId="3620" xr:uid="{4F1399AF-97EB-4D88-BC9B-5CBE4C245417}"/>
    <cellStyle name="s_OBGYN (2)_2_Draft reporting v7 032509" xfId="3621" xr:uid="{8DF38FCF-C454-4C69-8489-18C5E255EC6A}"/>
    <cellStyle name="s_OBGYN (2)_Book1" xfId="3622" xr:uid="{30D86363-E828-4757-B3DD-D9BFE82A0A52}"/>
    <cellStyle name="s_OBGYN (2)_Draft reporting v4 031709" xfId="3623" xr:uid="{9C743B7C-0AE3-405C-8430-F0783F67D6A2}"/>
    <cellStyle name="s_OBGYN (2)_Draft reporting v6 031909" xfId="3624" xr:uid="{F7AE366F-C838-4EE6-A456-8026A1D1EC46}"/>
    <cellStyle name="s_OBGYN (2)_Draft reporting v7 032509" xfId="3625" xr:uid="{5FC03D45-8CE2-40CC-AD2F-D2ABE25533B4}"/>
    <cellStyle name="s_Other Businesses (2)" xfId="3626" xr:uid="{5B1103D2-173B-4A1E-8D68-5DC601FE790A}"/>
    <cellStyle name="s_Other Businesses (2)_1" xfId="3627" xr:uid="{6FE6239E-9EFC-4F4D-922C-E1FCE4C826DC}"/>
    <cellStyle name="s_Other Businesses (2)_1_Book1" xfId="3628" xr:uid="{4041D5D2-8C76-41FB-B920-02E59F346DEC}"/>
    <cellStyle name="s_Other Businesses (2)_1_Draft reporting v4 031709" xfId="3629" xr:uid="{E03D2977-3313-44E1-BABA-E7452398069B}"/>
    <cellStyle name="s_Other Businesses (2)_1_Draft reporting v6 031909" xfId="3630" xr:uid="{CBE55A90-A46C-4FD8-8F8B-D84109F57D0B}"/>
    <cellStyle name="s_Other Businesses (2)_1_Draft reporting v7 032509" xfId="3631" xr:uid="{F9742800-DDBC-4936-A681-FAB8F7979AAF}"/>
    <cellStyle name="s_Other Businesses (2)_2" xfId="3632" xr:uid="{DE522463-0A77-43CE-BB54-E8B052995843}"/>
    <cellStyle name="s_Other Businesses (2)_2_Book1" xfId="3633" xr:uid="{3769E239-1984-436E-A03E-42F9D4DD9FAE}"/>
    <cellStyle name="s_Other Businesses (2)_2_Draft reporting v4 031709" xfId="3634" xr:uid="{1D1C617D-FC22-4A59-9231-9DA03EA69157}"/>
    <cellStyle name="s_Other Businesses (2)_2_Draft reporting v6 031909" xfId="3635" xr:uid="{90B0EC95-6E00-4267-8DFE-F90C8EE3FD43}"/>
    <cellStyle name="s_Other Businesses (2)_2_Draft reporting v7 032509" xfId="3636" xr:uid="{C03F3DFD-8D95-4FC6-A31E-A708E3D3395D}"/>
    <cellStyle name="s_Other Businesses (2)_Book1" xfId="3637" xr:uid="{11B5E4BE-9567-4248-BDAD-3055C0ACB183}"/>
    <cellStyle name="s_Other Businesses (2)_Draft reporting v4 031709" xfId="3638" xr:uid="{66C1C794-F79C-43DE-9025-5D1DBF990810}"/>
    <cellStyle name="s_Other Businesses (2)_Draft reporting v6 031909" xfId="3639" xr:uid="{3D0B005C-251F-4562-9A37-D7A5F8A9A6DD}"/>
    <cellStyle name="s_Other Businesses (2)_Draft reporting v7 032509" xfId="3640" xr:uid="{69FAE3FD-2263-4C6C-86E9-D6B52CD64C6B}"/>
    <cellStyle name="s_Ownership" xfId="3641" xr:uid="{739223DB-85EF-4EBC-86F2-205D85226BBB}"/>
    <cellStyle name="s_Ownership_1" xfId="3642" xr:uid="{40822DB6-49D9-4A92-8CB5-11FE76A8F714}"/>
    <cellStyle name="s_Ownership_1_Book1" xfId="3643" xr:uid="{4890F6C7-91AD-4417-B9FD-E5F6389C6271}"/>
    <cellStyle name="s_Ownership_1_Draft reporting v4 031709" xfId="3644" xr:uid="{13DFCD05-2E23-4BB2-B9E6-6AB46D1526D7}"/>
    <cellStyle name="s_Ownership_1_Draft reporting v6 031909" xfId="3645" xr:uid="{AC41D061-FACE-44FC-9DE5-81DFF667ACFE}"/>
    <cellStyle name="s_Ownership_1_Draft reporting v7 032509" xfId="3646" xr:uid="{4D8B2623-97AE-4617-B922-9575897D7209}"/>
    <cellStyle name="s_Ownership_Book1" xfId="3647" xr:uid="{B7BCF4E8-FF58-4519-9F81-5DD925BC1A99}"/>
    <cellStyle name="s_Ownership_Draft reporting v4 031709" xfId="3648" xr:uid="{BFE7F1BE-7F2A-4177-8341-D78981AF36FB}"/>
    <cellStyle name="s_Ownership_Draft reporting v6 031909" xfId="3649" xr:uid="{56800B3D-3CBB-4015-8F4D-4A76F52393C5}"/>
    <cellStyle name="s_Ownership_Draft reporting v7 032509" xfId="3650" xr:uid="{FDAFA6A2-3A16-46F9-AF6B-6AE1CA64876B}"/>
    <cellStyle name="s_PDGDCF1" xfId="3651" xr:uid="{0BC82D62-9657-4A12-A9B8-4E1857922184}"/>
    <cellStyle name="s_PDGDCF1_Book1" xfId="3652" xr:uid="{411B351E-5178-4A95-820E-B589EA08A5C7}"/>
    <cellStyle name="s_PDGDCF1_Draft reporting v4 031709" xfId="3653" xr:uid="{52BBBE06-D840-4FC9-9E84-2A37D4262F5F}"/>
    <cellStyle name="s_PDGDCF1_Draft reporting v6 031909" xfId="3654" xr:uid="{BCA27E66-4AA4-409C-8584-F6186BACE261}"/>
    <cellStyle name="s_PDGDCF1_Draft reporting v7 032509" xfId="3655" xr:uid="{25213371-025E-486E-BEC3-2F65A5520562}"/>
    <cellStyle name="s_PFMA Cap" xfId="3656" xr:uid="{2FFD52A5-0175-41BC-8809-014F052B3970}"/>
    <cellStyle name="s_PFMA Cap_1" xfId="3657" xr:uid="{36740289-FCC1-494A-BF81-787ABC165C81}"/>
    <cellStyle name="s_PFMA Cap_1_Book1" xfId="3658" xr:uid="{30E6C686-DC31-4D69-8E76-FBD45C9FFC5A}"/>
    <cellStyle name="s_PFMA Cap_1_Draft reporting v4 031709" xfId="3659" xr:uid="{9630D6E5-1CA7-460C-AAED-9C52EBFB82EB}"/>
    <cellStyle name="s_PFMA Cap_1_Draft reporting v6 031909" xfId="3660" xr:uid="{DA1C5A5A-FBDB-4E92-905D-272C86476283}"/>
    <cellStyle name="s_PFMA Cap_1_Draft reporting v7 032509" xfId="3661" xr:uid="{3B84A823-11B1-424C-9A7F-A3E8031E0059}"/>
    <cellStyle name="s_PFMA Cap_1_Mary911" xfId="3662" xr:uid="{5837B6F7-72F3-40AE-A0E0-D1A49BCD77EE}"/>
    <cellStyle name="s_PFMA Cap_1_Mary911_Book1" xfId="3663" xr:uid="{80A095CA-DE09-4BED-B6EC-B3996D4BE627}"/>
    <cellStyle name="s_PFMA Cap_1_Mary911_Draft reporting v4 031709" xfId="3664" xr:uid="{AB863037-26C4-4A2E-8BFD-A46ED1C91600}"/>
    <cellStyle name="s_PFMA Cap_1_Mary911_Draft reporting v6 031909" xfId="3665" xr:uid="{EEEB2F86-07EB-4ADD-A11F-B360AC717B57}"/>
    <cellStyle name="s_PFMA Cap_1_Mary911_Draft reporting v7 032509" xfId="3666" xr:uid="{72AA0DB4-DF72-4142-A146-FF8A42E3C7F6}"/>
    <cellStyle name="s_PFMA Cap_1_mona0915a" xfId="3667" xr:uid="{B67C4DC3-5FDB-4EF7-B8D2-6408F77F8A80}"/>
    <cellStyle name="s_PFMA Cap_1_mona0915a_Book1" xfId="3668" xr:uid="{960B7251-041F-42FE-A698-4C1DEFE30475}"/>
    <cellStyle name="s_PFMA Cap_1_mona0915a_Draft reporting v4 031709" xfId="3669" xr:uid="{18FFA9B0-E6C1-4A32-8B5E-102EE02E5EE2}"/>
    <cellStyle name="s_PFMA Cap_1_mona0915a_Draft reporting v6 031909" xfId="3670" xr:uid="{5422DB38-7C0C-4CE0-B2B4-8A9130A1D9E1}"/>
    <cellStyle name="s_PFMA Cap_1_mona0915a_Draft reporting v7 032509" xfId="3671" xr:uid="{6AC4C64D-1DDD-4578-BACE-16062D999D47}"/>
    <cellStyle name="s_PFMA Cap_1_mona0915b" xfId="3672" xr:uid="{A1F66EBE-DCA4-4421-9AB0-993364940AC9}"/>
    <cellStyle name="s_PFMA Cap_1_mona0915b_Book1" xfId="3673" xr:uid="{AF5D5462-CEE1-4B8C-A926-0E94FF826B79}"/>
    <cellStyle name="s_PFMA Cap_1_mona0915b_Draft reporting v4 031709" xfId="3674" xr:uid="{D184D1C1-EB55-4F0A-B1FE-132DDB8DE2E8}"/>
    <cellStyle name="s_PFMA Cap_1_mona0915b_Draft reporting v6 031909" xfId="3675" xr:uid="{0A3A2E0E-3CDF-420C-A483-4A8B6F605CC0}"/>
    <cellStyle name="s_PFMA Cap_1_mona0915b_Draft reporting v7 032509" xfId="3676" xr:uid="{A16209BD-4957-49A8-A49B-C7D0FE99ED67}"/>
    <cellStyle name="s_PFMA Cap_2" xfId="3677" xr:uid="{B9E059C0-C883-46E2-A72E-09F335271032}"/>
    <cellStyle name="s_PFMA Cap_2_Book1" xfId="3678" xr:uid="{CBCAA829-1580-44C3-A467-034B6DF1317C}"/>
    <cellStyle name="s_PFMA Cap_2_Draft reporting v4 031709" xfId="3679" xr:uid="{171458FF-AF3D-4C9F-9FDA-7A8932DE659F}"/>
    <cellStyle name="s_PFMA Cap_2_Draft reporting v6 031909" xfId="3680" xr:uid="{BFEEFBD4-8105-4A14-9AF2-33D850338CB5}"/>
    <cellStyle name="s_PFMA Cap_2_Draft reporting v7 032509" xfId="3681" xr:uid="{D0E9AF8A-ECC1-4854-8B58-7340D5B42E12}"/>
    <cellStyle name="s_PFMA Cap_Book1" xfId="3682" xr:uid="{005EA3DC-39AB-47F4-A65F-6FCFCBCED17A}"/>
    <cellStyle name="s_PFMA Cap_Draft reporting v4 031709" xfId="3683" xr:uid="{7F69A336-846A-460F-9CBC-7926F3CB14AA}"/>
    <cellStyle name="s_PFMA Cap_Draft reporting v6 031909" xfId="3684" xr:uid="{69068926-2124-4C3D-8353-F3441C6EB538}"/>
    <cellStyle name="s_PFMA Cap_Draft reporting v7 032509" xfId="3685" xr:uid="{EE5A9177-A1D5-4BA2-8717-1F960144772D}"/>
    <cellStyle name="s_PFMA Cap_Mary911" xfId="3686" xr:uid="{80BD6D50-A33A-42A0-B0D2-72F9AC9E2625}"/>
    <cellStyle name="s_PFMA Cap_Mary911_Book1" xfId="3687" xr:uid="{7ED60A6D-ECBC-468E-A40A-DEEA9E6B314F}"/>
    <cellStyle name="s_PFMA Cap_Mary911_Draft reporting v4 031709" xfId="3688" xr:uid="{1FBADDCB-0A37-4B15-92F4-EEBFE622394F}"/>
    <cellStyle name="s_PFMA Cap_Mary911_Draft reporting v6 031909" xfId="3689" xr:uid="{9349271C-4A3A-435E-8F3A-26FA833F3216}"/>
    <cellStyle name="s_PFMA Cap_Mary911_Draft reporting v7 032509" xfId="3690" xr:uid="{F4484312-8E19-458A-82C0-31826492DE09}"/>
    <cellStyle name="s_PFMA Cap_mona0915a" xfId="3691" xr:uid="{1072CBA0-1092-4B66-8078-0C8027F208C4}"/>
    <cellStyle name="s_PFMA Cap_mona0915a_Book1" xfId="3692" xr:uid="{04B8532F-6684-4B9C-BCA9-D3780F2FF6B5}"/>
    <cellStyle name="s_PFMA Cap_mona0915a_Draft reporting v4 031709" xfId="3693" xr:uid="{10461410-3307-4715-BA2A-F9E697A8C008}"/>
    <cellStyle name="s_PFMA Cap_mona0915a_Draft reporting v6 031909" xfId="3694" xr:uid="{79199CA2-9CA9-486E-A78C-D578E9BEA477}"/>
    <cellStyle name="s_PFMA Cap_mona0915a_Draft reporting v7 032509" xfId="3695" xr:uid="{98191158-5A52-4D21-B636-A7A27057B6B2}"/>
    <cellStyle name="s_PFMA Cap_mona0915b" xfId="3696" xr:uid="{DE37CBFA-BC20-4F15-A0CC-6D3B85F3444E}"/>
    <cellStyle name="s_PFMA Cap_mona0915b_Book1" xfId="3697" xr:uid="{28E5387B-539D-46BE-8FAE-CBF6462DC117}"/>
    <cellStyle name="s_PFMA Cap_mona0915b_Draft reporting v4 031709" xfId="3698" xr:uid="{8194AC74-F512-4C0B-98C7-B6555CD24CBB}"/>
    <cellStyle name="s_PFMA Cap_mona0915b_Draft reporting v6 031909" xfId="3699" xr:uid="{6FC4A804-BFAC-4C15-AE21-66DC05BF9368}"/>
    <cellStyle name="s_PFMA Cap_mona0915b_Draft reporting v7 032509" xfId="3700" xr:uid="{4A66970C-89DE-49F1-AEA5-FCF587CA5800}"/>
    <cellStyle name="s_PFMA Credit" xfId="3701" xr:uid="{5D5B2DEB-DA43-486C-B77A-E28A9C16142C}"/>
    <cellStyle name="s_PFMA Credit (2)" xfId="3702" xr:uid="{1DBD3A6A-900A-43CD-B9C6-78428C86184B}"/>
    <cellStyle name="s_PFMA Credit (2)_1" xfId="3703" xr:uid="{86DABAC6-53A2-420F-9673-0A74A9DC1A3F}"/>
    <cellStyle name="s_PFMA Credit (2)_1_Book1" xfId="3704" xr:uid="{89A65F58-1E7D-48E5-BE0B-C26066F31E01}"/>
    <cellStyle name="s_PFMA Credit (2)_1_Draft reporting v4 031709" xfId="3705" xr:uid="{9695558D-CC99-4720-A328-6BF1C148CEC5}"/>
    <cellStyle name="s_PFMA Credit (2)_1_Draft reporting v6 031909" xfId="3706" xr:uid="{259D93BC-1F4F-4A1B-95A7-96C392CF71B8}"/>
    <cellStyle name="s_PFMA Credit (2)_1_Draft reporting v7 032509" xfId="3707" xr:uid="{9F5AA494-866D-4F6B-9B67-B41E45CE6625}"/>
    <cellStyle name="s_PFMA Credit (2)_Book1" xfId="3708" xr:uid="{65A1B8D3-1F1B-4A6F-80B4-0276868F145C}"/>
    <cellStyle name="s_PFMA Credit (2)_Draft reporting v4 031709" xfId="3709" xr:uid="{19374B56-A1CD-492D-8266-E52A2F153E10}"/>
    <cellStyle name="s_PFMA Credit (2)_Draft reporting v6 031909" xfId="3710" xr:uid="{47D599CD-D3A0-4F81-A19F-F056535C7C66}"/>
    <cellStyle name="s_PFMA Credit (2)_Draft reporting v7 032509" xfId="3711" xr:uid="{5B5E1C19-9E2B-44D9-8794-34CF57DE1E43}"/>
    <cellStyle name="s_PFMA Credit (2)_PFMA Cap" xfId="3712" xr:uid="{FDA7331B-E305-4B0C-868E-1AFD77B69E9F}"/>
    <cellStyle name="s_PFMA Credit (2)_PFMA Cap_Book1" xfId="3713" xr:uid="{5F6CEB36-65FF-450F-82A2-3A73E6937322}"/>
    <cellStyle name="s_PFMA Credit (2)_PFMA Cap_Draft reporting v4 031709" xfId="3714" xr:uid="{E4CABBC5-05AD-4F10-84EE-7AAEDE705C41}"/>
    <cellStyle name="s_PFMA Credit (2)_PFMA Cap_Draft reporting v6 031909" xfId="3715" xr:uid="{E21591BF-F1C2-446C-90F3-C27D5B6EC127}"/>
    <cellStyle name="s_PFMA Credit (2)_PFMA Cap_Draft reporting v7 032509" xfId="3716" xr:uid="{F0EFE1CC-6587-4072-ADB3-9E52B49395A9}"/>
    <cellStyle name="s_PFMA Credit_1" xfId="3717" xr:uid="{A8D16516-0EDB-4FAC-8AE1-FA85F9831AE9}"/>
    <cellStyle name="s_PFMA Credit_1_Book1" xfId="3718" xr:uid="{F8EBD300-98A4-4A41-96C0-4D314302B55F}"/>
    <cellStyle name="s_PFMA Credit_1_Draft reporting v4 031709" xfId="3719" xr:uid="{B5C03108-CE99-4118-A744-118280FB4ECD}"/>
    <cellStyle name="s_PFMA Credit_1_Draft reporting v6 031909" xfId="3720" xr:uid="{09F10B87-0C65-4E1E-977A-D95B851D9225}"/>
    <cellStyle name="s_PFMA Credit_1_Draft reporting v7 032509" xfId="3721" xr:uid="{729828B2-9DDE-4797-B536-FE2865670E37}"/>
    <cellStyle name="s_PFMA Credit_2" xfId="3722" xr:uid="{4101B945-A87A-4B1A-8661-592697B09FF9}"/>
    <cellStyle name="s_PFMA Credit_2_Book1" xfId="3723" xr:uid="{33B02CB8-D851-488E-A098-EE0A34EA75AC}"/>
    <cellStyle name="s_PFMA Credit_2_Draft reporting v4 031709" xfId="3724" xr:uid="{30D30C85-F606-4550-A793-2B33CE0BFBEA}"/>
    <cellStyle name="s_PFMA Credit_2_Draft reporting v6 031909" xfId="3725" xr:uid="{67777F1A-0159-429C-8B11-E8BA705E8374}"/>
    <cellStyle name="s_PFMA Credit_2_Draft reporting v7 032509" xfId="3726" xr:uid="{FF7AEE51-B3AA-4492-BB60-AD6B149F66E9}"/>
    <cellStyle name="s_PFMA Credit_Book1" xfId="3727" xr:uid="{F41424E2-616D-4F60-9912-968BB24BE4DF}"/>
    <cellStyle name="s_PFMA Credit_Draft reporting v4 031709" xfId="3728" xr:uid="{A452EC9C-723A-4D34-9644-B7DEE61E8274}"/>
    <cellStyle name="s_PFMA Credit_Draft reporting v6 031909" xfId="3729" xr:uid="{23324FEA-2D1F-4DA2-900B-0B81AB5C6083}"/>
    <cellStyle name="s_PFMA Credit_Draft reporting v7 032509" xfId="3730" xr:uid="{0A158B5D-09ED-4EA0-AA25-EB99045D36E9}"/>
    <cellStyle name="s_PFMA Fin Sum" xfId="3731" xr:uid="{D24FF288-D876-4090-8B36-5AD8182A0594}"/>
    <cellStyle name="s_PFMA Fin Sum_1" xfId="3732" xr:uid="{1277E344-2424-43DA-A7F7-613AE2753FCB}"/>
    <cellStyle name="s_PFMA Fin Sum_1_Book1" xfId="3733" xr:uid="{32B591A0-AC9B-488D-AC0F-3D4A751716CE}"/>
    <cellStyle name="s_PFMA Fin Sum_1_Draft reporting v4 031709" xfId="3734" xr:uid="{D6C38A47-340A-45F6-879A-C5BC950ADA4E}"/>
    <cellStyle name="s_PFMA Fin Sum_1_Draft reporting v6 031909" xfId="3735" xr:uid="{CF329B62-C6E5-4C4A-8818-273DC188D7D4}"/>
    <cellStyle name="s_PFMA Fin Sum_1_Draft reporting v7 032509" xfId="3736" xr:uid="{47C43FA8-B8B5-45EA-9675-E5E816288439}"/>
    <cellStyle name="s_PFMA Fin Sum_2" xfId="3737" xr:uid="{D98BD7CF-F51C-4755-AE69-1512992C5BCC}"/>
    <cellStyle name="s_PFMA Fin Sum_2_Book1" xfId="3738" xr:uid="{40F51B53-1E52-4A76-8909-85D28F51EBD6}"/>
    <cellStyle name="s_PFMA Fin Sum_2_Draft reporting v4 031709" xfId="3739" xr:uid="{D166A2F4-517C-4193-8ADC-CBCE9C790D8C}"/>
    <cellStyle name="s_PFMA Fin Sum_2_Draft reporting v6 031909" xfId="3740" xr:uid="{3CD71241-3ADC-4E13-BD60-F9E50FC0F59E}"/>
    <cellStyle name="s_PFMA Fin Sum_2_Draft reporting v7 032509" xfId="3741" xr:uid="{E08665DA-A703-4FD7-9F67-9F090279E076}"/>
    <cellStyle name="s_PFMA Fin Sum_Book1" xfId="3742" xr:uid="{92B4E97C-4F2A-4A37-A393-55B5B16E1209}"/>
    <cellStyle name="s_PFMA Fin Sum_Draft reporting v4 031709" xfId="3743" xr:uid="{865A85B7-9968-41BD-B29F-FDF5925F1456}"/>
    <cellStyle name="s_PFMA Fin Sum_Draft reporting v6 031909" xfId="3744" xr:uid="{917EB3A1-1794-423F-84E8-3F3732D65972}"/>
    <cellStyle name="s_PFMA Fin Sum_Draft reporting v7 032509" xfId="3745" xr:uid="{4434F810-EB93-41F1-BFB9-CEFF503220DD}"/>
    <cellStyle name="s_PFMA Income (2)" xfId="3746" xr:uid="{4CB9713B-FB1A-4899-989A-645D393851D1}"/>
    <cellStyle name="s_PFMA Income (2)_1" xfId="3747" xr:uid="{AA87E219-DB74-4800-9552-5F98CC3CF298}"/>
    <cellStyle name="s_PFMA Income (2)_1_Book1" xfId="3748" xr:uid="{942E6E80-4762-4E0B-8B20-1692ADCF9ACA}"/>
    <cellStyle name="s_PFMA Income (2)_1_Draft reporting v4 031709" xfId="3749" xr:uid="{7B3588CD-135A-4783-AA62-10DB6B11F729}"/>
    <cellStyle name="s_PFMA Income (2)_1_Draft reporting v6 031909" xfId="3750" xr:uid="{BE0C1E96-8E4E-4726-9CE2-20F9F203B1C2}"/>
    <cellStyle name="s_PFMA Income (2)_1_Draft reporting v7 032509" xfId="3751" xr:uid="{A245BA3B-A58C-47FB-AF53-A0A97CA17EA2}"/>
    <cellStyle name="s_PFMA Income (2)_2" xfId="3752" xr:uid="{7DD7F83B-6C28-4610-82CB-493981D6E25F}"/>
    <cellStyle name="s_PFMA Income (2)_2_Book1" xfId="3753" xr:uid="{F9BBB449-EC2F-4971-B9B9-5B0A5BCC1E9A}"/>
    <cellStyle name="s_PFMA Income (2)_2_Celtic DCF" xfId="3754" xr:uid="{428872C3-E45A-498B-B986-E170B6908C3C}"/>
    <cellStyle name="s_PFMA Income (2)_2_Celtic DCF Inputs" xfId="3755" xr:uid="{F6FCAD9D-60C9-416F-AC94-0563BD9DD41A}"/>
    <cellStyle name="s_PFMA Income (2)_2_Celtic DCF Inputs_Book1" xfId="3756" xr:uid="{8D276AFC-895C-4E6E-80F2-4136F7DDFEDF}"/>
    <cellStyle name="s_PFMA Income (2)_2_Celtic DCF Inputs_Draft reporting v4 031709" xfId="3757" xr:uid="{5E5F44FD-1EB3-4AC4-A8EF-1D9B3A7CD3A8}"/>
    <cellStyle name="s_PFMA Income (2)_2_Celtic DCF Inputs_Draft reporting v6 031909" xfId="3758" xr:uid="{9CFB2FCC-687B-47BD-B21A-7A066D070DFB}"/>
    <cellStyle name="s_PFMA Income (2)_2_Celtic DCF Inputs_Draft reporting v7 032509" xfId="3759" xr:uid="{34077D81-01B7-407B-A89E-77D19E9A173C}"/>
    <cellStyle name="s_PFMA Income (2)_2_Celtic DCF_Book1" xfId="3760" xr:uid="{37A00CEA-2E8A-4810-BA85-820CC9F6AD80}"/>
    <cellStyle name="s_PFMA Income (2)_2_Celtic DCF_Draft reporting v4 031709" xfId="3761" xr:uid="{CAD7C75C-3B71-4115-BD28-3A8D54A9C930}"/>
    <cellStyle name="s_PFMA Income (2)_2_Celtic DCF_Draft reporting v6 031909" xfId="3762" xr:uid="{8581B707-D595-4110-97B3-4864BBFEDED3}"/>
    <cellStyle name="s_PFMA Income (2)_2_Celtic DCF_Draft reporting v7 032509" xfId="3763" xr:uid="{E96A2902-D748-4D68-8027-99D952FBDE54}"/>
    <cellStyle name="s_PFMA Income (2)_2_Draft reporting v4 031709" xfId="3764" xr:uid="{45D0E31D-F6D6-445C-9E76-B061D0DED94A}"/>
    <cellStyle name="s_PFMA Income (2)_2_Draft reporting v6 031909" xfId="3765" xr:uid="{E4822001-739B-47D4-B5B6-49CF19A5AD19}"/>
    <cellStyle name="s_PFMA Income (2)_2_Draft reporting v7 032509" xfId="3766" xr:uid="{E424747F-965B-4C60-9B7C-AE88410ED939}"/>
    <cellStyle name="s_PFMA Income (2)_2_Valuation Summary" xfId="3767" xr:uid="{7E5AC9B3-A315-4DEE-9011-7440AAB515F4}"/>
    <cellStyle name="s_PFMA Income (2)_2_Valuation Summary_Book1" xfId="3768" xr:uid="{46BE70ED-112B-4B6E-8881-9F1C4844F29D}"/>
    <cellStyle name="s_PFMA Income (2)_2_Valuation Summary_Draft reporting v4 031709" xfId="3769" xr:uid="{F456719F-CB5E-4511-ADDF-E0F095A1E109}"/>
    <cellStyle name="s_PFMA Income (2)_2_Valuation Summary_Draft reporting v6 031909" xfId="3770" xr:uid="{9B3986B2-0C60-48B6-95CB-3F17DC2726FA}"/>
    <cellStyle name="s_PFMA Income (2)_2_Valuation Summary_Draft reporting v7 032509" xfId="3771" xr:uid="{5A7F7398-FCC1-4B1B-A48E-F18F4C39009C}"/>
    <cellStyle name="s_PFMA Income (2)_Book1" xfId="3772" xr:uid="{71990FC4-2C76-4AA4-BF78-1724EE86D9B8}"/>
    <cellStyle name="s_PFMA Income (2)_Draft reporting v4 031709" xfId="3773" xr:uid="{9C204499-39BA-4E92-BE3E-39D377BF4613}"/>
    <cellStyle name="s_PFMA Income (2)_Draft reporting v6 031909" xfId="3774" xr:uid="{8155CEAB-63AC-4C35-8585-FCB09C98403E}"/>
    <cellStyle name="s_PFMA Income (2)_Draft reporting v7 032509" xfId="3775" xr:uid="{63C933F8-2DD9-4A2B-9E17-8EC88EAB09A5}"/>
    <cellStyle name="s_PFMA Statements" xfId="3776" xr:uid="{71794DFB-4F7E-4C56-8A88-309684713558}"/>
    <cellStyle name="s_PFMA Statements_1" xfId="3777" xr:uid="{13147053-963E-493A-8E52-2800CFB9DBDD}"/>
    <cellStyle name="s_PFMA Statements_1_Book1" xfId="3778" xr:uid="{85CF71CD-006D-479E-B145-63E9EDBD6373}"/>
    <cellStyle name="s_PFMA Statements_1_Draft reporting v4 031709" xfId="3779" xr:uid="{04F12A00-DB3C-4010-9E3F-3309FCBA382F}"/>
    <cellStyle name="s_PFMA Statements_1_Draft reporting v6 031909" xfId="3780" xr:uid="{441FE9E2-98E4-4FB7-BA75-0756DDC31FBA}"/>
    <cellStyle name="s_PFMA Statements_1_Draft reporting v7 032509" xfId="3781" xr:uid="{0547BDD5-7569-4C70-9E0B-CB2F8EACEE38}"/>
    <cellStyle name="s_PFMA Statements_2" xfId="3782" xr:uid="{61DC83AE-8F2C-4ABD-B808-21E149E05B48}"/>
    <cellStyle name="s_PFMA Statements_2_Book1" xfId="3783" xr:uid="{8E88DEFC-0ECB-41CF-9A3D-5AEEE02B46F0}"/>
    <cellStyle name="s_PFMA Statements_2_Draft reporting v4 031709" xfId="3784" xr:uid="{A98CB6B9-D69A-4B20-B8A4-0EA8C40FE410}"/>
    <cellStyle name="s_PFMA Statements_2_Draft reporting v6 031909" xfId="3785" xr:uid="{AC2EC251-DF7F-412E-B7A0-3EC9DA0CDB4C}"/>
    <cellStyle name="s_PFMA Statements_2_Draft reporting v7 032509" xfId="3786" xr:uid="{40CE73BB-A92D-4D0B-8912-FC995BDC658D}"/>
    <cellStyle name="s_PFMA Statements_Book1" xfId="3787" xr:uid="{E11EEEB7-1794-4B1D-8934-824555B3B046}"/>
    <cellStyle name="s_PFMA Statements_Draft reporting v4 031709" xfId="3788" xr:uid="{1EEE7A86-7060-4B21-99DC-1321BE5D2AD9}"/>
    <cellStyle name="s_PFMA Statements_Draft reporting v6 031909" xfId="3789" xr:uid="{1F31B62B-0C1F-4EA6-802F-8EFC0652C61A}"/>
    <cellStyle name="s_PFMA Statements_Draft reporting v7 032509" xfId="3790" xr:uid="{697ACFEB-1919-45F9-855E-D62D306BEA2A}"/>
    <cellStyle name="s_Pippen (2)" xfId="3791" xr:uid="{9560FE75-8350-4657-8F07-5FDA114260C5}"/>
    <cellStyle name="s_Pippen (2)_1" xfId="3792" xr:uid="{1AA69082-14A4-4E9B-9255-FF963B938136}"/>
    <cellStyle name="s_Pippen (2)_1_Book1" xfId="3793" xr:uid="{5FEEC24C-8524-4A68-9874-D28912A44CE0}"/>
    <cellStyle name="s_Pippen (2)_1_Draft reporting v4 031709" xfId="3794" xr:uid="{5D196013-74D6-4FDD-9EED-51D106EBF8BA}"/>
    <cellStyle name="s_Pippen (2)_1_Draft reporting v6 031909" xfId="3795" xr:uid="{21B072E5-7E2B-43D2-AB50-8C381DF4A675}"/>
    <cellStyle name="s_Pippen (2)_1_Draft reporting v7 032509" xfId="3796" xr:uid="{141C3FFF-B828-4966-94AF-352A1DD3F7C7}"/>
    <cellStyle name="s_Pippen (2)_Book1" xfId="3797" xr:uid="{7336768E-1ECD-4075-A897-84483A6B026C}"/>
    <cellStyle name="s_Pippen (2)_Draft reporting v4 031709" xfId="3798" xr:uid="{B7C2E9EB-2136-4CC8-9BB6-F517B14C6426}"/>
    <cellStyle name="s_Pippen (2)_Draft reporting v6 031909" xfId="3799" xr:uid="{8E3A5D9E-1448-485E-85D5-99D1C61676E6}"/>
    <cellStyle name="s_Pippen (2)_Draft reporting v7 032509" xfId="3800" xr:uid="{A176F95A-9D6B-4A5A-A09E-AD1B69D18DE8}"/>
    <cellStyle name="s_Pippen Cases (2)" xfId="3801" xr:uid="{73B72914-AFCA-41A8-9D31-39585A3A8E7E}"/>
    <cellStyle name="s_Pippen Cases (2)_1" xfId="3802" xr:uid="{459F0F0E-3BBF-46A6-BD71-4A9BEE9E1D28}"/>
    <cellStyle name="s_Pippen Cases (2)_1_Book1" xfId="3803" xr:uid="{DA6B5BBC-3C14-41AE-8083-F34CB24075D2}"/>
    <cellStyle name="s_Pippen Cases (2)_1_Draft reporting v4 031709" xfId="3804" xr:uid="{5E8346CD-2DC6-492B-BC1A-805576D4547C}"/>
    <cellStyle name="s_Pippen Cases (2)_1_Draft reporting v6 031909" xfId="3805" xr:uid="{327C4DC0-300A-4445-BED2-C914A4971E34}"/>
    <cellStyle name="s_Pippen Cases (2)_1_Draft reporting v7 032509" xfId="3806" xr:uid="{CB3E19F4-8E34-471D-AFFF-D81F8993FCA8}"/>
    <cellStyle name="s_Pippen Cases (2)_Book1" xfId="3807" xr:uid="{6819C3D3-162C-43D2-8DC2-ACE5D0B6B293}"/>
    <cellStyle name="s_Pippen Cases (2)_Draft reporting v4 031709" xfId="3808" xr:uid="{E1F527A6-6D52-4F7A-9193-3F1EF396F396}"/>
    <cellStyle name="s_Pippen Cases (2)_Draft reporting v6 031909" xfId="3809" xr:uid="{D38893D2-FB64-4EA9-9FD8-6AE3F9238F0A}"/>
    <cellStyle name="s_Pippen Cases (2)_Draft reporting v7 032509" xfId="3810" xr:uid="{70B8C3D2-2913-40AF-A164-6A5C41EF2B00}"/>
    <cellStyle name="s_Pippen ValMatrix (2)" xfId="3811" xr:uid="{9F4D8D08-B07F-4524-9CDA-983A1041727A}"/>
    <cellStyle name="s_Pippen ValMatrix (2)_1" xfId="3812" xr:uid="{6762CAC2-8CBE-4AD0-9EEC-947F008EA78C}"/>
    <cellStyle name="s_Pippen ValMatrix (2)_1_Book1" xfId="3813" xr:uid="{9E220111-796E-4048-927D-36FCA7764C19}"/>
    <cellStyle name="s_Pippen ValMatrix (2)_1_Draft reporting v4 031709" xfId="3814" xr:uid="{7AB96F3D-CFFD-4FF2-B07B-D822CF31C9CA}"/>
    <cellStyle name="s_Pippen ValMatrix (2)_1_Draft reporting v6 031909" xfId="3815" xr:uid="{15CC4249-4376-4C2B-9965-97B29701F2C4}"/>
    <cellStyle name="s_Pippen ValMatrix (2)_1_Draft reporting v7 032509" xfId="3816" xr:uid="{97F7A9D2-E653-4F34-B640-20DA7B6E8DE0}"/>
    <cellStyle name="s_Pippen ValMatrix (2)_Book1" xfId="3817" xr:uid="{05710B9F-0D16-43C5-AE6C-A6FA1C233736}"/>
    <cellStyle name="s_Pippen ValMatrix (2)_Draft reporting v4 031709" xfId="3818" xr:uid="{A6FF3A68-DD2D-4009-B418-ED32CF5C4E83}"/>
    <cellStyle name="s_Pippen ValMatrix (2)_Draft reporting v6 031909" xfId="3819" xr:uid="{6F8A5F93-AF76-44F9-805C-CAADCB8FD015}"/>
    <cellStyle name="s_Pippen ValMatrix (2)_Draft reporting v7 032509" xfId="3820" xr:uid="{97C256DF-5E7F-409C-AB54-15EF47808FD2}"/>
    <cellStyle name="s_PMAT (2)" xfId="3821" xr:uid="{7C72F22C-587E-46B0-95C6-D8AFEE8A6DCB}"/>
    <cellStyle name="s_PMAT (2)_1" xfId="3822" xr:uid="{893CEBC3-16D1-49AA-9772-B3FCF1FD118B}"/>
    <cellStyle name="s_PMAT (2)_1_Book1" xfId="3823" xr:uid="{36F4D709-63C6-4B33-B19A-6A151E0F5DDA}"/>
    <cellStyle name="s_PMAT (2)_1_Draft reporting v4 031709" xfId="3824" xr:uid="{EA1E4388-6CAD-47A6-B875-79D89B5D0916}"/>
    <cellStyle name="s_PMAT (2)_1_Draft reporting v6 031909" xfId="3825" xr:uid="{25861262-AE8D-40AD-99FC-340FC738F20F}"/>
    <cellStyle name="s_PMAT (2)_1_Draft reporting v7 032509" xfId="3826" xr:uid="{0C9BA430-FC83-465F-9C27-8CD6B7C033B4}"/>
    <cellStyle name="s_PMAT (2)_Book1" xfId="3827" xr:uid="{98C8A5DA-4310-444F-A144-31E5B15EAE6A}"/>
    <cellStyle name="s_PMAT (2)_Celtic DCF" xfId="3828" xr:uid="{E7829F39-7D0C-4264-87A5-8129C7B5A6A6}"/>
    <cellStyle name="s_PMAT (2)_Celtic DCF Inputs" xfId="3829" xr:uid="{5A59078B-248A-4DA8-9C9D-E242B1116011}"/>
    <cellStyle name="s_PMAT (2)_Celtic DCF Inputs_Book1" xfId="3830" xr:uid="{FB2A4179-40C4-42BC-968B-59418D2AABB7}"/>
    <cellStyle name="s_PMAT (2)_Celtic DCF Inputs_Draft reporting v4 031709" xfId="3831" xr:uid="{8727C453-68BF-4413-9741-C9FEB7CBFF3D}"/>
    <cellStyle name="s_PMAT (2)_Celtic DCF Inputs_Draft reporting v6 031909" xfId="3832" xr:uid="{7DF3CF38-C1E3-4BA2-A290-AC36D1A6D055}"/>
    <cellStyle name="s_PMAT (2)_Celtic DCF Inputs_Draft reporting v7 032509" xfId="3833" xr:uid="{099EA194-D127-412B-A315-A5280BD277A1}"/>
    <cellStyle name="s_PMAT (2)_Celtic DCF_Book1" xfId="3834" xr:uid="{2763EF22-2D25-4E2B-A33F-F4CD41BEEED5}"/>
    <cellStyle name="s_PMAT (2)_Celtic DCF_Draft reporting v4 031709" xfId="3835" xr:uid="{76F691ED-A9DB-4368-9DB9-4843F0F85D1A}"/>
    <cellStyle name="s_PMAT (2)_Celtic DCF_Draft reporting v6 031909" xfId="3836" xr:uid="{40362581-E060-4CAE-AB85-CF41000C0FA4}"/>
    <cellStyle name="s_PMAT (2)_Celtic DCF_Draft reporting v7 032509" xfId="3837" xr:uid="{BF66E7A6-06B0-467C-9013-F78D57D0692C}"/>
    <cellStyle name="s_PMAT (2)_Draft reporting v4 031709" xfId="3838" xr:uid="{3B05311E-9E79-4A7F-B2A3-DFA953C5A2C8}"/>
    <cellStyle name="s_PMAT (2)_Draft reporting v6 031909" xfId="3839" xr:uid="{49710808-7676-4D8D-B9E7-F65DC6183319}"/>
    <cellStyle name="s_PMAT (2)_Draft reporting v7 032509" xfId="3840" xr:uid="{33F6D5F8-ED46-4835-A16D-3C3445D399DC}"/>
    <cellStyle name="s_PMAT (2)_Valuation Summary" xfId="3841" xr:uid="{DA453828-63CC-42ED-BB3F-5CF3BCBC65F6}"/>
    <cellStyle name="s_PMAT (2)_Valuation Summary_Book1" xfId="3842" xr:uid="{6A8BE7A5-5D4B-4219-8132-9DD65380A968}"/>
    <cellStyle name="s_PMAT (2)_Valuation Summary_Draft reporting v4 031709" xfId="3843" xr:uid="{A392430F-D94F-4D9E-A307-5E00E69A1034}"/>
    <cellStyle name="s_PMAT (2)_Valuation Summary_Draft reporting v6 031909" xfId="3844" xr:uid="{81E5B983-4D4E-4EC5-8FE5-817764899F2C}"/>
    <cellStyle name="s_PMAT (2)_Valuation Summary_Draft reporting v7 032509" xfId="3845" xr:uid="{6B01EE61-5D1E-48BA-8A0B-ED332341A342}"/>
    <cellStyle name="s_PMAT (3)" xfId="3846" xr:uid="{73F97CA8-4B52-4293-94F8-AB55F1BF899A}"/>
    <cellStyle name="s_PMAT (3)_1" xfId="3847" xr:uid="{056BE195-9010-4AB8-AF03-8751AC2AD7B9}"/>
    <cellStyle name="s_PMAT (3)_1_Book1" xfId="3848" xr:uid="{B3F07570-B236-4DCD-A339-3520E5741872}"/>
    <cellStyle name="s_PMAT (3)_1_Draft reporting v4 031709" xfId="3849" xr:uid="{C8C2CD63-68B7-4BCE-AE4A-79708EAF1280}"/>
    <cellStyle name="s_PMAT (3)_1_Draft reporting v6 031909" xfId="3850" xr:uid="{1286C43A-910D-4316-8AC8-A39DE37CBA41}"/>
    <cellStyle name="s_PMAT (3)_1_Draft reporting v7 032509" xfId="3851" xr:uid="{1183A863-5E06-443A-B900-065F02833C8B}"/>
    <cellStyle name="s_PMAT (3)_2" xfId="3852" xr:uid="{9F11B078-782E-43D2-AA64-CCB3359D2FFB}"/>
    <cellStyle name="s_PMAT (3)_2_Book1" xfId="3853" xr:uid="{F2E9FCB5-9830-486D-A7BA-8014F40AFBAA}"/>
    <cellStyle name="s_PMAT (3)_2_Draft reporting v4 031709" xfId="3854" xr:uid="{E49E79D9-8743-4F65-A635-CC87721FD348}"/>
    <cellStyle name="s_PMAT (3)_2_Draft reporting v6 031909" xfId="3855" xr:uid="{40F1E07D-53D4-4738-9ACA-204A534E52B5}"/>
    <cellStyle name="s_PMAT (3)_2_Draft reporting v7 032509" xfId="3856" xr:uid="{FC897DF6-B557-4258-937D-56CA7756EA21}"/>
    <cellStyle name="s_PMAT (3)_Book1" xfId="3857" xr:uid="{2F67AF7A-F9AE-49AE-AB68-ACFB6B4D5FC2}"/>
    <cellStyle name="s_PMAT (3)_Celtic DCF" xfId="3858" xr:uid="{FB5864DE-3881-4049-9817-31EE0D7D84DD}"/>
    <cellStyle name="s_PMAT (3)_Celtic DCF Inputs" xfId="3859" xr:uid="{0E929F98-CD2C-42E5-BF05-D53B35520BA6}"/>
    <cellStyle name="s_PMAT (3)_Celtic DCF Inputs_Book1" xfId="3860" xr:uid="{2BA84725-A7E3-46CA-BB4F-561FE77CC603}"/>
    <cellStyle name="s_PMAT (3)_Celtic DCF Inputs_Draft reporting v4 031709" xfId="3861" xr:uid="{AD23F9FE-D787-4B0B-AE62-892E731DCF2F}"/>
    <cellStyle name="s_PMAT (3)_Celtic DCF Inputs_Draft reporting v6 031909" xfId="3862" xr:uid="{80B8223D-8631-44CC-AAB0-F49A8DEB0FCB}"/>
    <cellStyle name="s_PMAT (3)_Celtic DCF Inputs_Draft reporting v7 032509" xfId="3863" xr:uid="{1035ABD3-166D-460E-972F-FF382C5BCEB2}"/>
    <cellStyle name="s_PMAT (3)_Celtic DCF_Book1" xfId="3864" xr:uid="{CED17798-B525-4F42-AC84-A72013141B9A}"/>
    <cellStyle name="s_PMAT (3)_Celtic DCF_Draft reporting v4 031709" xfId="3865" xr:uid="{D4B9D7E9-AF11-42B6-AB39-CAF967B52DC5}"/>
    <cellStyle name="s_PMAT (3)_Celtic DCF_Draft reporting v6 031909" xfId="3866" xr:uid="{5860728A-2F80-4D44-86E5-7697BC32602D}"/>
    <cellStyle name="s_PMAT (3)_Celtic DCF_Draft reporting v7 032509" xfId="3867" xr:uid="{C8C55B00-97D1-4602-9D7A-2FB564AC0932}"/>
    <cellStyle name="s_PMAT (3)_Draft reporting v4 031709" xfId="3868" xr:uid="{87A5D054-BB06-465A-BB8F-D850E53A7404}"/>
    <cellStyle name="s_PMAT (3)_Draft reporting v6 031909" xfId="3869" xr:uid="{6E031362-5E11-4645-A310-7EC2C8E1D506}"/>
    <cellStyle name="s_PMAT (3)_Draft reporting v7 032509" xfId="3870" xr:uid="{6242F3B9-B446-4EE1-93E6-9327431563CD}"/>
    <cellStyle name="s_PMAT (3)_Valuation Summary" xfId="3871" xr:uid="{9615D18F-DF27-4289-891B-33A5E458F4D4}"/>
    <cellStyle name="s_PMAT (3)_Valuation Summary_Book1" xfId="3872" xr:uid="{8AB962A0-57E5-4CBF-B3BA-CCB9FFE4E36F}"/>
    <cellStyle name="s_PMAT (3)_Valuation Summary_Draft reporting v4 031709" xfId="3873" xr:uid="{06F11421-2896-4E1B-BD50-687FC5191593}"/>
    <cellStyle name="s_PMAT (3)_Valuation Summary_Draft reporting v6 031909" xfId="3874" xr:uid="{6A50549C-32A8-4907-B08A-03591306831D}"/>
    <cellStyle name="s_PMAT (3)_Valuation Summary_Draft reporting v7 032509" xfId="3875" xr:uid="{2EC78F44-7327-4157-8222-D75F6E51DECC}"/>
    <cellStyle name="s_PoundInc" xfId="3876" xr:uid="{93D393CD-64F5-45C0-9EC1-B482D04D1C9E}"/>
    <cellStyle name="s_PoundInc (2)" xfId="3877" xr:uid="{399C0A78-E2E2-4F02-B722-C4F114B307F5}"/>
    <cellStyle name="s_PoundInc (2)_1" xfId="3878" xr:uid="{BFC556C8-5E12-4621-AB76-0477CD2CECF9}"/>
    <cellStyle name="s_PoundInc (2)_1_Book1" xfId="3879" xr:uid="{31D2405F-A90E-4DCB-85DD-C91D89EC92FD}"/>
    <cellStyle name="s_PoundInc (2)_1_Celtic DCF" xfId="3880" xr:uid="{9878C492-1B63-4E16-810B-02CAAB55F9E0}"/>
    <cellStyle name="s_PoundInc (2)_1_Celtic DCF Inputs" xfId="3881" xr:uid="{AF36B6FC-967B-4760-A352-E37F3F0CDD1F}"/>
    <cellStyle name="s_PoundInc (2)_1_Celtic DCF Inputs_Book1" xfId="3882" xr:uid="{C75D5E28-E4B0-4A1E-9781-28AE943FC79F}"/>
    <cellStyle name="s_PoundInc (2)_1_Celtic DCF Inputs_Draft reporting v4 031709" xfId="3883" xr:uid="{22824BB7-57CA-426B-AAB5-75AB99010446}"/>
    <cellStyle name="s_PoundInc (2)_1_Celtic DCF Inputs_Draft reporting v6 031909" xfId="3884" xr:uid="{940384B4-64AC-4832-9F56-1DC723D87BA8}"/>
    <cellStyle name="s_PoundInc (2)_1_Celtic DCF Inputs_Draft reporting v7 032509" xfId="3885" xr:uid="{564398B5-962B-41AE-AA5A-4A3315D3CADB}"/>
    <cellStyle name="s_PoundInc (2)_1_Celtic DCF_Book1" xfId="3886" xr:uid="{C7EFA5B8-B966-45EC-9832-E951CE411AC7}"/>
    <cellStyle name="s_PoundInc (2)_1_Celtic DCF_Draft reporting v4 031709" xfId="3887" xr:uid="{B968D1C2-0985-4AC2-AE65-6238DCF0E088}"/>
    <cellStyle name="s_PoundInc (2)_1_Celtic DCF_Draft reporting v6 031909" xfId="3888" xr:uid="{6F1456E9-94FC-4219-B83D-CAC830C960D0}"/>
    <cellStyle name="s_PoundInc (2)_1_Celtic DCF_Draft reporting v7 032509" xfId="3889" xr:uid="{37EB0F50-A478-4422-B83E-CE2AF6F34940}"/>
    <cellStyle name="s_PoundInc (2)_1_Draft reporting v4 031709" xfId="3890" xr:uid="{18820291-5DF7-44D7-BB3A-50B4AC8800B7}"/>
    <cellStyle name="s_PoundInc (2)_1_Draft reporting v6 031909" xfId="3891" xr:uid="{0E0CA494-40D5-4B06-85B2-CF1B4D9830CD}"/>
    <cellStyle name="s_PoundInc (2)_1_Draft reporting v7 032509" xfId="3892" xr:uid="{16905956-4C39-4AEC-9B94-87618C72FDC4}"/>
    <cellStyle name="s_PoundInc (2)_1_Valuation Summary" xfId="3893" xr:uid="{A9E1E2B2-2760-4E12-92A9-6943D41B7266}"/>
    <cellStyle name="s_PoundInc (2)_1_Valuation Summary_Book1" xfId="3894" xr:uid="{7A2290B4-A11B-485E-9FBA-8D220D8CDB87}"/>
    <cellStyle name="s_PoundInc (2)_1_Valuation Summary_Draft reporting v4 031709" xfId="3895" xr:uid="{686AEDDF-3154-4D0A-93E4-0D852F366BC8}"/>
    <cellStyle name="s_PoundInc (2)_1_Valuation Summary_Draft reporting v6 031909" xfId="3896" xr:uid="{647004D4-6CE5-42ED-8218-1BB22DCB7BF2}"/>
    <cellStyle name="s_PoundInc (2)_1_Valuation Summary_Draft reporting v7 032509" xfId="3897" xr:uid="{8D0A7F8A-2458-4490-8B2D-2AB483507B19}"/>
    <cellStyle name="s_PoundInc (2)_2" xfId="3898" xr:uid="{EE64096E-5E51-45CA-9113-A982280E15CD}"/>
    <cellStyle name="s_PoundInc (2)_2_Book1" xfId="3899" xr:uid="{FE4B31AB-A68B-41A3-A33F-E3345E59D24A}"/>
    <cellStyle name="s_PoundInc (2)_2_Draft reporting v4 031709" xfId="3900" xr:uid="{A591A190-1030-4BBE-A71F-15660C5C7605}"/>
    <cellStyle name="s_PoundInc (2)_2_Draft reporting v6 031909" xfId="3901" xr:uid="{1D6F04DB-F092-4AFD-BF34-6F18828C7AA2}"/>
    <cellStyle name="s_PoundInc (2)_2_Draft reporting v7 032509" xfId="3902" xr:uid="{E1C4DDDE-8AA3-4D72-8E3C-74DACD572906}"/>
    <cellStyle name="s_PoundInc (2)_Book1" xfId="3903" xr:uid="{A8F79D97-C75B-4847-9B7D-D143417BB994}"/>
    <cellStyle name="s_PoundInc (2)_Draft reporting v4 031709" xfId="3904" xr:uid="{86305B1A-CC45-4C94-A67E-BAA1E627DF6B}"/>
    <cellStyle name="s_PoundInc (2)_Draft reporting v6 031909" xfId="3905" xr:uid="{98AE41C4-056D-4132-82F8-7473F5AECF28}"/>
    <cellStyle name="s_PoundInc (2)_Draft reporting v7 032509" xfId="3906" xr:uid="{8194688E-EC20-4F91-9A1C-DBE817004F48}"/>
    <cellStyle name="s_PoundInc_Book1" xfId="3907" xr:uid="{C2898C4A-B6D1-4FA5-9B24-6590F9DE0703}"/>
    <cellStyle name="s_PoundInc_Celtic DCF" xfId="3908" xr:uid="{31701BAC-E879-41EA-B0D1-8303DD2FE096}"/>
    <cellStyle name="s_PoundInc_Celtic DCF Inputs" xfId="3909" xr:uid="{272BF7E3-E13E-4A00-BA3D-C2DA4D184F36}"/>
    <cellStyle name="s_PoundInc_Celtic DCF Inputs_Book1" xfId="3910" xr:uid="{713D3379-E556-4443-BFBC-BA066FBD5638}"/>
    <cellStyle name="s_PoundInc_Celtic DCF Inputs_Draft reporting v4 031709" xfId="3911" xr:uid="{94A8A8D4-7E91-4093-A2EE-EBE6308EA654}"/>
    <cellStyle name="s_PoundInc_Celtic DCF Inputs_Draft reporting v6 031909" xfId="3912" xr:uid="{A64A0972-D545-48AB-9705-2655A1149F44}"/>
    <cellStyle name="s_PoundInc_Celtic DCF Inputs_Draft reporting v7 032509" xfId="3913" xr:uid="{70F0E54F-CE31-47E4-A109-EFA8868222FF}"/>
    <cellStyle name="s_PoundInc_Celtic DCF_Book1" xfId="3914" xr:uid="{CDD847E2-0E7D-473C-9494-B13714DA8A7E}"/>
    <cellStyle name="s_PoundInc_Celtic DCF_Draft reporting v4 031709" xfId="3915" xr:uid="{20F6BFC9-0314-489B-99E4-3ADA6421335B}"/>
    <cellStyle name="s_PoundInc_Celtic DCF_Draft reporting v6 031909" xfId="3916" xr:uid="{EFE3EFBA-20C2-409E-B72B-CD5EB426A463}"/>
    <cellStyle name="s_PoundInc_Celtic DCF_Draft reporting v7 032509" xfId="3917" xr:uid="{8E9D001A-96AE-4144-B008-BDC53E077481}"/>
    <cellStyle name="s_PoundInc_Draft reporting v4 031709" xfId="3918" xr:uid="{0A843815-9752-4BFE-8FC2-F9158A57948C}"/>
    <cellStyle name="s_PoundInc_Draft reporting v6 031909" xfId="3919" xr:uid="{FC3BD7BF-344C-46BB-8583-CAACC6224B13}"/>
    <cellStyle name="s_PoundInc_Draft reporting v7 032509" xfId="3920" xr:uid="{6098C848-C41D-496A-9010-37F7D0B682B0}"/>
    <cellStyle name="s_PoundInc_Valuation Summary" xfId="3921" xr:uid="{75C40966-D6AD-4B74-BC43-DF43117E03E7}"/>
    <cellStyle name="s_PoundInc_Valuation Summary_Book1" xfId="3922" xr:uid="{B4F8C84A-1752-4BC1-BF86-106895CF54C6}"/>
    <cellStyle name="s_PoundInc_Valuation Summary_Draft reporting v4 031709" xfId="3923" xr:uid="{E21656BF-8F09-4E31-9289-EDFF0BDF5CD0}"/>
    <cellStyle name="s_PoundInc_Valuation Summary_Draft reporting v6 031909" xfId="3924" xr:uid="{7BA6EC0C-2FE2-4956-9AE0-7C428007C3BB}"/>
    <cellStyle name="s_PoundInc_Valuation Summary_Draft reporting v7 032509" xfId="3925" xr:uid="{6D7A85BE-B3E7-400F-BBC5-165EFF2CC072}"/>
    <cellStyle name="s_Poundstone (2)" xfId="3926" xr:uid="{5BE54A13-16C9-45AB-B2EB-7F906686186C}"/>
    <cellStyle name="s_Poundstone (2)_1" xfId="3927" xr:uid="{852FFB1F-D81F-49FA-A79E-EC7EA9ED59AC}"/>
    <cellStyle name="s_Poundstone (2)_1_Book1" xfId="3928" xr:uid="{D66E86F2-B6D7-4758-BB69-B17C48F41188}"/>
    <cellStyle name="s_Poundstone (2)_1_Draft reporting v4 031709" xfId="3929" xr:uid="{882D3CEF-57C5-4763-8F7F-6F46C5AAE7C5}"/>
    <cellStyle name="s_Poundstone (2)_1_Draft reporting v6 031909" xfId="3930" xr:uid="{4755E0CB-A77C-4707-AEBA-B39D230225A7}"/>
    <cellStyle name="s_Poundstone (2)_1_Draft reporting v7 032509" xfId="3931" xr:uid="{9CE27606-0B01-4331-B74A-B7FC22860E4F}"/>
    <cellStyle name="s_Poundstone (2)_2" xfId="3932" xr:uid="{FB9B7D90-A134-4C15-94D6-E327DD9AE3A7}"/>
    <cellStyle name="s_Poundstone (2)_2_Book1" xfId="3933" xr:uid="{756492B5-3422-4AFC-B11D-3CFCB303300A}"/>
    <cellStyle name="s_Poundstone (2)_2_Draft reporting v4 031709" xfId="3934" xr:uid="{A6B65D5B-8F55-4361-85E9-44D21192D248}"/>
    <cellStyle name="s_Poundstone (2)_2_Draft reporting v6 031909" xfId="3935" xr:uid="{26BB1FF8-5E36-46EA-8594-0A605ADA73F1}"/>
    <cellStyle name="s_Poundstone (2)_2_Draft reporting v7 032509" xfId="3936" xr:uid="{274D23CB-2263-4D4E-9923-FA14A0731FA4}"/>
    <cellStyle name="s_Poundstone (2)_Book1" xfId="3937" xr:uid="{8F03EE52-49DD-4125-96E3-A56B4CD78979}"/>
    <cellStyle name="s_Poundstone (2)_Celtic DCF" xfId="3938" xr:uid="{C3752176-940B-4285-BFFA-51865C9553B8}"/>
    <cellStyle name="s_Poundstone (2)_Celtic DCF Inputs" xfId="3939" xr:uid="{A9EA3499-A438-4A53-BA4A-121BF3443481}"/>
    <cellStyle name="s_Poundstone (2)_Celtic DCF Inputs_Book1" xfId="3940" xr:uid="{EF6EEA63-AD46-43F8-8D4D-C11E7B3D5255}"/>
    <cellStyle name="s_Poundstone (2)_Celtic DCF Inputs_Draft reporting v4 031709" xfId="3941" xr:uid="{A5B91026-6E9B-4006-8F1D-CB75B1DB2D2E}"/>
    <cellStyle name="s_Poundstone (2)_Celtic DCF Inputs_Draft reporting v6 031909" xfId="3942" xr:uid="{716AF9A1-263A-4E09-87A7-CE4B853B93E8}"/>
    <cellStyle name="s_Poundstone (2)_Celtic DCF Inputs_Draft reporting v7 032509" xfId="3943" xr:uid="{00072A19-EF64-41BE-80FC-1D88AF54A99F}"/>
    <cellStyle name="s_Poundstone (2)_Celtic DCF_Book1" xfId="3944" xr:uid="{5251DF69-4CFF-4F87-9EA5-FCA88C3FD057}"/>
    <cellStyle name="s_Poundstone (2)_Celtic DCF_Draft reporting v4 031709" xfId="3945" xr:uid="{E82598C4-6833-419E-AD09-3C2D3D8FF6A4}"/>
    <cellStyle name="s_Poundstone (2)_Celtic DCF_Draft reporting v6 031909" xfId="3946" xr:uid="{916BFD82-9755-4BD0-B805-D438E9C3167A}"/>
    <cellStyle name="s_Poundstone (2)_Celtic DCF_Draft reporting v7 032509" xfId="3947" xr:uid="{12929865-A829-420D-9A6A-CC44A5B25C3F}"/>
    <cellStyle name="s_Poundstone (2)_Draft reporting v4 031709" xfId="3948" xr:uid="{CBBC3A35-5D2F-4EB2-9F06-C4AEE466F3F6}"/>
    <cellStyle name="s_Poundstone (2)_Draft reporting v6 031909" xfId="3949" xr:uid="{B5B77239-3E9D-4C9A-9AA6-E7A3157D3722}"/>
    <cellStyle name="s_Poundstone (2)_Draft reporting v7 032509" xfId="3950" xr:uid="{5C0692C8-E939-497E-AEF6-A3704760BD3A}"/>
    <cellStyle name="s_Poundstone (2)_Valuation Summary" xfId="3951" xr:uid="{208CBB0B-DA31-403D-B495-0FE9F571CD09}"/>
    <cellStyle name="s_Poundstone (2)_Valuation Summary_Book1" xfId="3952" xr:uid="{8665C138-9F16-4D1E-9452-CE4ACE5C7F8F}"/>
    <cellStyle name="s_Poundstone (2)_Valuation Summary_Draft reporting v4 031709" xfId="3953" xr:uid="{C025E0A4-063F-4474-A4A1-12F1A3BC7FDD}"/>
    <cellStyle name="s_Poundstone (2)_Valuation Summary_Draft reporting v6 031909" xfId="3954" xr:uid="{F6515F05-EB2E-4201-BF18-7B191BF1ADB8}"/>
    <cellStyle name="s_Poundstone (2)_Valuation Summary_Draft reporting v7 032509" xfId="3955" xr:uid="{B5E3FBCB-531D-4DED-96B5-0DFCCB8342F8}"/>
    <cellStyle name="s_Preliminary Poundstone (2)" xfId="3956" xr:uid="{93D1F7F0-58F2-4DD5-8236-5D731257734F}"/>
    <cellStyle name="s_Preliminary Poundstone (2)_1" xfId="3957" xr:uid="{C4F98F9D-AFF3-4801-AC7D-BCDF5FD178F1}"/>
    <cellStyle name="s_Preliminary Poundstone (2)_1_Book1" xfId="3958" xr:uid="{7C7EE9FC-D746-4A97-A8B2-32A766438D89}"/>
    <cellStyle name="s_Preliminary Poundstone (2)_1_Draft reporting v4 031709" xfId="3959" xr:uid="{BA216D15-D899-4DEC-BFF8-96521B5FFB2A}"/>
    <cellStyle name="s_Preliminary Poundstone (2)_1_Draft reporting v6 031909" xfId="3960" xr:uid="{60717580-FFB5-4E8B-88AC-22B209A6BF6F}"/>
    <cellStyle name="s_Preliminary Poundstone (2)_1_Draft reporting v7 032509" xfId="3961" xr:uid="{9AF9E4D5-D726-429A-BE94-0E773BF1BB45}"/>
    <cellStyle name="s_Preliminary Poundstone (2)_Book1" xfId="3962" xr:uid="{01DD7415-DBF3-4DC1-B0AF-BA72FE978595}"/>
    <cellStyle name="s_Preliminary Poundstone (2)_Draft reporting v4 031709" xfId="3963" xr:uid="{1F6648EF-E611-42EF-8347-9CFBD56CBA56}"/>
    <cellStyle name="s_Preliminary Poundstone (2)_Draft reporting v6 031909" xfId="3964" xr:uid="{E2202BA7-C3CF-437E-B894-7DD9266FF019}"/>
    <cellStyle name="s_Preliminary Poundstone (2)_Draft reporting v7 032509" xfId="3965" xr:uid="{08488516-3F8B-47F3-A8BB-05F82A2A7B36}"/>
    <cellStyle name="s_Proj Graph" xfId="3966" xr:uid="{187702A8-E71B-4F15-9B11-A2719360EE9E}"/>
    <cellStyle name="s_Proj Graph_1" xfId="3967" xr:uid="{09623D5A-28E1-4E75-BD7D-EA7647D4E700}"/>
    <cellStyle name="s_Proj Graph_1_Book1" xfId="3968" xr:uid="{C3F67E23-EA38-4893-8584-A5D9FDDAB423}"/>
    <cellStyle name="s_Proj Graph_1_Draft reporting v4 031709" xfId="3969" xr:uid="{F8EDEC6B-6293-401B-AC88-6BE6DF75565E}"/>
    <cellStyle name="s_Proj Graph_1_Draft reporting v6 031909" xfId="3970" xr:uid="{E520D2D7-9DF8-4166-BBF7-FC49FEA46172}"/>
    <cellStyle name="s_Proj Graph_1_Draft reporting v7 032509" xfId="3971" xr:uid="{B6200AC3-01B7-4177-8880-27C7E9005BEC}"/>
    <cellStyle name="s_Proj Graph_2" xfId="3972" xr:uid="{9D65850E-660F-41B9-81AC-EA7781A21E04}"/>
    <cellStyle name="s_Proj Graph_2_Book1" xfId="3973" xr:uid="{890B3297-B9E6-4521-8AFE-A03BDB955465}"/>
    <cellStyle name="s_Proj Graph_2_Draft reporting v4 031709" xfId="3974" xr:uid="{CFBEB93C-0BA0-4FC9-9584-4DFFA79E8E03}"/>
    <cellStyle name="s_Proj Graph_2_Draft reporting v6 031909" xfId="3975" xr:uid="{70F881F8-D087-4A12-A5E0-7A7FE13389C5}"/>
    <cellStyle name="s_Proj Graph_2_Draft reporting v7 032509" xfId="3976" xr:uid="{DC3627A8-3CF1-4C71-A010-84FD6A175302}"/>
    <cellStyle name="s_Proj Graph_Book1" xfId="3977" xr:uid="{F6E42B81-3637-4D8B-A69A-00939AE80F19}"/>
    <cellStyle name="s_Proj Graph_Draft reporting v4 031709" xfId="3978" xr:uid="{3FB0C62D-5A71-4E84-921E-01AEE7807B2D}"/>
    <cellStyle name="s_Proj Graph_Draft reporting v6 031909" xfId="3979" xr:uid="{073A8F60-4973-4603-AE05-D2CCADCA353D}"/>
    <cellStyle name="s_Proj Graph_Draft reporting v7 032509" xfId="3980" xr:uid="{851914AD-BA88-4358-B145-5A0740E32F40}"/>
    <cellStyle name="s_REVISE24" xfId="3981" xr:uid="{0CDCBA82-092A-4153-A58C-09D01E5BC21C}"/>
    <cellStyle name="s_REVISE24_Book1" xfId="3982" xr:uid="{4129E6C8-A4CF-420B-B35C-1A7E45BF476D}"/>
    <cellStyle name="s_REVISE24_Draft reporting v4 031709" xfId="3983" xr:uid="{D0568801-B326-4D07-808C-4B0DF8B25F33}"/>
    <cellStyle name="s_REVISE24_Draft reporting v6 031909" xfId="3984" xr:uid="{FD0D59B8-4C1D-4D50-B1F8-A5872023B2F5}"/>
    <cellStyle name="s_REVISE24_Draft reporting v7 032509" xfId="3985" xr:uid="{CF29DAA2-EEC7-4838-9D43-0510AC57A8C3}"/>
    <cellStyle name="s_RushValSum (2)" xfId="3986" xr:uid="{788ED3EA-0522-4782-915F-B6B2CCC41B28}"/>
    <cellStyle name="s_RushValSum (2)_1" xfId="3987" xr:uid="{23E0520A-AAE1-46B5-AE75-D62415906202}"/>
    <cellStyle name="s_RushValSum (2)_1_Book1" xfId="3988" xr:uid="{D1F1CAEE-D84A-42D6-B83F-1CA131FEF039}"/>
    <cellStyle name="s_RushValSum (2)_1_Draft reporting v4 031709" xfId="3989" xr:uid="{6156AE47-0442-4FCB-B37A-15C03E106A54}"/>
    <cellStyle name="s_RushValSum (2)_1_Draft reporting v6 031909" xfId="3990" xr:uid="{4B2B1A3D-AD29-4172-9160-6C441217D9A5}"/>
    <cellStyle name="s_RushValSum (2)_1_Draft reporting v7 032509" xfId="3991" xr:uid="{21BF7760-BBC5-42E2-ADFB-4512D0437C9F}"/>
    <cellStyle name="s_RushValSum (2)_2" xfId="3992" xr:uid="{05F424E8-9F6E-4A5B-9F86-B50FD45CBD83}"/>
    <cellStyle name="s_RushValSum (2)_2_Book1" xfId="3993" xr:uid="{B4464459-C91C-46BB-8AD2-652EB481A502}"/>
    <cellStyle name="s_RushValSum (2)_2_Draft reporting v4 031709" xfId="3994" xr:uid="{E1CBB1D9-9179-43EA-AC21-BCE3EE432170}"/>
    <cellStyle name="s_RushValSum (2)_2_Draft reporting v6 031909" xfId="3995" xr:uid="{08E9EDCF-D2FA-4FCA-B916-2EC4C51FBADE}"/>
    <cellStyle name="s_RushValSum (2)_2_Draft reporting v7 032509" xfId="3996" xr:uid="{84ABD7B3-F7BF-4435-B578-0AEEE5E3AFDD}"/>
    <cellStyle name="s_RushValSum (2)_Book1" xfId="3997" xr:uid="{4F4C42F5-6453-4E5C-8BDC-9733F440F46A}"/>
    <cellStyle name="s_RushValSum (2)_Celtic DCF" xfId="3998" xr:uid="{C0C62D99-99F2-4C78-81A2-2C9E608277AE}"/>
    <cellStyle name="s_RushValSum (2)_Celtic DCF Inputs" xfId="3999" xr:uid="{A526E00B-77C7-4850-90D6-F7DF8C6E191E}"/>
    <cellStyle name="s_RushValSum (2)_Celtic DCF Inputs_Book1" xfId="4000" xr:uid="{E5210E3B-DD47-446D-B68B-8BAF4B4571CC}"/>
    <cellStyle name="s_RushValSum (2)_Celtic DCF Inputs_Draft reporting v4 031709" xfId="4001" xr:uid="{2BB50D5C-E990-45BE-B1F8-3671DD4FD246}"/>
    <cellStyle name="s_RushValSum (2)_Celtic DCF Inputs_Draft reporting v6 031909" xfId="4002" xr:uid="{D9CB9044-E6B7-46A9-9DEA-8AEEE6D5B40B}"/>
    <cellStyle name="s_RushValSum (2)_Celtic DCF Inputs_Draft reporting v7 032509" xfId="4003" xr:uid="{8E14B874-6F3F-4C54-970A-CEAAE6B42BD2}"/>
    <cellStyle name="s_RushValSum (2)_Celtic DCF_Book1" xfId="4004" xr:uid="{9071CA07-264B-4CAD-99E9-13156C749713}"/>
    <cellStyle name="s_RushValSum (2)_Celtic DCF_Draft reporting v4 031709" xfId="4005" xr:uid="{74DD4AB7-B127-49D2-A1AE-5F8310C5B856}"/>
    <cellStyle name="s_RushValSum (2)_Celtic DCF_Draft reporting v6 031909" xfId="4006" xr:uid="{28B39B76-5584-40C1-98B4-66A360BD174A}"/>
    <cellStyle name="s_RushValSum (2)_Celtic DCF_Draft reporting v7 032509" xfId="4007" xr:uid="{79FCB2A4-0E9A-43F7-8491-CB4156F2C2FE}"/>
    <cellStyle name="s_RushValSum (2)_Draft reporting v4 031709" xfId="4008" xr:uid="{6CEBF0C7-7991-44B6-9988-3FA49A6160C5}"/>
    <cellStyle name="s_RushValSum (2)_Draft reporting v6 031909" xfId="4009" xr:uid="{4E2E409F-98F6-4C3D-B105-4F777CC34A9C}"/>
    <cellStyle name="s_RushValSum (2)_Draft reporting v7 032509" xfId="4010" xr:uid="{A4BF4AE9-45F9-4BE7-A5CF-CB99F0F43242}"/>
    <cellStyle name="s_RushValSum (2)_Valuation Summary" xfId="4011" xr:uid="{E1AB6574-9C22-45C4-B21E-2AF029790E8D}"/>
    <cellStyle name="s_RushValSum (2)_Valuation Summary_Book1" xfId="4012" xr:uid="{A02D935D-E485-4D0F-A5F4-5474D911876D}"/>
    <cellStyle name="s_RushValSum (2)_Valuation Summary_Draft reporting v4 031709" xfId="4013" xr:uid="{8F01716A-4976-485F-9D81-F31CF82F2366}"/>
    <cellStyle name="s_RushValSum (2)_Valuation Summary_Draft reporting v6 031909" xfId="4014" xr:uid="{B3A04DF4-0728-4E7E-B4D5-41D131250E7D}"/>
    <cellStyle name="s_RushValSum (2)_Valuation Summary_Draft reporting v7 032509" xfId="4015" xr:uid="{6DE031EC-7B3B-433D-9CD1-F9F913F5C0D3}"/>
    <cellStyle name="s_Schedules" xfId="4016" xr:uid="{B8EC4267-B380-463D-8273-22F203973016}"/>
    <cellStyle name="s_Schedules_1" xfId="4017" xr:uid="{FC263FAC-01CD-4999-BFAA-B84D5EAB521F}"/>
    <cellStyle name="s_Schedules_1_AM0909" xfId="4018" xr:uid="{109E0608-B2D6-4805-BC58-B5C75B32C2F1}"/>
    <cellStyle name="s_Schedules_1_AM0909_Book1" xfId="4019" xr:uid="{BF071FBF-B2F6-427D-B212-67DA9C5886F2}"/>
    <cellStyle name="s_Schedules_1_AM0909_Draft reporting v4 031709" xfId="4020" xr:uid="{A6AC429E-BB42-4FEC-805A-00E02F2A9E21}"/>
    <cellStyle name="s_Schedules_1_AM0909_Draft reporting v6 031909" xfId="4021" xr:uid="{5F334950-5873-4395-AA88-822FA9D6EB6F}"/>
    <cellStyle name="s_Schedules_1_AM0909_Draft reporting v7 032509" xfId="4022" xr:uid="{1F845599-FEF9-497E-A5AC-D4F9A7199A42}"/>
    <cellStyle name="s_Schedules_1_Book1" xfId="4023" xr:uid="{82E8446F-6C63-4ABF-ACCB-3D1C622449FF}"/>
    <cellStyle name="s_Schedules_1_Brenner" xfId="4024" xr:uid="{05AC0653-2664-4F5D-98AD-5E51F95395EB}"/>
    <cellStyle name="s_Schedules_1_Brenner_Book1" xfId="4025" xr:uid="{7339FDA4-E907-4498-93EE-9D375C936B7F}"/>
    <cellStyle name="s_Schedules_1_Brenner_Draft reporting v4 031709" xfId="4026" xr:uid="{AAA3D83F-1B64-46AC-ADCD-FB4C02DBB14B}"/>
    <cellStyle name="s_Schedules_1_Brenner_Draft reporting v6 031909" xfId="4027" xr:uid="{F26117CB-4750-4CBF-8485-7DAF84DCE56F}"/>
    <cellStyle name="s_Schedules_1_Brenner_Draft reporting v7 032509" xfId="4028" xr:uid="{D7D198E3-6DB0-45C2-ABD3-345879655A28}"/>
    <cellStyle name="s_Schedules_1_Draft reporting v4 031709" xfId="4029" xr:uid="{06A5AD05-F8E8-4322-88D6-E8EE58CB120A}"/>
    <cellStyle name="s_Schedules_1_Draft reporting v6 031909" xfId="4030" xr:uid="{8CAA4CCA-2E10-45EF-85D9-D9B22A30E524}"/>
    <cellStyle name="s_Schedules_1_Draft reporting v7 032509" xfId="4031" xr:uid="{3F498237-B77B-4FA7-B1EB-047609E3C3AD}"/>
    <cellStyle name="s_Schedules_2" xfId="4032" xr:uid="{C69E6CBF-9B01-4769-B293-B1C6141A1EDC}"/>
    <cellStyle name="s_Schedules_2_Book1" xfId="4033" xr:uid="{4E34D7F9-11E5-4B86-BD48-9EF6FD1BDAB7}"/>
    <cellStyle name="s_Schedules_2_Draft reporting v4 031709" xfId="4034" xr:uid="{B0DA2C0B-0B71-4C82-A8F7-C66BE20D1772}"/>
    <cellStyle name="s_Schedules_2_Draft reporting v6 031909" xfId="4035" xr:uid="{79C63448-80D4-4D6A-943C-3C9B7A7218A2}"/>
    <cellStyle name="s_Schedules_2_Draft reporting v7 032509" xfId="4036" xr:uid="{DAEAB5C4-6138-46DD-A167-1247FF2DADF1}"/>
    <cellStyle name="s_Schedules_AM0909" xfId="4037" xr:uid="{B3ED7A75-D050-46EA-9130-6A5FA57E00FE}"/>
    <cellStyle name="s_Schedules_AM0909_Book1" xfId="4038" xr:uid="{9284FFBA-4E24-4C93-AF5E-4050648E106A}"/>
    <cellStyle name="s_Schedules_AM0909_Draft reporting v4 031709" xfId="4039" xr:uid="{629C73A7-8284-4A03-AF37-912BDFABCE50}"/>
    <cellStyle name="s_Schedules_AM0909_Draft reporting v6 031909" xfId="4040" xr:uid="{998C6809-1056-4F47-AAFD-173FF055F434}"/>
    <cellStyle name="s_Schedules_AM0909_Draft reporting v7 032509" xfId="4041" xr:uid="{CCE863C7-1EA2-4F25-91FE-6EC9140E3B0D}"/>
    <cellStyle name="s_Schedules_Book1" xfId="4042" xr:uid="{61B64F0E-7CB9-461F-BACB-040764E4F914}"/>
    <cellStyle name="s_Schedules_Brenner" xfId="4043" xr:uid="{07B8A1EB-F363-4F16-93B3-918B24DCA89C}"/>
    <cellStyle name="s_Schedules_Brenner_Book1" xfId="4044" xr:uid="{627249E5-2045-461D-A545-4DF849B06DAC}"/>
    <cellStyle name="s_Schedules_Brenner_Draft reporting v4 031709" xfId="4045" xr:uid="{FD73C065-6594-4FAB-B6A4-62B674CE263A}"/>
    <cellStyle name="s_Schedules_Brenner_Draft reporting v6 031909" xfId="4046" xr:uid="{63377CEF-F8B4-4356-8BA7-2039F6D70F95}"/>
    <cellStyle name="s_Schedules_Brenner_Draft reporting v7 032509" xfId="4047" xr:uid="{E136F252-90D0-4735-A181-AD1EB7476770}"/>
    <cellStyle name="s_Schedules_Draft reporting v4 031709" xfId="4048" xr:uid="{ECB3FBBE-F7EE-4793-9C2E-3542820676A2}"/>
    <cellStyle name="s_Schedules_Draft reporting v6 031909" xfId="4049" xr:uid="{07937B91-CC85-4F6F-AEF8-A424A8F08395}"/>
    <cellStyle name="s_Schedules_Draft reporting v7 032509" xfId="4050" xr:uid="{B61F16B1-80F0-43D1-A5C7-559DF56A55E4}"/>
    <cellStyle name="s_Standalone" xfId="4051" xr:uid="{1A71DEC7-9C68-43FD-B73E-78594BA80F10}"/>
    <cellStyle name="s_Standalone_1" xfId="4052" xr:uid="{83D472D9-3AF0-4B30-860F-27FDE827F709}"/>
    <cellStyle name="s_Standalone_1_Book1" xfId="4053" xr:uid="{60019B70-9BC4-4F3D-9371-14147B428FA3}"/>
    <cellStyle name="s_Standalone_1_Draft reporting v4 031709" xfId="4054" xr:uid="{6E8EA1C4-7E4D-4F43-A189-04737AF50D0D}"/>
    <cellStyle name="s_Standalone_1_Draft reporting v6 031909" xfId="4055" xr:uid="{93048BAC-122D-4B90-A4F7-0A36C2790DFA}"/>
    <cellStyle name="s_Standalone_1_Draft reporting v7 032509" xfId="4056" xr:uid="{655F2753-3DEB-4FE0-8563-C82F7A3EABB8}"/>
    <cellStyle name="s_Standalone_2" xfId="4057" xr:uid="{D310E8FC-B669-423F-B0EE-EC178670D4B7}"/>
    <cellStyle name="s_Standalone_2_Book1" xfId="4058" xr:uid="{9995138A-235A-43AF-A6D9-29256A2589C9}"/>
    <cellStyle name="s_Standalone_2_Draft reporting v4 031709" xfId="4059" xr:uid="{1BF10D89-DCBB-4ECE-BE5A-1D935BC9FFB7}"/>
    <cellStyle name="s_Standalone_2_Draft reporting v6 031909" xfId="4060" xr:uid="{9F8E8EEC-57E2-4F49-9104-3A413BDB2AF8}"/>
    <cellStyle name="s_Standalone_2_Draft reporting v7 032509" xfId="4061" xr:uid="{9676E30F-FBA5-470C-AA2D-F0B808765C48}"/>
    <cellStyle name="s_Standalone_Book1" xfId="4062" xr:uid="{1ECF87A1-92BD-45EC-BD8F-B56639D2566A}"/>
    <cellStyle name="s_Standalone_Draft reporting v4 031709" xfId="4063" xr:uid="{306639B8-1B3E-42A4-B12F-D9747837A63F}"/>
    <cellStyle name="s_Standalone_Draft reporting v6 031909" xfId="4064" xr:uid="{5D9D3827-4945-4468-835E-A489E6495D00}"/>
    <cellStyle name="s_Standalone_Draft reporting v7 032509" xfId="4065" xr:uid="{03A6C40B-1BFC-47E1-B8ED-50CA5274A88B}"/>
    <cellStyle name="s_Stub Value" xfId="4066" xr:uid="{C894BE44-0B01-493B-9378-05E1C5B35B3C}"/>
    <cellStyle name="s_Stub Value_1" xfId="4067" xr:uid="{1419ED97-B292-468F-92A2-06EF6C8E4223}"/>
    <cellStyle name="s_Stub Value_1_Book1" xfId="4068" xr:uid="{F6A5BDBC-7934-4BEC-B603-E1CE8F40EDA1}"/>
    <cellStyle name="s_Stub Value_1_Draft reporting v4 031709" xfId="4069" xr:uid="{5606EBB1-9B12-4085-98EB-F86BEC4B4F28}"/>
    <cellStyle name="s_Stub Value_1_Draft reporting v6 031909" xfId="4070" xr:uid="{6292F27E-DD8F-4379-8840-F94806FCFE56}"/>
    <cellStyle name="s_Stub Value_1_Draft reporting v7 032509" xfId="4071" xr:uid="{0F71C90B-30E4-4383-859A-6D0F94A5C33D}"/>
    <cellStyle name="s_Stub Value_Book1" xfId="4072" xr:uid="{D761339C-C5BA-4A4C-97FB-22E16F288122}"/>
    <cellStyle name="s_Stub Value_Draft reporting v4 031709" xfId="4073" xr:uid="{4BAED98C-586A-4949-9ADE-A8AD9B0E3212}"/>
    <cellStyle name="s_Stub Value_Draft reporting v6 031909" xfId="4074" xr:uid="{F2E2F7A0-F97F-4066-BBBD-CA780D1DFD0E}"/>
    <cellStyle name="s_Stub Value_Draft reporting v7 032509" xfId="4075" xr:uid="{3D810301-934D-4917-96D6-3D1556D02564}"/>
    <cellStyle name="s_Summary of Pro Forma (2)" xfId="4076" xr:uid="{6EA50CE7-7C82-4BAF-B88A-65ACE4EF4FCD}"/>
    <cellStyle name="s_Summary of Pro Forma (2)_1" xfId="4077" xr:uid="{6EF42741-396A-4A00-87E5-7B0DE8E9E06B}"/>
    <cellStyle name="s_Summary of Pro Forma (2)_1_Book1" xfId="4078" xr:uid="{86AD6A3D-6E51-43FE-953D-FEE0F55D7987}"/>
    <cellStyle name="s_Summary of Pro Forma (2)_1_Draft reporting v4 031709" xfId="4079" xr:uid="{700498B4-639B-4EEB-A72A-07F95B385BBA}"/>
    <cellStyle name="s_Summary of Pro Forma (2)_1_Draft reporting v6 031909" xfId="4080" xr:uid="{E9E0E136-5B66-46AB-8DCA-30669ED33365}"/>
    <cellStyle name="s_Summary of Pro Forma (2)_1_Draft reporting v7 032509" xfId="4081" xr:uid="{9DB2FF45-52D6-4584-9E12-447D4BD1879C}"/>
    <cellStyle name="s_Summary of Pro Forma (2)_2" xfId="4082" xr:uid="{007429D5-1BCF-471B-9233-CA023226E479}"/>
    <cellStyle name="s_Summary of Pro Forma (2)_2_Book1" xfId="4083" xr:uid="{6F1EABAE-3946-4E49-8FB2-75B8E33EDA87}"/>
    <cellStyle name="s_Summary of Pro Forma (2)_2_Draft reporting v4 031709" xfId="4084" xr:uid="{1B6D94AF-14FF-432B-B878-A9CE8838FFC9}"/>
    <cellStyle name="s_Summary of Pro Forma (2)_2_Draft reporting v6 031909" xfId="4085" xr:uid="{0A4798F3-2F4D-4999-A110-8F6B8FD99989}"/>
    <cellStyle name="s_Summary of Pro Forma (2)_2_Draft reporting v7 032509" xfId="4086" xr:uid="{05362DD2-2C01-4545-83E8-8BD59F41E5A6}"/>
    <cellStyle name="s_Summary of Pro Forma (2)_Book1" xfId="4087" xr:uid="{782DA5C7-F572-4DB9-B8B1-A0AF843171B5}"/>
    <cellStyle name="s_Summary of Pro Forma (2)_Celtic DCF" xfId="4088" xr:uid="{D6721BCC-F527-4E0E-BF69-DB129526575D}"/>
    <cellStyle name="s_Summary of Pro Forma (2)_Celtic DCF Inputs" xfId="4089" xr:uid="{7C16CB69-C75C-401A-8E8C-050AB9B688EB}"/>
    <cellStyle name="s_Summary of Pro Forma (2)_Celtic DCF Inputs_Book1" xfId="4090" xr:uid="{97A695C6-A861-4C5E-B62F-180BF51E2BAD}"/>
    <cellStyle name="s_Summary of Pro Forma (2)_Celtic DCF Inputs_Draft reporting v4 031709" xfId="4091" xr:uid="{9444ACC2-1EE6-40A0-ABA6-67B01D09A25A}"/>
    <cellStyle name="s_Summary of Pro Forma (2)_Celtic DCF Inputs_Draft reporting v6 031909" xfId="4092" xr:uid="{CEEF4BF1-8F0B-43DC-89BD-6E1F7D30363E}"/>
    <cellStyle name="s_Summary of Pro Forma (2)_Celtic DCF Inputs_Draft reporting v7 032509" xfId="4093" xr:uid="{983D8DF4-C492-4557-BD8F-0900313024BD}"/>
    <cellStyle name="s_Summary of Pro Forma (2)_Celtic DCF_Book1" xfId="4094" xr:uid="{740E8707-5A67-4E0A-8657-9F66CC81A2A5}"/>
    <cellStyle name="s_Summary of Pro Forma (2)_Celtic DCF_Draft reporting v4 031709" xfId="4095" xr:uid="{F0BA097A-63AF-4F11-8A08-FBDA2CB13BB5}"/>
    <cellStyle name="s_Summary of Pro Forma (2)_Celtic DCF_Draft reporting v6 031909" xfId="4096" xr:uid="{3E3E207A-D36A-4D32-A948-DDC14B1E9ED9}"/>
    <cellStyle name="s_Summary of Pro Forma (2)_Celtic DCF_Draft reporting v7 032509" xfId="4097" xr:uid="{0F4F1E10-4BD0-4774-B3CE-46B5829CAB50}"/>
    <cellStyle name="s_Summary of Pro Forma (2)_Draft reporting v4 031709" xfId="4098" xr:uid="{77194F79-F1CA-4CF4-B2D6-C150F5BEEC2F}"/>
    <cellStyle name="s_Summary of Pro Forma (2)_Draft reporting v6 031909" xfId="4099" xr:uid="{693C31AC-18BC-4ECD-BD5C-93CC44D5387B}"/>
    <cellStyle name="s_Summary of Pro Forma (2)_Draft reporting v7 032509" xfId="4100" xr:uid="{26C78D50-7E17-47F9-BE62-382B672004D5}"/>
    <cellStyle name="s_Summary of Pro Forma (2)_Valuation Summary" xfId="4101" xr:uid="{FE261689-A1F8-4EB1-A819-6C51ACD460BE}"/>
    <cellStyle name="s_Summary of Pro Forma (2)_Valuation Summary_Book1" xfId="4102" xr:uid="{E4050326-25AA-461A-AF93-DCF0D10FAD71}"/>
    <cellStyle name="s_Summary of Pro Forma (2)_Valuation Summary_Draft reporting v4 031709" xfId="4103" xr:uid="{8FC33C5E-D58A-49D6-B435-9315425270AD}"/>
    <cellStyle name="s_Summary of Pro Forma (2)_Valuation Summary_Draft reporting v6 031909" xfId="4104" xr:uid="{69245A17-4F63-4CBF-91C0-B1FA90368F85}"/>
    <cellStyle name="s_Summary of Pro Forma (2)_Valuation Summary_Draft reporting v7 032509" xfId="4105" xr:uid="{7E47BAE4-F8B1-49E8-B497-F5F161B5680C}"/>
    <cellStyle name="s_Summary of Pro Forma (3)" xfId="4106" xr:uid="{2B2AAB24-C254-4935-A9AE-B7A8920CC63C}"/>
    <cellStyle name="s_Summary of Pro Forma (3)_1" xfId="4107" xr:uid="{680CCD85-8DD0-468C-8C9D-F8FC7EFC796E}"/>
    <cellStyle name="s_Summary of Pro Forma (3)_1_Book1" xfId="4108" xr:uid="{E7500340-E8DA-4A34-84AC-45F53767A08F}"/>
    <cellStyle name="s_Summary of Pro Forma (3)_1_Draft reporting v4 031709" xfId="4109" xr:uid="{9E9F63C2-F8A3-4FE3-B4E0-384C3F39544C}"/>
    <cellStyle name="s_Summary of Pro Forma (3)_1_Draft reporting v6 031909" xfId="4110" xr:uid="{E63E1665-5D5E-4CCD-AADF-F7EF3F0CFD6C}"/>
    <cellStyle name="s_Summary of Pro Forma (3)_1_Draft reporting v7 032509" xfId="4111" xr:uid="{DDB415DE-2C58-43BB-93A0-C5DD81DB9334}"/>
    <cellStyle name="s_Summary of Pro Forma (3)_Book1" xfId="4112" xr:uid="{92ACC0B2-3BEB-49BC-95E9-E7EC524D5986}"/>
    <cellStyle name="s_Summary of Pro Forma (3)_Celtic DCF" xfId="4113" xr:uid="{CCE07866-5889-4187-9B81-608285C52EE7}"/>
    <cellStyle name="s_Summary of Pro Forma (3)_Celtic DCF Inputs" xfId="4114" xr:uid="{D5E9776E-AF9C-408E-9D03-467639440B72}"/>
    <cellStyle name="s_Summary of Pro Forma (3)_Celtic DCF Inputs_Book1" xfId="4115" xr:uid="{5DFBE2EC-7181-4CCD-9AC7-218A690FED12}"/>
    <cellStyle name="s_Summary of Pro Forma (3)_Celtic DCF Inputs_Draft reporting v4 031709" xfId="4116" xr:uid="{7C048425-5624-4495-94AC-1E265D4DF8DB}"/>
    <cellStyle name="s_Summary of Pro Forma (3)_Celtic DCF Inputs_Draft reporting v6 031909" xfId="4117" xr:uid="{6F4398F7-22D8-46B9-A2BC-9F0800F084BA}"/>
    <cellStyle name="s_Summary of Pro Forma (3)_Celtic DCF Inputs_Draft reporting v7 032509" xfId="4118" xr:uid="{1230F77D-6409-44AA-91A4-CFB1F9E4381E}"/>
    <cellStyle name="s_Summary of Pro Forma (3)_Celtic DCF_Book1" xfId="4119" xr:uid="{A3CD986A-92F9-462F-A597-FAFA7E43CB1E}"/>
    <cellStyle name="s_Summary of Pro Forma (3)_Celtic DCF_Draft reporting v4 031709" xfId="4120" xr:uid="{AEFABE97-8425-4530-90B2-1B3F43305E40}"/>
    <cellStyle name="s_Summary of Pro Forma (3)_Celtic DCF_Draft reporting v6 031909" xfId="4121" xr:uid="{8BF40C3E-7947-478B-8B21-E5FC43FD1067}"/>
    <cellStyle name="s_Summary of Pro Forma (3)_Celtic DCF_Draft reporting v7 032509" xfId="4122" xr:uid="{6395C76D-D416-4736-B2D3-EF59BABD95E0}"/>
    <cellStyle name="s_Summary of Pro Forma (3)_Draft reporting v4 031709" xfId="4123" xr:uid="{095BC469-F5C9-4305-8AFD-600EB07FBD28}"/>
    <cellStyle name="s_Summary of Pro Forma (3)_Draft reporting v6 031909" xfId="4124" xr:uid="{DEEB7065-116C-4D6D-AFAA-9889DE99B41B}"/>
    <cellStyle name="s_Summary of Pro Forma (3)_Draft reporting v7 032509" xfId="4125" xr:uid="{1DCBFA76-5253-41CE-BBDE-4598E4E28287}"/>
    <cellStyle name="s_Summary of Pro Forma (3)_Valuation Summary" xfId="4126" xr:uid="{0F96D750-EEA7-4599-A438-FA9FA7181F14}"/>
    <cellStyle name="s_Summary of Pro Forma (3)_Valuation Summary_Book1" xfId="4127" xr:uid="{133F37AC-7B00-44F3-B1F4-135425A55C22}"/>
    <cellStyle name="s_Summary of Pro Forma (3)_Valuation Summary_Draft reporting v4 031709" xfId="4128" xr:uid="{996C9FAF-296C-423D-AF05-30F6143CAE9D}"/>
    <cellStyle name="s_Summary of Pro Forma (3)_Valuation Summary_Draft reporting v6 031909" xfId="4129" xr:uid="{C13BC149-ADA2-40D8-A893-DE7ED95970FE}"/>
    <cellStyle name="s_Summary of Pro Forma (3)_Valuation Summary_Draft reporting v7 032509" xfId="4130" xr:uid="{13B4EB96-5A27-40AC-8F21-FB88C7A731CA}"/>
    <cellStyle name="s_Texas_Louisiana (2)" xfId="4131" xr:uid="{D55972DF-BF0A-44A1-8DFA-A7AEDD5BE882}"/>
    <cellStyle name="s_Texas_Louisiana (2)_1" xfId="4132" xr:uid="{60414163-D22D-46CE-8ED0-7BB1C64F22D6}"/>
    <cellStyle name="s_Texas_Louisiana (2)_1_Book1" xfId="4133" xr:uid="{2A6E18F7-2A6F-43B3-A75F-D89B8107E8F0}"/>
    <cellStyle name="s_Texas_Louisiana (2)_1_Draft reporting v4 031709" xfId="4134" xr:uid="{AFEAEF60-5A5C-43CF-ACB5-C457CDF0746A}"/>
    <cellStyle name="s_Texas_Louisiana (2)_1_Draft reporting v6 031909" xfId="4135" xr:uid="{995A1920-6B30-4A91-A0D4-98DEEDD11109}"/>
    <cellStyle name="s_Texas_Louisiana (2)_1_Draft reporting v7 032509" xfId="4136" xr:uid="{FEE64D3C-6D07-4F01-B55F-50BA7E0E11B3}"/>
    <cellStyle name="s_Texas_Louisiana (2)_Book1" xfId="4137" xr:uid="{0D3BF2AD-56DF-4A26-84E0-788F52DCDAF0}"/>
    <cellStyle name="s_Texas_Louisiana (2)_Draft reporting v4 031709" xfId="4138" xr:uid="{8560E5DA-ADD5-44F3-BBA9-C6E6270AFB1B}"/>
    <cellStyle name="s_Texas_Louisiana (2)_Draft reporting v6 031909" xfId="4139" xr:uid="{6897803E-8F34-4C9A-A466-1CC034E18F09}"/>
    <cellStyle name="s_Texas_Louisiana (2)_Draft reporting v7 032509" xfId="4140" xr:uid="{40D18EEB-77F4-473B-A9EF-0C74E6AEFE6D}"/>
    <cellStyle name="s_Trading Val Calc" xfId="4141" xr:uid="{670C8111-D04D-4AD9-AC14-7A5F8860FDC0}"/>
    <cellStyle name="s_Trading Val Calc_1" xfId="4142" xr:uid="{DBE6AF9F-AE6A-4AB6-9AB2-1EDE145F5505}"/>
    <cellStyle name="s_Trading Val Calc_1_Book1" xfId="4143" xr:uid="{52076569-ECB7-4C09-B4B2-8FE4D91B0CEF}"/>
    <cellStyle name="s_Trading Val Calc_1_Draft reporting v4 031709" xfId="4144" xr:uid="{A1DE6BC4-EBEB-4727-B855-8A5FAA5DA09A}"/>
    <cellStyle name="s_Trading Val Calc_1_Draft reporting v6 031909" xfId="4145" xr:uid="{335B905A-3E86-4DB1-9BED-142AF204C723}"/>
    <cellStyle name="s_Trading Val Calc_1_Draft reporting v7 032509" xfId="4146" xr:uid="{8F1B6EB3-CDDD-4768-B2EA-4783C0735F3B}"/>
    <cellStyle name="s_Trading Val Calc_2" xfId="4147" xr:uid="{5758E5AA-CA94-4E65-A982-798316B08A50}"/>
    <cellStyle name="s_Trading Val Calc_2_Book1" xfId="4148" xr:uid="{AFBEA669-AD1E-4FDD-8D58-83E723D85D73}"/>
    <cellStyle name="s_Trading Val Calc_2_Draft reporting v4 031709" xfId="4149" xr:uid="{DCB77FD6-B711-4B1A-BB28-DF47FCC63DE0}"/>
    <cellStyle name="s_Trading Val Calc_2_Draft reporting v6 031909" xfId="4150" xr:uid="{56F10720-775B-4389-BADC-32AB0F542900}"/>
    <cellStyle name="s_Trading Val Calc_2_Draft reporting v7 032509" xfId="4151" xr:uid="{D687E0CA-0D2C-4B8E-A93E-7611F614996C}"/>
    <cellStyle name="s_Trading Val Calc_AM0909" xfId="4152" xr:uid="{E95810FC-AEED-43D1-BD26-672CD913AD54}"/>
    <cellStyle name="s_Trading Val Calc_AM0909_Book1" xfId="4153" xr:uid="{BDBEB75F-CCD0-4F07-91D9-79652E77B8AE}"/>
    <cellStyle name="s_Trading Val Calc_AM0909_Draft reporting v4 031709" xfId="4154" xr:uid="{E2C63DAD-B04D-4203-B139-D1508F2B34F4}"/>
    <cellStyle name="s_Trading Val Calc_AM0909_Draft reporting v6 031909" xfId="4155" xr:uid="{38AE7CB4-9914-4D6A-8F47-9C0A5DCB7D6A}"/>
    <cellStyle name="s_Trading Val Calc_AM0909_Draft reporting v7 032509" xfId="4156" xr:uid="{F77DFDA2-0E0B-43ED-9ED4-543E5181FD8F}"/>
    <cellStyle name="s_Trading Val Calc_Book1" xfId="4157" xr:uid="{E432E734-E87D-499B-9C71-9123FEE1D4BE}"/>
    <cellStyle name="s_Trading Val Calc_Brenner" xfId="4158" xr:uid="{15B0239E-5AEB-41FF-962F-9BBA487DD5BD}"/>
    <cellStyle name="s_Trading Val Calc_Brenner_Book1" xfId="4159" xr:uid="{EC318C91-929E-44AF-BA69-C2AC6B13C871}"/>
    <cellStyle name="s_Trading Val Calc_Brenner_Draft reporting v4 031709" xfId="4160" xr:uid="{1980E682-A418-4F9D-AABC-D366659F5C70}"/>
    <cellStyle name="s_Trading Val Calc_Brenner_Draft reporting v6 031909" xfId="4161" xr:uid="{53C151DE-EF1E-4C59-BB62-3381D4A39C06}"/>
    <cellStyle name="s_Trading Val Calc_Brenner_Draft reporting v7 032509" xfId="4162" xr:uid="{B14BFAF7-38FD-4E03-A942-32D066E42974}"/>
    <cellStyle name="s_Trading Val Calc_Draft reporting v4 031709" xfId="4163" xr:uid="{E155BB24-DC67-4DE0-9B2A-EB2E9DB9FF8B}"/>
    <cellStyle name="s_Trading Val Calc_Draft reporting v6 031909" xfId="4164" xr:uid="{AD551CD0-A4CE-479A-A437-2C235CCD640D}"/>
    <cellStyle name="s_Trading Val Calc_Draft reporting v7 032509" xfId="4165" xr:uid="{BC8D148D-FC90-4AE4-BF0C-607E98D7871C}"/>
    <cellStyle name="s_Trading Value" xfId="4166" xr:uid="{3F6ED425-AC29-4FF8-92C5-E593BFD3D948}"/>
    <cellStyle name="s_Trading Value_1" xfId="4167" xr:uid="{291E60E0-6E47-4504-81F0-D128BD63CFEF}"/>
    <cellStyle name="s_Trading Value_1_Book1" xfId="4168" xr:uid="{27FCB72C-9F75-4552-8D16-D01CC4CD0C1B}"/>
    <cellStyle name="s_Trading Value_1_Draft reporting v4 031709" xfId="4169" xr:uid="{3F3C1C00-F1DE-4EA8-9043-065EE716A717}"/>
    <cellStyle name="s_Trading Value_1_Draft reporting v6 031909" xfId="4170" xr:uid="{AD227568-3257-4EA9-BE9D-F5D52862B2B3}"/>
    <cellStyle name="s_Trading Value_1_Draft reporting v7 032509" xfId="4171" xr:uid="{811F4A4E-D703-4FCE-B8A5-05B20921B930}"/>
    <cellStyle name="s_Trading Value_2" xfId="4172" xr:uid="{21E7530F-7AFE-4F18-B8C2-D1A13B6853F5}"/>
    <cellStyle name="s_Trading Value_2_Book1" xfId="4173" xr:uid="{591A71B6-8A6B-4749-B57E-CDE4E50940E5}"/>
    <cellStyle name="s_Trading Value_2_Draft reporting v4 031709" xfId="4174" xr:uid="{C05BBE18-D508-499C-9AB8-24D834CAF46F}"/>
    <cellStyle name="s_Trading Value_2_Draft reporting v6 031909" xfId="4175" xr:uid="{1FA008FE-E2BF-4D62-A8B8-501C1C2F7F97}"/>
    <cellStyle name="s_Trading Value_2_Draft reporting v7 032509" xfId="4176" xr:uid="{51EB240A-3F7A-4E1E-A8D1-50A8B01EA8BC}"/>
    <cellStyle name="s_Trading Value_Book1" xfId="4177" xr:uid="{134B4F72-D9E3-4634-8F92-0ABD6E2B139F}"/>
    <cellStyle name="s_Trading Value_Draft reporting v4 031709" xfId="4178" xr:uid="{DF6D5A0C-3918-41FD-88BB-A918BCBD6993}"/>
    <cellStyle name="s_Trading Value_Draft reporting v6 031909" xfId="4179" xr:uid="{B8CBA62D-5255-43F2-92AF-502B7CF23E69}"/>
    <cellStyle name="s_Trading Value_Draft reporting v7 032509" xfId="4180" xr:uid="{787BEDCD-7928-4BD0-BC91-482EA74527AC}"/>
    <cellStyle name="s_Trans Assump" xfId="4181" xr:uid="{2213611E-194A-4CFF-82E7-57DE3715E42D}"/>
    <cellStyle name="s_Trans Assump (2)" xfId="4182" xr:uid="{971F5BB0-AA46-4371-B103-E69F234EF61D}"/>
    <cellStyle name="s_Trans Assump (2)_1" xfId="4183" xr:uid="{808D8D6C-B270-4B9A-A150-21A83834D1C8}"/>
    <cellStyle name="s_Trans Assump (2)_1_Book1" xfId="4184" xr:uid="{7A772542-30FE-4D02-BDB5-D7313BF8111A}"/>
    <cellStyle name="s_Trans Assump (2)_1_Draft reporting v4 031709" xfId="4185" xr:uid="{FB0A3998-BE15-46EF-A3A5-01C725A97A7E}"/>
    <cellStyle name="s_Trans Assump (2)_1_Draft reporting v6 031909" xfId="4186" xr:uid="{7B3CB162-B13D-4E3E-9F47-DA71B8F8311A}"/>
    <cellStyle name="s_Trans Assump (2)_1_Draft reporting v7 032509" xfId="4187" xr:uid="{46AABE2E-7BD1-48F3-9758-50A976FA1600}"/>
    <cellStyle name="s_Trans Assump (2)_Book1" xfId="4188" xr:uid="{3543A445-4CC2-4C82-A37C-268CF71ADFC8}"/>
    <cellStyle name="s_Trans Assump (2)_Draft reporting v4 031709" xfId="4189" xr:uid="{B96FCB8B-C706-40D1-B8CC-1C2D9F6A957E}"/>
    <cellStyle name="s_Trans Assump (2)_Draft reporting v6 031909" xfId="4190" xr:uid="{1A52A8E7-24A2-4F99-A53C-C426B89A7577}"/>
    <cellStyle name="s_Trans Assump (2)_Draft reporting v7 032509" xfId="4191" xr:uid="{0AF55CA4-FBF6-4ABF-AFA5-E94837492E7C}"/>
    <cellStyle name="s_Trans Assump_1" xfId="4192" xr:uid="{C2E92B71-28C5-4F38-A1F8-7D0970CA2736}"/>
    <cellStyle name="s_Trans Assump_1_AM0909" xfId="4193" xr:uid="{A019C83D-9373-4EA5-859E-5C5FBAE6B83A}"/>
    <cellStyle name="s_Trans Assump_1_AM0909_Book1" xfId="4194" xr:uid="{533B65FD-D3AF-456E-9792-F4F54311EE51}"/>
    <cellStyle name="s_Trans Assump_1_AM0909_Draft reporting v4 031709" xfId="4195" xr:uid="{887F089E-E21B-4EB9-80A6-9326AFC0A8ED}"/>
    <cellStyle name="s_Trans Assump_1_AM0909_Draft reporting v6 031909" xfId="4196" xr:uid="{C8EFEBC0-E380-4523-9CAA-1CB8BD899A27}"/>
    <cellStyle name="s_Trans Assump_1_AM0909_Draft reporting v7 032509" xfId="4197" xr:uid="{B1855F9B-343C-41F1-B524-A0B0F9D040C4}"/>
    <cellStyle name="s_Trans Assump_1_Book1" xfId="4198" xr:uid="{E25F9FB9-80B5-417E-9C03-FB795470E89A}"/>
    <cellStyle name="s_Trans Assump_1_Brenner" xfId="4199" xr:uid="{9FC52EE7-E150-47D2-B1F7-F809093EC5D0}"/>
    <cellStyle name="s_Trans Assump_1_Brenner_Book1" xfId="4200" xr:uid="{8E6325A2-407A-46DE-933D-5C2E176065D3}"/>
    <cellStyle name="s_Trans Assump_1_Brenner_Draft reporting v4 031709" xfId="4201" xr:uid="{E0306296-E822-4EA7-AE4F-E42E9DECEFF0}"/>
    <cellStyle name="s_Trans Assump_1_Brenner_Draft reporting v6 031909" xfId="4202" xr:uid="{E356F93C-24AD-4EC5-82C6-948646D84ACB}"/>
    <cellStyle name="s_Trans Assump_1_Brenner_Draft reporting v7 032509" xfId="4203" xr:uid="{1869F5E0-9646-4560-89BA-D917575D2A31}"/>
    <cellStyle name="s_Trans Assump_1_Draft reporting v4 031709" xfId="4204" xr:uid="{9FDA1E62-2391-4E42-B748-E0B2BAD507DD}"/>
    <cellStyle name="s_Trans Assump_1_Draft reporting v6 031909" xfId="4205" xr:uid="{7289B21A-DE07-4A05-8FC9-9EDEEB00CCFE}"/>
    <cellStyle name="s_Trans Assump_1_Draft reporting v7 032509" xfId="4206" xr:uid="{65F7C4DA-0BE9-4CF9-840C-A36EB37FBB03}"/>
    <cellStyle name="s_Trans Assump_2" xfId="4207" xr:uid="{CD068617-C36D-48C3-90EC-01C51EB93458}"/>
    <cellStyle name="s_Trans Assump_2_Book1" xfId="4208" xr:uid="{41D43682-9CB8-4AF0-A626-7395DB299321}"/>
    <cellStyle name="s_Trans Assump_2_Draft reporting v4 031709" xfId="4209" xr:uid="{1895E2E3-522B-4E20-AD00-A41FA8B7ED55}"/>
    <cellStyle name="s_Trans Assump_2_Draft reporting v6 031909" xfId="4210" xr:uid="{E577BBE0-FEA8-4CAC-A95B-61B216FEA4B5}"/>
    <cellStyle name="s_Trans Assump_2_Draft reporting v7 032509" xfId="4211" xr:uid="{9E7BEF03-BCEE-4F1F-BAD0-D520DD0D7022}"/>
    <cellStyle name="s_Trans Assump_AM0909" xfId="4212" xr:uid="{642A44B8-E027-4688-AC86-3EDBAB8CCEB9}"/>
    <cellStyle name="s_Trans Assump_AM0909_Book1" xfId="4213" xr:uid="{32AA227B-1307-44E7-860B-F405AE10C49F}"/>
    <cellStyle name="s_Trans Assump_AM0909_Draft reporting v4 031709" xfId="4214" xr:uid="{836C645C-513E-4C4D-95DF-DBEE748F1352}"/>
    <cellStyle name="s_Trans Assump_AM0909_Draft reporting v6 031909" xfId="4215" xr:uid="{FAC259A9-3BC2-433B-99C0-01BA9D74973A}"/>
    <cellStyle name="s_Trans Assump_AM0909_Draft reporting v7 032509" xfId="4216" xr:uid="{7B1EB2A0-F678-4B16-9EEF-F044583A2120}"/>
    <cellStyle name="s_Trans Assump_Book1" xfId="4217" xr:uid="{88001311-1D06-4A0B-94C2-2C7135613EAA}"/>
    <cellStyle name="s_Trans Assump_Brenner" xfId="4218" xr:uid="{D0A959CD-3E71-4A73-B4DC-6807122A1AF3}"/>
    <cellStyle name="s_Trans Assump_Brenner_Book1" xfId="4219" xr:uid="{CC92897F-BC1A-4079-8150-FB1929E17303}"/>
    <cellStyle name="s_Trans Assump_Brenner_Draft reporting v4 031709" xfId="4220" xr:uid="{9366F540-3884-4027-8922-9097017FB5E2}"/>
    <cellStyle name="s_Trans Assump_Brenner_Draft reporting v6 031909" xfId="4221" xr:uid="{7D0647FD-7569-435E-9EA6-7F4364E67ACB}"/>
    <cellStyle name="s_Trans Assump_Brenner_Draft reporting v7 032509" xfId="4222" xr:uid="{924E0272-6778-4463-8655-9D07BB47761C}"/>
    <cellStyle name="s_Trans Assump_Draft reporting v4 031709" xfId="4223" xr:uid="{A365F5DA-5224-44AF-9AA4-91915D5688AE}"/>
    <cellStyle name="s_Trans Assump_Draft reporting v6 031909" xfId="4224" xr:uid="{646B4C23-6548-4D56-9DD9-565F08C203D0}"/>
    <cellStyle name="s_Trans Assump_Draft reporting v7 032509" xfId="4225" xr:uid="{A41E3F09-2C14-4516-9937-A60367742B5F}"/>
    <cellStyle name="s_Trans Assump_Trans Sum" xfId="4226" xr:uid="{673CB365-4069-4592-A0BC-FA8B390545C5}"/>
    <cellStyle name="s_Trans Assump_Trans Sum_Book1" xfId="4227" xr:uid="{934219FA-B8E1-46C6-9479-1589151300C6}"/>
    <cellStyle name="s_Trans Assump_Trans Sum_Draft reporting v4 031709" xfId="4228" xr:uid="{690383FF-7906-4A25-87B8-DA6B1899E843}"/>
    <cellStyle name="s_Trans Assump_Trans Sum_Draft reporting v6 031909" xfId="4229" xr:uid="{595F1BDE-F5CC-4C86-8301-654B4ED74730}"/>
    <cellStyle name="s_Trans Assump_Trans Sum_Draft reporting v7 032509" xfId="4230" xr:uid="{8F118833-CDA4-42A3-B38D-948392CE1DCD}"/>
    <cellStyle name="s_Trans Sum" xfId="4231" xr:uid="{6451A291-0F7A-47C9-9DC9-CAF82B59CBBE}"/>
    <cellStyle name="s_Trans Sum_1" xfId="4232" xr:uid="{B42A0786-456A-42BA-8BBB-5F5252D890B5}"/>
    <cellStyle name="s_Trans Sum_1_Book1" xfId="4233" xr:uid="{2D1235FD-BC24-4F04-9AAC-5201663690B0}"/>
    <cellStyle name="s_Trans Sum_1_Draft reporting v4 031709" xfId="4234" xr:uid="{6187D388-C5BA-4379-977B-DC08E2C65B40}"/>
    <cellStyle name="s_Trans Sum_1_Draft reporting v6 031909" xfId="4235" xr:uid="{D4727ECF-1AB0-4E8B-A6A2-A967232D8979}"/>
    <cellStyle name="s_Trans Sum_1_Draft reporting v7 032509" xfId="4236" xr:uid="{C1F955EF-1CD8-4535-AE93-569E3AEEFAEB}"/>
    <cellStyle name="s_Trans Sum_2" xfId="4237" xr:uid="{0DA3A646-7CAE-430E-BE91-38C868E12309}"/>
    <cellStyle name="s_Trans Sum_2_Book1" xfId="4238" xr:uid="{4D37FA0B-DD08-4B41-93FD-683DE20B7DB4}"/>
    <cellStyle name="s_Trans Sum_2_Draft reporting v4 031709" xfId="4239" xr:uid="{4E02AB9B-AD5E-45EA-8CAA-419194710D13}"/>
    <cellStyle name="s_Trans Sum_2_Draft reporting v6 031909" xfId="4240" xr:uid="{76E6E737-EF18-422A-96C6-0ED6AA253EF1}"/>
    <cellStyle name="s_Trans Sum_2_Draft reporting v7 032509" xfId="4241" xr:uid="{8637A83D-3A70-40A0-8B44-F8EFF7F9A7A4}"/>
    <cellStyle name="s_Trans Sum_Book1" xfId="4242" xr:uid="{98C00CC9-7B1A-427A-A5FB-A21C377D556C}"/>
    <cellStyle name="s_Trans Sum_Draft reporting v4 031709" xfId="4243" xr:uid="{019384BD-7132-471F-AA0A-C8A2DD7B85D0}"/>
    <cellStyle name="s_Trans Sum_Draft reporting v6 031909" xfId="4244" xr:uid="{239A99CA-EFB5-44D3-89CC-5566815EB7FE}"/>
    <cellStyle name="s_Trans Sum_Draft reporting v7 032509" xfId="4245" xr:uid="{25FFB54C-2A31-49F6-B2C3-A187C88485A3}"/>
    <cellStyle name="s_Trans Sum_Trans Assump" xfId="4246" xr:uid="{8CF81EE4-64FE-4112-A847-93C32F03CB10}"/>
    <cellStyle name="s_Trans Sum_Trans Assump_Book1" xfId="4247" xr:uid="{2316AC08-E183-4B2D-BFD7-91AC9320AC82}"/>
    <cellStyle name="s_Trans Sum_Trans Assump_Draft reporting v4 031709" xfId="4248" xr:uid="{1AB5D83F-2814-4D26-B0E1-6BE6A9D058B9}"/>
    <cellStyle name="s_Trans Sum_Trans Assump_Draft reporting v6 031909" xfId="4249" xr:uid="{9723AFBE-6D05-437E-8B8D-DB17B043232C}"/>
    <cellStyle name="s_Trans Sum_Trans Assump_Draft reporting v7 032509" xfId="4250" xr:uid="{FA565D76-D6BF-4957-801B-9C44C7985A08}"/>
    <cellStyle name="s_TRU Domestic v2" xfId="4251" xr:uid="{BA182D6B-4B26-40A6-89A3-34AD52D0F7C2}"/>
    <cellStyle name="s_TRU Domestic v2_Book1" xfId="4252" xr:uid="{ADF513F3-34E4-4FEF-882F-69E96CFF99C6}"/>
    <cellStyle name="s_TRU Domestic v2_Draft reporting v4 031709" xfId="4253" xr:uid="{F7122F41-C0AD-4F1B-8876-A7779D920199}"/>
    <cellStyle name="s_TRU Domestic v2_Draft reporting v6 031909" xfId="4254" xr:uid="{96FEF6CA-C685-4A2A-AB66-4E035E78B7B0}"/>
    <cellStyle name="s_TRU Domestic v2_Draft reporting v7 032509" xfId="4255" xr:uid="{2FFCDFEE-2BBB-47F9-BC75-0810429F703E}"/>
    <cellStyle name="s_Unit Price Sen. (2)" xfId="4256" xr:uid="{D4E00A57-EA80-4D51-9682-5E95EC421BA7}"/>
    <cellStyle name="s_Unit Price Sen. (2)_1" xfId="4257" xr:uid="{7DEA8DDD-5CE2-4056-90DC-57D3A05AEBB0}"/>
    <cellStyle name="s_Unit Price Sen. (2)_1_Book1" xfId="4258" xr:uid="{AC866D89-0E06-4CD7-8A8D-DDB4CFC9FFA9}"/>
    <cellStyle name="s_Unit Price Sen. (2)_1_Draft reporting v4 031709" xfId="4259" xr:uid="{048684D8-15AB-4C73-B96F-47F48F8947F9}"/>
    <cellStyle name="s_Unit Price Sen. (2)_1_Draft reporting v6 031909" xfId="4260" xr:uid="{AA476F83-69E7-44AC-AFFD-A626C7022D0C}"/>
    <cellStyle name="s_Unit Price Sen. (2)_1_Draft reporting v7 032509" xfId="4261" xr:uid="{5501C968-ED72-4613-9D60-8335D7E2226B}"/>
    <cellStyle name="s_Unit Price Sen. (2)_2" xfId="4262" xr:uid="{582E2CCC-51C9-40AF-9B8D-DFAB38712402}"/>
    <cellStyle name="s_Unit Price Sen. (2)_2_Book1" xfId="4263" xr:uid="{5BF40A47-8596-4DD7-B2A5-E3870AB27883}"/>
    <cellStyle name="s_Unit Price Sen. (2)_2_Draft reporting v4 031709" xfId="4264" xr:uid="{1C936296-F5C2-4CB7-BF75-A753A784B4E8}"/>
    <cellStyle name="s_Unit Price Sen. (2)_2_Draft reporting v6 031909" xfId="4265" xr:uid="{32155323-3061-4E7A-BF11-6A5AA03F8F6B}"/>
    <cellStyle name="s_Unit Price Sen. (2)_2_Draft reporting v7 032509" xfId="4266" xr:uid="{1D5E1FC1-865D-47CB-AD4C-BA0E3E2E7176}"/>
    <cellStyle name="s_Unit Price Sen. (2)_Book1" xfId="4267" xr:uid="{F6BA5837-3661-4D4F-B6FD-980D16563BCF}"/>
    <cellStyle name="s_Unit Price Sen. (2)_Draft reporting v4 031709" xfId="4268" xr:uid="{85610645-030B-40CB-811F-295027C6EAA4}"/>
    <cellStyle name="s_Unit Price Sen. (2)_Draft reporting v6 031909" xfId="4269" xr:uid="{8CF19036-4333-4AB5-9B6E-8BCFEE362E0F}"/>
    <cellStyle name="s_Unit Price Sen. (2)_Draft reporting v7 032509" xfId="4270" xr:uid="{5C1DBB94-B068-40CE-B157-B0E36693E8DB}"/>
    <cellStyle name="s_UPVAL9" xfId="4271" xr:uid="{40889C6F-01EF-4911-BFE8-6595F31D9833}"/>
    <cellStyle name="s_UPVAL9_Book1" xfId="4272" xr:uid="{251E75CD-E0EF-4627-B39D-1E97F37FE7A2}"/>
    <cellStyle name="s_UPVAL9_Draft reporting v4 031709" xfId="4273" xr:uid="{48FC2158-0882-4620-A44C-A29C95A976C4}"/>
    <cellStyle name="s_UPVAL9_Draft reporting v6 031909" xfId="4274" xr:uid="{6E771B4E-5C30-480D-8C2F-A4A4DFB4FC84}"/>
    <cellStyle name="s_UPVAL9_Draft reporting v7 032509" xfId="4275" xr:uid="{7CA26816-751B-4BE2-B126-9695CBC64A31}"/>
    <cellStyle name="s_Val Anal" xfId="4276" xr:uid="{F1E20639-C784-403E-96A9-7239E7216F89}"/>
    <cellStyle name="s_Val Anal_Book1" xfId="4277" xr:uid="{C1D53D89-2AAF-4582-84C7-98078FA23F25}"/>
    <cellStyle name="s_Val Anal_Draft reporting v4 031709" xfId="4278" xr:uid="{C7E99A58-C76C-4247-9A33-8B833315FCF1}"/>
    <cellStyle name="s_Val Anal_Draft reporting v6 031909" xfId="4279" xr:uid="{39378F36-1F5E-45A8-B6F5-E4D7FF5D62CA}"/>
    <cellStyle name="s_Val Anal_Draft reporting v7 032509" xfId="4280" xr:uid="{70157B91-811A-4BA3-A207-8E3ED3A20B08}"/>
    <cellStyle name="s_Valuation " xfId="4281" xr:uid="{FDB3A4BE-45D9-46C9-8180-D62224699B8B}"/>
    <cellStyle name="s_Valuation _Book1" xfId="4282" xr:uid="{83BB4E21-5E77-43EB-A4E5-37CBA3C5B4FE}"/>
    <cellStyle name="s_Valuation _Draft reporting v4 031709" xfId="4283" xr:uid="{CA10D873-4D04-420A-A717-56C7BD20CABE}"/>
    <cellStyle name="s_Valuation _Draft reporting v6 031909" xfId="4284" xr:uid="{1E05A261-E64E-4DEA-8090-CBD1A18404A9}"/>
    <cellStyle name="s_Valuation _Draft reporting v7 032509" xfId="4285" xr:uid="{B4D705C1-1571-476C-9422-DFD78D4FC7B3}"/>
    <cellStyle name="s_Valuation Matrix" xfId="4286" xr:uid="{D737E364-AB99-4C84-8871-BF6C1097C88A}"/>
    <cellStyle name="s_Valuation Matrix_Book1" xfId="4287" xr:uid="{C271A3E1-65C3-4FDB-8C3F-8389B31BDFFB}"/>
    <cellStyle name="s_Valuation Matrix_Draft reporting v4 031709" xfId="4288" xr:uid="{3A68143C-ED69-4848-A626-71D41E43513B}"/>
    <cellStyle name="s_Valuation Matrix_Draft reporting v6 031909" xfId="4289" xr:uid="{536892A1-8D3D-4642-B328-F707E1387E30}"/>
    <cellStyle name="s_Valuation Matrix_Draft reporting v7 032509" xfId="4290" xr:uid="{1580D073-C4C5-4BFD-8CAF-188632FBE35B}"/>
    <cellStyle name="s_Valuation Model_03" xfId="4291" xr:uid="{2B11EEFD-29F1-4F46-B035-E5C7B9B096CA}"/>
    <cellStyle name="s_Valuation Model_03_1" xfId="4292" xr:uid="{35CC341B-7EA9-4CB8-AFA4-7A8F6ABD68FB}"/>
    <cellStyle name="s_Valuation Model_03_1_Book1" xfId="4293" xr:uid="{DB48A231-A8D7-4EC4-B7D1-BAEF07578E1C}"/>
    <cellStyle name="s_Valuation Model_03_1_Draft reporting v4 031709" xfId="4294" xr:uid="{676FAAF8-FE26-4700-827C-4E4FBA627019}"/>
    <cellStyle name="s_Valuation Model_03_1_Draft reporting v6 031909" xfId="4295" xr:uid="{054FA76C-1682-4DA4-B9E3-3D2CDA1C56FA}"/>
    <cellStyle name="s_Valuation Model_03_1_Draft reporting v7 032509" xfId="4296" xr:uid="{9AD7C939-5629-4858-BED0-BCDC7D230466}"/>
    <cellStyle name="s_Valuation Model_03_Book1" xfId="4297" xr:uid="{A42790EC-E053-4F6C-98F0-F21CBDFB7E02}"/>
    <cellStyle name="s_Valuation Model_03_Draft reporting v4 031709" xfId="4298" xr:uid="{4CB5ED9B-6DD7-4197-BF26-C8AD3378D91A}"/>
    <cellStyle name="s_Valuation Model_03_Draft reporting v6 031909" xfId="4299" xr:uid="{E87A1121-3FE6-46EE-8974-DD72B8D8F374}"/>
    <cellStyle name="s_Valuation Model_03_Draft reporting v7 032509" xfId="4300" xr:uid="{AE22D016-D54F-444E-880B-F37DA54C7632}"/>
    <cellStyle name="s_Valuation Summary" xfId="4301" xr:uid="{6A52B876-1872-461B-81FC-D63E3DC9BF9B}"/>
    <cellStyle name="s_Valuation Summary (2)" xfId="4302" xr:uid="{A9510290-1CD5-49AF-B059-3C43C6E56BDF}"/>
    <cellStyle name="s_Valuation Summary (2)_1" xfId="4303" xr:uid="{3D628F56-2BB4-4F13-B88B-51D6B36493E1}"/>
    <cellStyle name="s_Valuation Summary (2)_1_Book1" xfId="4304" xr:uid="{4F3718A4-85AA-4E52-9AA1-2C65FCF7B865}"/>
    <cellStyle name="s_Valuation Summary (2)_1_Celtic DCF" xfId="4305" xr:uid="{3F33A493-9CA9-4EFC-A1EC-19BA0E480088}"/>
    <cellStyle name="s_Valuation Summary (2)_1_Celtic DCF Inputs" xfId="4306" xr:uid="{8992DE5B-9370-4AD4-A4E0-458846D5C354}"/>
    <cellStyle name="s_Valuation Summary (2)_1_Celtic DCF Inputs_Book1" xfId="4307" xr:uid="{A4BAA5D8-D8FB-4841-ABA5-099EB1400AFD}"/>
    <cellStyle name="s_Valuation Summary (2)_1_Celtic DCF Inputs_Draft reporting v4 031709" xfId="4308" xr:uid="{02E9DE5B-B4B1-424C-B205-A5B4D0478B08}"/>
    <cellStyle name="s_Valuation Summary (2)_1_Celtic DCF Inputs_Draft reporting v6 031909" xfId="4309" xr:uid="{CEA432DA-8108-4927-9EF4-B439839A7AED}"/>
    <cellStyle name="s_Valuation Summary (2)_1_Celtic DCF Inputs_Draft reporting v7 032509" xfId="4310" xr:uid="{3D558AE4-7A91-4D77-8E64-DE1CE4A96936}"/>
    <cellStyle name="s_Valuation Summary (2)_1_Celtic DCF_Book1" xfId="4311" xr:uid="{9A2D9057-FEC7-42CC-B40D-B46045E181C5}"/>
    <cellStyle name="s_Valuation Summary (2)_1_Celtic DCF_Draft reporting v4 031709" xfId="4312" xr:uid="{5FFD2A35-3DDB-4ECB-96D1-D5AA2F6992D0}"/>
    <cellStyle name="s_Valuation Summary (2)_1_Celtic DCF_Draft reporting v6 031909" xfId="4313" xr:uid="{653A29DE-DC04-4A92-A334-998E7A658D80}"/>
    <cellStyle name="s_Valuation Summary (2)_1_Celtic DCF_Draft reporting v7 032509" xfId="4314" xr:uid="{2C01FDA8-64C3-4861-A111-DDF82E169DEA}"/>
    <cellStyle name="s_Valuation Summary (2)_1_Draft reporting v4 031709" xfId="4315" xr:uid="{2A72F2EA-12EA-4FB3-A0D7-B0BD83B7F94E}"/>
    <cellStyle name="s_Valuation Summary (2)_1_Draft reporting v6 031909" xfId="4316" xr:uid="{E2221C21-2828-49C4-A808-404B16AABA9F}"/>
    <cellStyle name="s_Valuation Summary (2)_1_Draft reporting v7 032509" xfId="4317" xr:uid="{C1D81EF7-9FF9-41B8-925A-AC5E7952B685}"/>
    <cellStyle name="s_Valuation Summary (2)_1_Valuation Summary" xfId="4318" xr:uid="{0102F6FA-5DE2-4445-ACD4-E79B08A1252D}"/>
    <cellStyle name="s_Valuation Summary (2)_1_Valuation Summary_Book1" xfId="4319" xr:uid="{262B1CE9-087E-4DA6-80BA-A0E7C945265A}"/>
    <cellStyle name="s_Valuation Summary (2)_1_Valuation Summary_Draft reporting v4 031709" xfId="4320" xr:uid="{D1CBD511-1BBB-453B-B78F-94F227B58F35}"/>
    <cellStyle name="s_Valuation Summary (2)_1_Valuation Summary_Draft reporting v6 031909" xfId="4321" xr:uid="{6148F95D-22D1-4AF2-8A01-F301D6181C5E}"/>
    <cellStyle name="s_Valuation Summary (2)_1_Valuation Summary_Draft reporting v7 032509" xfId="4322" xr:uid="{80F4BF4D-A74B-4A73-A03D-83F2B4121380}"/>
    <cellStyle name="s_Valuation Summary (2)_2" xfId="4323" xr:uid="{EE63AE3A-FD20-4961-8480-FDB086A4B18E}"/>
    <cellStyle name="s_Valuation Summary (2)_2_Book1" xfId="4324" xr:uid="{A0153427-7837-4720-BBFF-946D15B60EE8}"/>
    <cellStyle name="s_Valuation Summary (2)_2_Draft reporting v4 031709" xfId="4325" xr:uid="{5F7EB750-B63E-4CE0-8FC5-279DD187AF9B}"/>
    <cellStyle name="s_Valuation Summary (2)_2_Draft reporting v6 031909" xfId="4326" xr:uid="{19DFE976-1DDF-43FB-9025-FDD4FD5516DB}"/>
    <cellStyle name="s_Valuation Summary (2)_2_Draft reporting v7 032509" xfId="4327" xr:uid="{1D7471F2-CC8A-40CB-8319-53783626D2A6}"/>
    <cellStyle name="s_Valuation Summary (2)_Book1" xfId="4328" xr:uid="{695D49F1-2E53-4E9E-A100-A597AE3361A8}"/>
    <cellStyle name="s_Valuation Summary (2)_Draft reporting v4 031709" xfId="4329" xr:uid="{4FE22E90-E7C9-4301-BF6E-C809C6074C4E}"/>
    <cellStyle name="s_Valuation Summary (2)_Draft reporting v6 031909" xfId="4330" xr:uid="{3DAB8453-6DB5-4B3B-A26E-891F26989BBF}"/>
    <cellStyle name="s_Valuation Summary (2)_Draft reporting v7 032509" xfId="4331" xr:uid="{C9978859-B9AE-47C0-B98A-1396F56C5657}"/>
    <cellStyle name="s_Valuation Summary_1" xfId="4332" xr:uid="{F608613A-213F-4CD6-B7CE-A2E1674500F9}"/>
    <cellStyle name="s_Valuation Summary_1_Book1" xfId="4333" xr:uid="{4E9E6311-36AA-4849-BECE-E86BCF868342}"/>
    <cellStyle name="s_Valuation Summary_1_Draft reporting v4 031709" xfId="4334" xr:uid="{5357112C-8656-4C6F-88B2-912B28A84E42}"/>
    <cellStyle name="s_Valuation Summary_1_Draft reporting v6 031909" xfId="4335" xr:uid="{CEDE9046-D54A-4845-842F-D3221B9D8AB9}"/>
    <cellStyle name="s_Valuation Summary_1_Draft reporting v7 032509" xfId="4336" xr:uid="{9C134AF7-8CB9-4BF8-B926-F026146F739C}"/>
    <cellStyle name="s_Valuation Summary_2" xfId="4337" xr:uid="{02252F0E-A85E-40BA-912F-535A626B92C4}"/>
    <cellStyle name="s_Valuation Summary_2_Book1" xfId="4338" xr:uid="{425A42F5-0503-44CE-9D1E-C021FD440B87}"/>
    <cellStyle name="s_Valuation Summary_2_Draft reporting v4 031709" xfId="4339" xr:uid="{EEF74E65-53D4-4FCF-8335-5E6CFA468DEB}"/>
    <cellStyle name="s_Valuation Summary_2_Draft reporting v6 031909" xfId="4340" xr:uid="{39885730-D909-4FD1-A9C4-18A9E0758FEE}"/>
    <cellStyle name="s_Valuation Summary_2_Draft reporting v7 032509" xfId="4341" xr:uid="{5482AD0E-F576-478E-B7A2-720902AA6F63}"/>
    <cellStyle name="s_Valuation Summary_Book1" xfId="4342" xr:uid="{D93F00D1-859C-4402-9998-137AE6AABD91}"/>
    <cellStyle name="s_Valuation Summary_Draft reporting v4 031709" xfId="4343" xr:uid="{EBB7BB85-128C-412A-A61D-03CE966282C0}"/>
    <cellStyle name="s_Valuation Summary_Draft reporting v6 031909" xfId="4344" xr:uid="{FB406499-DA33-455C-878B-29040FCC65D5}"/>
    <cellStyle name="s_Valuation Summary_Draft reporting v7 032509" xfId="4345" xr:uid="{F8C68670-D726-4816-B757-C03103EA1DEE}"/>
    <cellStyle name="s_Warrant" xfId="4346" xr:uid="{D7E156E6-ECA9-49B3-93CA-D015D10590F0}"/>
    <cellStyle name="s_Warrant_1" xfId="4347" xr:uid="{A3D6A7B3-6B0B-483A-B908-26081ADF5689}"/>
    <cellStyle name="s_Warrant_1_Book1" xfId="4348" xr:uid="{53B0BC07-847E-4FE6-A280-81E17707FFB4}"/>
    <cellStyle name="s_Warrant_1_Draft reporting v4 031709" xfId="4349" xr:uid="{27472250-A2EF-407B-BFFF-22527C38543F}"/>
    <cellStyle name="s_Warrant_1_Draft reporting v6 031909" xfId="4350" xr:uid="{079FD644-E6E8-4905-A69A-DEF6DF54C40C}"/>
    <cellStyle name="s_Warrant_1_Draft reporting v7 032509" xfId="4351" xr:uid="{A91F5C35-3948-4555-8106-71A34E9AA4D1}"/>
    <cellStyle name="s_Warrant_2" xfId="4352" xr:uid="{10D457CD-8496-462C-84BF-2EA100EA6C2C}"/>
    <cellStyle name="s_Warrant_2_Book1" xfId="4353" xr:uid="{0A12D02D-9094-4113-8798-10C77872DF51}"/>
    <cellStyle name="s_Warrant_2_Draft reporting v4 031709" xfId="4354" xr:uid="{F9026295-167B-4102-A99B-93041B17D244}"/>
    <cellStyle name="s_Warrant_2_Draft reporting v6 031909" xfId="4355" xr:uid="{95B50871-2DBE-4B63-A255-B6EEEB4259F3}"/>
    <cellStyle name="s_Warrant_2_Draft reporting v7 032509" xfId="4356" xr:uid="{8F5D1316-30F2-4527-8AA0-912E7302C718}"/>
    <cellStyle name="s_Warrant_Book1" xfId="4357" xr:uid="{0283D0DF-09AD-4F6F-AFA8-3E8C5FC256AF}"/>
    <cellStyle name="s_Warrant_Draft reporting v4 031709" xfId="4358" xr:uid="{2923ABB5-E1B7-4D67-B625-EE28299D3D4C}"/>
    <cellStyle name="s_Warrant_Draft reporting v6 031909" xfId="4359" xr:uid="{80674F9F-4A40-4EF5-9264-FAFAB35001B6}"/>
    <cellStyle name="s_Warrant_Draft reporting v7 032509" xfId="4360" xr:uid="{8A4E424E-9559-4D65-A258-017B17D7CE29}"/>
    <cellStyle name="s_ZModel2" xfId="4361" xr:uid="{CA376054-DAD5-483A-9A63-4B3045409162}"/>
    <cellStyle name="s_ZModel2_1" xfId="4362" xr:uid="{14D3D32F-95D8-4651-998C-F8E28CF0D3DF}"/>
    <cellStyle name="s_ZModel2_1_Book1" xfId="4363" xr:uid="{8052B9D1-F581-498B-8BDC-A64343257CF3}"/>
    <cellStyle name="s_ZModel2_1_Draft reporting v4 031709" xfId="4364" xr:uid="{16A55742-6828-4E1D-8354-6163C6CA3D48}"/>
    <cellStyle name="s_ZModel2_1_Draft reporting v6 031909" xfId="4365" xr:uid="{FBE62B16-9154-4245-A590-3E613E260200}"/>
    <cellStyle name="s_ZModel2_1_Draft reporting v7 032509" xfId="4366" xr:uid="{2BFDCE4C-A784-4AC2-9052-80E6D78E8CEC}"/>
    <cellStyle name="s_ZModel2_2" xfId="4367" xr:uid="{D3D34E9E-BAF1-46B0-A725-C301F2ABE0A2}"/>
    <cellStyle name="s_ZModel2_2_Book1" xfId="4368" xr:uid="{22C6B49A-0F26-419F-A68B-23C68409AD11}"/>
    <cellStyle name="s_ZModel2_2_Draft reporting v4 031709" xfId="4369" xr:uid="{3B25EE8F-0C21-4D4B-A118-BD030B9BFDB5}"/>
    <cellStyle name="s_ZModel2_2_Draft reporting v6 031909" xfId="4370" xr:uid="{1BF665D9-3B95-429B-9E19-8CE4A6A059F8}"/>
    <cellStyle name="s_ZModel2_2_Draft reporting v7 032509" xfId="4371" xr:uid="{E922402C-140F-4C61-A0AB-6FB2FAFB8FF0}"/>
    <cellStyle name="s_ZModel2_Book1" xfId="4372" xr:uid="{E38A3498-4FC8-4167-A871-A4F60DA89502}"/>
    <cellStyle name="s_ZModel2_Draft reporting v4 031709" xfId="4373" xr:uid="{3A09BB0E-B64F-4AD0-B277-DF08CA02FD49}"/>
    <cellStyle name="s_ZModel2_Draft reporting v6 031909" xfId="4374" xr:uid="{C6440C18-B3B2-4AA9-972E-480EA32F0B94}"/>
    <cellStyle name="s_ZModel2_Draft reporting v7 032509" xfId="4375" xr:uid="{5ECFA541-AA2A-4E44-8D0E-099A1069D3E6}"/>
    <cellStyle name="s_ZModel3" xfId="4376" xr:uid="{DC6E9176-1EB3-4A5A-951D-CFF9E794898C}"/>
    <cellStyle name="s_ZModel3_1" xfId="4377" xr:uid="{315B5BE2-6139-435C-A55B-48F11F156176}"/>
    <cellStyle name="s_ZModel3_1_Book1" xfId="4378" xr:uid="{FDAF85E6-2398-4318-AD7E-F6466A16D2D7}"/>
    <cellStyle name="s_ZModel3_1_Draft reporting v4 031709" xfId="4379" xr:uid="{C5019132-DC6C-41C1-A9B2-DEC232B11D80}"/>
    <cellStyle name="s_ZModel3_1_Draft reporting v6 031909" xfId="4380" xr:uid="{916D2832-F6A6-4BBD-9037-2AC3F2DD2BDD}"/>
    <cellStyle name="s_ZModel3_1_Draft reporting v7 032509" xfId="4381" xr:uid="{44F7CE6F-682A-4CC5-8B5B-41DB14137E1F}"/>
    <cellStyle name="s_ZModel3_2" xfId="4382" xr:uid="{34AC4843-4853-4ECC-9DE6-C0F37F6640EE}"/>
    <cellStyle name="s_ZModel3_2_Book1" xfId="4383" xr:uid="{C356DBE8-8F4E-4282-A390-0059DC2F191E}"/>
    <cellStyle name="s_ZModel3_2_Draft reporting v4 031709" xfId="4384" xr:uid="{4E515880-E317-465B-91D9-8DC983EFBE56}"/>
    <cellStyle name="s_ZModel3_2_Draft reporting v6 031909" xfId="4385" xr:uid="{20F6246B-1E97-46B4-99EA-C32265662D69}"/>
    <cellStyle name="s_ZModel3_2_Draft reporting v7 032509" xfId="4386" xr:uid="{5F3DC17A-9214-48C9-BE0A-B7843E72A989}"/>
    <cellStyle name="s_ZModel3_Book1" xfId="4387" xr:uid="{8DC64888-FA7F-445A-B112-A11099E182EF}"/>
    <cellStyle name="s_ZModel3_Draft reporting v4 031709" xfId="4388" xr:uid="{093B247E-19CE-4E0F-A356-B0D3095F811B}"/>
    <cellStyle name="s_ZModel3_Draft reporting v6 031909" xfId="4389" xr:uid="{BCFA77ED-CA44-4742-BF22-18D333A2C4DB}"/>
    <cellStyle name="s_ZModel3_Draft reporting v7 032509" xfId="4390" xr:uid="{40AD39CA-F6D6-4404-8EEC-CD85B859C5B8}"/>
    <cellStyle name="s_ZModel4" xfId="4391" xr:uid="{FDB0D26E-448A-4FBF-A48E-D164B7851E54}"/>
    <cellStyle name="s_ZModel4_1" xfId="4392" xr:uid="{DFFD3978-C04B-4A48-9F80-C35B65B43611}"/>
    <cellStyle name="s_ZModel4_1_Book1" xfId="4393" xr:uid="{97D7D047-27D1-45B5-8127-CC0357682B2B}"/>
    <cellStyle name="s_ZModel4_1_Draft reporting v4 031709" xfId="4394" xr:uid="{34965C26-57CA-4D78-A268-CF263FBC7ABF}"/>
    <cellStyle name="s_ZModel4_1_Draft reporting v6 031909" xfId="4395" xr:uid="{27049B87-A438-4114-849E-04219AB5774E}"/>
    <cellStyle name="s_ZModel4_1_Draft reporting v7 032509" xfId="4396" xr:uid="{64D71CC2-794E-4AD1-AC6C-023819283105}"/>
    <cellStyle name="s_ZModel4_2" xfId="4397" xr:uid="{A75BFC03-72EA-4D51-8830-2600CBDFAB32}"/>
    <cellStyle name="s_ZModel4_2_Book1" xfId="4398" xr:uid="{5219FB7C-7EDA-44B4-ACFD-2DEAA29D07BA}"/>
    <cellStyle name="s_ZModel4_2_Draft reporting v4 031709" xfId="4399" xr:uid="{4B93D533-431B-45C7-AE18-31B9E07702F3}"/>
    <cellStyle name="s_ZModel4_2_Draft reporting v6 031909" xfId="4400" xr:uid="{03D5F324-D16F-490F-A963-919AB1FC0D18}"/>
    <cellStyle name="s_ZModel4_2_Draft reporting v7 032509" xfId="4401" xr:uid="{96FF5093-FA31-469D-B777-E9BDEEC72DF9}"/>
    <cellStyle name="s_ZModel4_Book1" xfId="4402" xr:uid="{45C9ECE2-F2C9-4CB9-8D0C-8B927C7BC271}"/>
    <cellStyle name="s_ZModel4_Draft reporting v4 031709" xfId="4403" xr:uid="{3FBCD18D-B589-4B79-A4A2-0AB30B7D82CF}"/>
    <cellStyle name="s_ZModel4_Draft reporting v6 031909" xfId="4404" xr:uid="{E7064FEC-4FA4-40A3-970E-1D5047E34E0E}"/>
    <cellStyle name="s_ZModel4_Draft reporting v7 032509" xfId="4405" xr:uid="{392FFC88-2339-4C26-B96D-F29BCD865797}"/>
    <cellStyle name="s_ZModel41" xfId="4406" xr:uid="{5BBC671D-653D-47CE-B8F7-2727C15CE979}"/>
    <cellStyle name="s_ZModel41_1" xfId="4407" xr:uid="{DBE82754-AD2B-4CC5-9592-768AF774F1FE}"/>
    <cellStyle name="s_ZModel41_1_Book1" xfId="4408" xr:uid="{F254F1A3-42FE-4C9F-B24C-8BC3C1D48BE5}"/>
    <cellStyle name="s_ZModel41_1_Draft reporting v4 031709" xfId="4409" xr:uid="{9B37641A-E7FB-4AD3-809A-C3878232F538}"/>
    <cellStyle name="s_ZModel41_1_Draft reporting v6 031909" xfId="4410" xr:uid="{B1CA9C69-0724-43B9-9EAC-D3BCB78E21EE}"/>
    <cellStyle name="s_ZModel41_1_Draft reporting v7 032509" xfId="4411" xr:uid="{E9E4D441-4E38-4003-9128-C7E2F411C025}"/>
    <cellStyle name="s_ZModel41_Book1" xfId="4412" xr:uid="{F6C1977E-2712-4734-AB50-3013B3B489A8}"/>
    <cellStyle name="s_ZModel41_Draft reporting v4 031709" xfId="4413" xr:uid="{647088DD-1404-4B51-8444-45E12ADE419F}"/>
    <cellStyle name="s_ZModel41_Draft reporting v6 031909" xfId="4414" xr:uid="{1A422945-74E1-4402-BB2D-F885DE151ADB}"/>
    <cellStyle name="s_ZModel41_Draft reporting v7 032509" xfId="4415" xr:uid="{C272ACA7-6EB6-4C79-8444-93AE7C8FBC97}"/>
    <cellStyle name="s_ZModel61" xfId="4416" xr:uid="{28C80D71-CB2E-4DB6-8266-6C2259861258}"/>
    <cellStyle name="s_ZModel61_1" xfId="4417" xr:uid="{B37492A2-FCDB-4A84-8203-313F3C79447C}"/>
    <cellStyle name="s_ZModel61_1_Book1" xfId="4418" xr:uid="{4E8B2218-7AB8-421E-B63D-7A45F0212AF2}"/>
    <cellStyle name="s_ZModel61_1_Draft reporting v4 031709" xfId="4419" xr:uid="{A3BC49CE-3FA1-48A1-965D-346C7DB1C522}"/>
    <cellStyle name="s_ZModel61_1_Draft reporting v6 031909" xfId="4420" xr:uid="{BA9342B3-3E88-4C88-A0D2-FA7678C52544}"/>
    <cellStyle name="s_ZModel61_1_Draft reporting v7 032509" xfId="4421" xr:uid="{F8711D00-6646-4D6B-BF2A-DC56616DCF48}"/>
    <cellStyle name="s_ZModel61_2" xfId="4422" xr:uid="{2D184769-C9DA-45D0-8DA0-30F9801DD81C}"/>
    <cellStyle name="s_ZModel61_2_Book1" xfId="4423" xr:uid="{D7167144-5533-40B2-A1B8-CE43951765E9}"/>
    <cellStyle name="s_ZModel61_2_Draft reporting v4 031709" xfId="4424" xr:uid="{CBF0059C-24F7-4E3A-B01A-943C549AD769}"/>
    <cellStyle name="s_ZModel61_2_Draft reporting v6 031909" xfId="4425" xr:uid="{FBA494E0-5DDD-41F5-9252-94ADEB37F46E}"/>
    <cellStyle name="s_ZModel61_2_Draft reporting v7 032509" xfId="4426" xr:uid="{2AAF1430-23A3-489B-92A6-B4ACCB2D8791}"/>
    <cellStyle name="s_ZModel61_Book1" xfId="4427" xr:uid="{D66C0E05-34D2-45DA-9FEC-09AF0880DBAC}"/>
    <cellStyle name="s_ZModel61_Draft reporting v4 031709" xfId="4428" xr:uid="{2F192E01-ACB6-4AA8-B94C-EC004FD2F3E5}"/>
    <cellStyle name="s_ZModel61_Draft reporting v6 031909" xfId="4429" xr:uid="{42C4D185-A4D7-4384-B634-34128E3CE2D4}"/>
    <cellStyle name="s_ZModel61_Draft reporting v7 032509" xfId="4430" xr:uid="{30BAB5DA-C373-4679-8E16-B1600AA130BC}"/>
    <cellStyle name="s_ZModel62" xfId="4431" xr:uid="{81F824F2-89E9-4100-869E-3B0F9A042FFF}"/>
    <cellStyle name="s_ZModel62_1" xfId="4432" xr:uid="{31A47DF3-8571-4A8F-BA60-DB7F1F55341D}"/>
    <cellStyle name="s_ZModel62_1_Book1" xfId="4433" xr:uid="{CDAB8910-6716-475A-835A-687FFB20ECE4}"/>
    <cellStyle name="s_ZModel62_1_Draft reporting v4 031709" xfId="4434" xr:uid="{0D905735-1A41-4231-B1CC-9CCB3979030F}"/>
    <cellStyle name="s_ZModel62_1_Draft reporting v6 031909" xfId="4435" xr:uid="{4F369B04-B6EE-4450-A750-ACE2E8429C4B}"/>
    <cellStyle name="s_ZModel62_1_Draft reporting v7 032509" xfId="4436" xr:uid="{0F9C970C-E829-421B-837A-1A311F8979E4}"/>
    <cellStyle name="s_ZModel62_2" xfId="4437" xr:uid="{57A977D0-4443-444A-A4FA-F58164CE61B1}"/>
    <cellStyle name="s_ZModel62_2_Book1" xfId="4438" xr:uid="{704085C7-368D-41D2-929F-AFA50B909F63}"/>
    <cellStyle name="s_ZModel62_2_Draft reporting v4 031709" xfId="4439" xr:uid="{B3816933-5E1D-4305-89F1-55CE205F93A1}"/>
    <cellStyle name="s_ZModel62_2_Draft reporting v6 031909" xfId="4440" xr:uid="{8E7DE263-4A6E-4A09-BDE9-4A038DA18A51}"/>
    <cellStyle name="s_ZModel62_2_Draft reporting v7 032509" xfId="4441" xr:uid="{EA877D28-6B43-4BC3-B8F7-493AD253CD74}"/>
    <cellStyle name="s_ZModel62_Book1" xfId="4442" xr:uid="{9C35A489-407B-4E67-8517-DE48528B1D41}"/>
    <cellStyle name="s_ZModel62_Draft reporting v4 031709" xfId="4443" xr:uid="{70A4C05E-FD21-4206-89C9-84C87B26A20C}"/>
    <cellStyle name="s_ZModel62_Draft reporting v6 031909" xfId="4444" xr:uid="{4AA2C431-EB60-4BDE-8905-BA5A9DB0A83D}"/>
    <cellStyle name="s_ZModel62_Draft reporting v7 032509" xfId="4445" xr:uid="{2DB6C4E2-D6E9-4298-B93F-79E9B6B26A30}"/>
    <cellStyle name="Separador de milhares_argentina tb's Dec" xfId="4446" xr:uid="{C63CC4DE-FC56-4BBA-B8E5-F4D9A41F40F7}"/>
    <cellStyle name="Shaded" xfId="4447" xr:uid="{C2B73B7C-5BD0-43D5-96E7-F57AE2CD5B6D}"/>
    <cellStyle name="SHADEDSTORES" xfId="4448" xr:uid="{F9689F23-C8B7-4676-A82A-36A371EBE186}"/>
    <cellStyle name="SHADEDSTORES 2" xfId="4814" xr:uid="{61866304-FAF7-49CF-9CD4-4FEB7AC76023}"/>
    <cellStyle name="SHADEDSTORES 2 2" xfId="5808" xr:uid="{2E55F59B-406E-4F1A-8053-89F727A74D88}"/>
    <cellStyle name="SHADEDSTORES 2 2 2" xfId="7461" xr:uid="{D77ABE32-0A8F-4594-84C6-940E7DA25040}"/>
    <cellStyle name="SHADEDSTORES 2 3" xfId="6503" xr:uid="{053BEDF9-241D-4C67-8181-DBB63B68A72C}"/>
    <cellStyle name="SHADEDSTORES 3" xfId="4905" xr:uid="{DB51D393-65C4-4809-80C8-602655E3FB03}"/>
    <cellStyle name="SHADEDSTORES 3 2" xfId="5897" xr:uid="{ADCDF858-4B72-46CF-80D6-5C04B0862656}"/>
    <cellStyle name="SHADEDSTORES 3 2 2" xfId="7550" xr:uid="{3442CEEF-BFD8-4923-83BE-22CBE7CDDB74}"/>
    <cellStyle name="SHADEDSTORES 3 3" xfId="6590" xr:uid="{34B2BD55-02C4-4342-A16B-149EE8A2C69D}"/>
    <cellStyle name="SHADEDSTORES 4" xfId="5612" xr:uid="{C1AE614C-5802-4260-A4EF-EB7B91241C4A}"/>
    <cellStyle name="SHADEDSTORES 4 2" xfId="7272" xr:uid="{726344BF-6F08-43E7-87D8-2151A9422628}"/>
    <cellStyle name="SHADEDSTORES 5" xfId="5014" xr:uid="{DEE5D499-6ABC-4416-98C0-D92AE6FCED9C}"/>
    <cellStyle name="SHADEDSTORES 5 2" xfId="6693" xr:uid="{7ADD7F5E-58FF-4E24-8B5F-03B1304097AD}"/>
    <cellStyle name="SHADEDSTORES 6" xfId="6381" xr:uid="{8AEC2693-33C5-436B-B290-DA89B9572C16}"/>
    <cellStyle name="Sheet Header" xfId="4449" xr:uid="{66987283-EC42-44FF-ADED-1148A49031AE}"/>
    <cellStyle name="Sheetmult" xfId="4450" xr:uid="{21C1C520-CFF7-4C54-810B-9F4FF97D2CF0}"/>
    <cellStyle name="Short $" xfId="4451" xr:uid="{D7EF088F-FADC-4324-AC0B-D619BAD6CEF4}"/>
    <cellStyle name="Shtmultx" xfId="4452" xr:uid="{FA37EDE4-FA79-426D-A6AB-437EF6A2020B}"/>
    <cellStyle name="Single Accounting" xfId="4453" xr:uid="{7939386C-A6C7-4189-946B-DD832E3BB2E5}"/>
    <cellStyle name="Single Cell Column Heading" xfId="133" xr:uid="{21BAB216-7634-4850-AE9B-5B32753F78AA}"/>
    <cellStyle name="Small Header" xfId="4454" xr:uid="{7726A9E9-9EC9-4D6B-88A0-6A9E4FF642E1}"/>
    <cellStyle name="Small Page Heading" xfId="4455" xr:uid="{414DBBD0-521C-49A0-8923-1329AA468C11}"/>
    <cellStyle name="specstores" xfId="4456" xr:uid="{5BCDEA32-24DE-40F5-94A1-B4B12AA79DCE}"/>
    <cellStyle name="ssp " xfId="4457" xr:uid="{A8F07D11-5A00-4E25-AA65-D6C768FB04DF}"/>
    <cellStyle name="Standaard_Winst-en-verliesrekening EBITA P04 2004-05" xfId="4458" xr:uid="{E0D959FF-F0AD-4787-8DFE-2CDC86338FF9}"/>
    <cellStyle name="Standard_Consolidated Last" xfId="4459" xr:uid="{46DCFF60-F271-4DC1-996E-43DED65EA348}"/>
    <cellStyle name="STYL1 - Style1" xfId="4460" xr:uid="{C5F17582-9443-43FF-93A6-E59D9F0B0AE8}"/>
    <cellStyle name="STYL2 - Style2" xfId="4461" xr:uid="{64C70A44-B80C-49D2-9481-D4E924A94EBD}"/>
    <cellStyle name="STYL3 - Style3" xfId="4462" xr:uid="{CF7AAE57-D88F-4EB0-88CD-634A517DD9EE}"/>
    <cellStyle name="STYL4 - Style4" xfId="4463" xr:uid="{B0AE9A5E-CC3E-4E27-87D2-AFFB1AA534ED}"/>
    <cellStyle name="STYL4 - Style4 2" xfId="4815" xr:uid="{468490CC-ECD1-42FB-9F03-6C8DDFEC7DCB}"/>
    <cellStyle name="STYL4 - Style4 2 2" xfId="5809" xr:uid="{1911E4DD-C693-458F-A7AA-9DF23B4DFA24}"/>
    <cellStyle name="STYL4 - Style4 2 2 2" xfId="7462" xr:uid="{8EAA5F61-31DC-4930-94DC-46BC44E36635}"/>
    <cellStyle name="STYL4 - Style4 2 3" xfId="6008" xr:uid="{22AF0E58-A3CF-4FF3-9F55-BF35252D46DB}"/>
    <cellStyle name="STYL4 - Style4 2 3 2" xfId="7660" xr:uid="{F5931012-CF3A-4CEA-BDEF-48E6EF77E1B7}"/>
    <cellStyle name="STYL4 - Style4 2 4" xfId="5534" xr:uid="{11042E32-95D8-4899-84EB-545E74A54200}"/>
    <cellStyle name="STYL4 - Style4 2 4 2" xfId="7198" xr:uid="{D51BD90C-5D2E-4665-AEC4-18D8B02BACD1}"/>
    <cellStyle name="STYL4 - Style4 2 5" xfId="6504" xr:uid="{F1C4A7C4-5411-4B49-B9BE-6FB2864189D2}"/>
    <cellStyle name="STYL4 - Style4 3" xfId="4904" xr:uid="{D48EFD00-C674-4F3D-8487-0741332C2BBC}"/>
    <cellStyle name="STYL4 - Style4 3 2" xfId="5896" xr:uid="{414BB1FD-CA5F-4BE9-AC5C-CB70EB28949A}"/>
    <cellStyle name="STYL4 - Style4 3 2 2" xfId="7549" xr:uid="{03F0F779-CDC2-46F3-B32D-D3FFB53E11E7}"/>
    <cellStyle name="STYL4 - Style4 3 3" xfId="6091" xr:uid="{359B3DD3-A937-427E-A44B-8DBE5CB18EF0}"/>
    <cellStyle name="STYL4 - Style4 3 3 2" xfId="7743" xr:uid="{A9D1967C-5F65-4870-922C-F2DBE47A83ED}"/>
    <cellStyle name="STYL4 - Style4 3 4" xfId="6120" xr:uid="{8669B1AC-3122-42F6-9776-162E0672293E}"/>
    <cellStyle name="STYL4 - Style4 3 4 2" xfId="7771" xr:uid="{D2B724D7-045A-471E-8B53-1710D773361A}"/>
    <cellStyle name="STYL4 - Style4 3 5" xfId="6589" xr:uid="{45D26520-F3A1-49E3-A22B-3202A2732A3A}"/>
    <cellStyle name="STYL4 - Style4 4" xfId="5616" xr:uid="{8E5D7A1F-8A8A-4777-A345-B3C660807082}"/>
    <cellStyle name="STYL4 - Style4 4 2" xfId="7276" xr:uid="{F5F47050-8740-4B09-ACFE-25AA722E794E}"/>
    <cellStyle name="STYL4 - Style4 5" xfId="5010" xr:uid="{E773FA3C-2D8F-4347-A081-1D15F4DD6FB5}"/>
    <cellStyle name="STYL4 - Style4 5 2" xfId="6689" xr:uid="{C069AF4B-3BC6-48EB-B004-F73A93AF7E75}"/>
    <cellStyle name="STYL4 - Style4 6" xfId="5588" xr:uid="{AF568425-E02C-416D-8836-C0E006179349}"/>
    <cellStyle name="STYL4 - Style4 6 2" xfId="7249" xr:uid="{56FE1D85-EB28-46F5-8662-8D2B6E1E74C5}"/>
    <cellStyle name="STYL4 - Style4 7" xfId="5329" xr:uid="{4645D254-03C4-4292-8170-BF8B1E0719A6}"/>
    <cellStyle name="STYL4 - Style4 7 2" xfId="6995" xr:uid="{8EB94568-FE17-40F8-83C0-F17A4AA6CF61}"/>
    <cellStyle name="STYL4 - Style4 8" xfId="6382" xr:uid="{49BE867C-7A95-48EF-ABD0-2FD94DAA0163}"/>
    <cellStyle name="STYL5 - Style5" xfId="4464" xr:uid="{9E93F815-24D1-4F43-BF08-EBF7089D5F11}"/>
    <cellStyle name="STYL6 - Style6" xfId="4465" xr:uid="{FE8E2EFF-97F6-47F2-A674-A03287543BA5}"/>
    <cellStyle name="STYL6 - Style6 2" xfId="4816" xr:uid="{59F89525-119E-4501-BBD3-C16DCB865A93}"/>
    <cellStyle name="STYL6 - Style6 2 2" xfId="5810" xr:uid="{461BF8BD-DBE5-4C8B-AE0C-98CCF35F2631}"/>
    <cellStyle name="STYL6 - Style6 2 2 2" xfId="7463" xr:uid="{1C617C56-2320-4B1B-9F63-950CF55B3CC1}"/>
    <cellStyle name="STYL6 - Style6 2 3" xfId="6009" xr:uid="{85037118-6DC9-4C1B-87FC-5B9175CCA01F}"/>
    <cellStyle name="STYL6 - Style6 2 3 2" xfId="7661" xr:uid="{92506428-A9FE-46ED-928B-1B5A825A1EF2}"/>
    <cellStyle name="STYL6 - Style6 2 4" xfId="5556" xr:uid="{76FF160C-6E04-4380-B289-22B4E42EA381}"/>
    <cellStyle name="STYL6 - Style6 2 4 2" xfId="7219" xr:uid="{F7E43BEA-45FB-438A-A860-55396B5AEA65}"/>
    <cellStyle name="STYL6 - Style6 2 5" xfId="6505" xr:uid="{995F9C4E-03D8-4586-A855-AEB1D4F6068C}"/>
    <cellStyle name="STYL6 - Style6 3" xfId="4903" xr:uid="{33E7874C-1973-4193-B5BD-C1E6CDA45ACF}"/>
    <cellStyle name="STYL6 - Style6 3 2" xfId="5895" xr:uid="{0E5D466C-822F-4780-B79C-311C2BF44EE9}"/>
    <cellStyle name="STYL6 - Style6 3 2 2" xfId="7548" xr:uid="{D8CD6062-A92E-46A3-B877-E8C493EFF6C7}"/>
    <cellStyle name="STYL6 - Style6 3 3" xfId="6090" xr:uid="{C1D5D84D-5930-4690-AC8D-1E7F5C80F145}"/>
    <cellStyle name="STYL6 - Style6 3 3 2" xfId="7742" xr:uid="{8C35486E-144F-46BC-AB46-A75DA37D5159}"/>
    <cellStyle name="STYL6 - Style6 3 4" xfId="5543" xr:uid="{099AF03E-B272-4A41-A61D-A61B7784A92E}"/>
    <cellStyle name="STYL6 - Style6 3 4 2" xfId="7206" xr:uid="{EEF21281-D84B-4004-8A50-104B98A1046B}"/>
    <cellStyle name="STYL6 - Style6 3 5" xfId="6588" xr:uid="{E770FFC2-5101-494E-8F69-FB10EE9E3956}"/>
    <cellStyle name="STYL6 - Style6 4" xfId="5618" xr:uid="{E2348CE1-F569-4109-B5FF-DCB039C0A986}"/>
    <cellStyle name="STYL6 - Style6 4 2" xfId="7278" xr:uid="{737BA511-4332-4DBF-BEC3-59AEE53830BB}"/>
    <cellStyle name="STYL6 - Style6 5" xfId="5009" xr:uid="{A46B273A-2D10-4D2A-AF0C-22BEB5AADF51}"/>
    <cellStyle name="STYL6 - Style6 5 2" xfId="6688" xr:uid="{DF6AFBFC-EB35-4AD0-A75E-A8F6FBA71C7A}"/>
    <cellStyle name="STYL6 - Style6 6" xfId="5331" xr:uid="{D3E7C225-041A-4C39-891D-687197033915}"/>
    <cellStyle name="STYL6 - Style6 6 2" xfId="6997" xr:uid="{23138978-8C72-423A-BC83-E298CB875155}"/>
    <cellStyle name="STYL6 - Style6 7" xfId="6383" xr:uid="{A46762B2-D1F7-4069-A89C-1D4125CC093A}"/>
    <cellStyle name="Style 1" xfId="4466" xr:uid="{8B875659-5A47-4D8E-B2DC-211A63CE489D}"/>
    <cellStyle name="Style 2" xfId="4467" xr:uid="{2AC0867D-2FEE-4F11-AA79-C865E52C222F}"/>
    <cellStyle name="Style 215" xfId="4468" xr:uid="{5E35B13B-2AC2-4226-B1A4-7E1260682CBD}"/>
    <cellStyle name="Style 216" xfId="4469" xr:uid="{5544DB89-B8F7-4E04-8ECF-552AD562652A}"/>
    <cellStyle name="Style 216 2" xfId="4817" xr:uid="{2364122F-6BF6-4FF4-AD3F-703D68D581BA}"/>
    <cellStyle name="Style 216 2 2" xfId="5811" xr:uid="{92EBF1B6-F964-425C-BBA2-95E32701169F}"/>
    <cellStyle name="Style 216 2 2 2" xfId="7464" xr:uid="{F15C3C2C-BBDA-4BF0-BEE6-30D0E4A36359}"/>
    <cellStyle name="Style 216 2 3" xfId="6010" xr:uid="{BB9C5007-7549-400D-911D-5D2FEACF954C}"/>
    <cellStyle name="Style 216 2 3 2" xfId="7662" xr:uid="{94D82A88-9F70-4214-ADC7-5BE5DE39A31B}"/>
    <cellStyle name="Style 216 2 4" xfId="5432" xr:uid="{46D6CDD5-46CA-4010-9F0C-4CDE149364CC}"/>
    <cellStyle name="Style 216 2 4 2" xfId="7096" xr:uid="{DD77067B-C2F5-49A9-9E3B-6A27E227A95B}"/>
    <cellStyle name="Style 216 2 5" xfId="6284" xr:uid="{AA06435D-B3DC-430C-8040-89FA060FA5CE}"/>
    <cellStyle name="Style 216 2 5 2" xfId="7931" xr:uid="{8349BFC9-AB63-43A8-9E6C-33FDA9CEB010}"/>
    <cellStyle name="Style 216 2 6" xfId="6506" xr:uid="{98757609-E54E-418A-97E5-54EAD894CFDE}"/>
    <cellStyle name="Style 216 3" xfId="4902" xr:uid="{74783726-FEA7-4438-9636-2C8E15E3033E}"/>
    <cellStyle name="Style 216 3 2" xfId="5894" xr:uid="{34E16CAF-682C-4262-A164-9B2355E7BC23}"/>
    <cellStyle name="Style 216 3 2 2" xfId="7547" xr:uid="{63825E23-B9B6-462A-841A-B435B7D6724E}"/>
    <cellStyle name="Style 216 3 3" xfId="6089" xr:uid="{5A1D616A-8C32-46FF-9DD6-9827FBAE3E1B}"/>
    <cellStyle name="Style 216 3 3 2" xfId="7741" xr:uid="{6C6D77F0-EC3E-41D9-8DA3-E55D3BF2EE76}"/>
    <cellStyle name="Style 216 3 4" xfId="5491" xr:uid="{2640406D-551E-409E-9168-27EB54FA8316}"/>
    <cellStyle name="Style 216 3 4 2" xfId="7155" xr:uid="{EB882BBA-29C8-4C16-B097-145113E46B9F}"/>
    <cellStyle name="Style 216 3 5" xfId="6587" xr:uid="{99552BDA-5DF5-4A24-9AEC-3B8C7B4CB310}"/>
    <cellStyle name="Style 216 4" xfId="5622" xr:uid="{18F9AA08-9367-48FB-8046-629C3EC46448}"/>
    <cellStyle name="Style 216 4 2" xfId="7282" xr:uid="{9B108931-85C9-40E4-9AE7-E18C25F5D145}"/>
    <cellStyle name="Style 216 5" xfId="5007" xr:uid="{99A13ED9-7EAC-43A8-8E58-B6C2D69611AB}"/>
    <cellStyle name="Style 216 5 2" xfId="6686" xr:uid="{68FC28BB-E3EF-4E36-AA99-9F46CC3C602A}"/>
    <cellStyle name="Style 216 6" xfId="5590" xr:uid="{4E6EA200-B399-4655-BE73-89D3023FEA4E}"/>
    <cellStyle name="Style 216 6 2" xfId="7251" xr:uid="{F41687BE-771E-4973-8458-6093F11588D4}"/>
    <cellStyle name="Style 216 7" xfId="5333" xr:uid="{F215821F-224D-41B4-A378-FE683B55BEE3}"/>
    <cellStyle name="Style 216 7 2" xfId="6999" xr:uid="{500C8E60-2A37-4F62-B62A-79EB5A0DCA7D}"/>
    <cellStyle name="Style 216 8" xfId="6384" xr:uid="{F5BC7DCE-F30A-47EC-92FA-314BE605BEA1}"/>
    <cellStyle name="Style 217" xfId="4470" xr:uid="{9D2BF5DC-B32A-4EC8-8976-5859E979A16E}"/>
    <cellStyle name="Style 217 2" xfId="4818" xr:uid="{26D52FDA-CAAA-4BAE-9B10-96B7382C91EA}"/>
    <cellStyle name="Style 217 2 2" xfId="5812" xr:uid="{130CF331-38CA-4F91-9195-1AFA381A053E}"/>
    <cellStyle name="Style 217 2 2 2" xfId="7465" xr:uid="{44C22DD1-5B0B-40BA-9A6F-E934C60C2C84}"/>
    <cellStyle name="Style 217 2 3" xfId="6011" xr:uid="{D28EF978-0A9B-4C78-BC28-B128267AA8AC}"/>
    <cellStyle name="Style 217 2 3 2" xfId="7663" xr:uid="{E084191C-6D5B-404D-940C-39BD1C13419D}"/>
    <cellStyle name="Style 217 2 4" xfId="5535" xr:uid="{DE627478-C705-4AD7-B663-514A53A6F787}"/>
    <cellStyle name="Style 217 2 4 2" xfId="7199" xr:uid="{C81B7A7C-2486-4E7F-82E1-58D570D1E99C}"/>
    <cellStyle name="Style 217 2 5" xfId="6285" xr:uid="{0FC75476-C57F-4FF0-9A8C-B4C71BD8B579}"/>
    <cellStyle name="Style 217 2 5 2" xfId="7932" xr:uid="{D1AADFEA-35A0-4996-A1B2-C8E608F78402}"/>
    <cellStyle name="Style 217 2 6" xfId="6507" xr:uid="{008DC4E0-9BCB-4EC4-90B8-D0AEB082DA2C}"/>
    <cellStyle name="Style 217 3" xfId="4901" xr:uid="{7A400273-6B37-46D9-A2A1-3D676A8EF562}"/>
    <cellStyle name="Style 217 3 2" xfId="5893" xr:uid="{6C8DFA70-7836-466E-9297-FED390FC5DD2}"/>
    <cellStyle name="Style 217 3 2 2" xfId="7546" xr:uid="{19C5B5BB-04E2-4EFB-8047-2F75D3B5A181}"/>
    <cellStyle name="Style 217 3 3" xfId="6088" xr:uid="{1777768C-DCA5-467D-85B4-B2F2E96FC4C6}"/>
    <cellStyle name="Style 217 3 3 2" xfId="7740" xr:uid="{8C4D0348-EAF1-4AB2-9AAD-1F92CA7F1887}"/>
    <cellStyle name="Style 217 3 4" xfId="5490" xr:uid="{5F56D79B-980E-4A75-9B00-FC5CA41A30F4}"/>
    <cellStyle name="Style 217 3 4 2" xfId="7154" xr:uid="{F4F583A9-73F0-4C3E-A3D4-59D6EDAE0EF5}"/>
    <cellStyle name="Style 217 3 5" xfId="6586" xr:uid="{2F7826C2-E418-4AAE-957C-9994E628128A}"/>
    <cellStyle name="Style 217 4" xfId="5623" xr:uid="{0BCAB06F-0EC2-4B8B-A9EB-8C669341D5AD}"/>
    <cellStyle name="Style 217 4 2" xfId="7283" xr:uid="{950729F3-8F91-4E0C-90D6-BB5CB1D2CE45}"/>
    <cellStyle name="Style 217 5" xfId="5006" xr:uid="{03DED6CA-A35C-4246-BFA8-6804B6EB6F54}"/>
    <cellStyle name="Style 217 5 2" xfId="6685" xr:uid="{6FF5379E-CECD-45F2-9BF8-7F62DCA77A5D}"/>
    <cellStyle name="Style 217 6" xfId="5591" xr:uid="{9D64AB0C-5166-4F3E-A87E-C0BB9C3A02A6}"/>
    <cellStyle name="Style 217 6 2" xfId="7252" xr:uid="{3DCE1663-127F-435A-AD18-CF0F32B7A03E}"/>
    <cellStyle name="Style 217 7" xfId="5334" xr:uid="{6AC10D4B-FD5E-492F-B306-9B75A767622E}"/>
    <cellStyle name="Style 217 7 2" xfId="7000" xr:uid="{879DF115-F03E-43E2-9C8C-F6C5AE195E48}"/>
    <cellStyle name="Style 217 8" xfId="6385" xr:uid="{2F80651E-1DA7-4B68-A938-3A13E44976F1}"/>
    <cellStyle name="Style 218" xfId="4471" xr:uid="{1CB39141-C617-4532-ACF3-4CBFE6A00267}"/>
    <cellStyle name="Style 218 2" xfId="4819" xr:uid="{5E5DF22C-3685-47AA-9D7D-F0E08FAA21FE}"/>
    <cellStyle name="Style 218 2 2" xfId="5813" xr:uid="{DAD84689-963A-4958-A2AE-623EC8B04804}"/>
    <cellStyle name="Style 218 2 2 2" xfId="7466" xr:uid="{F8B014E8-B4AB-47FF-B558-BEFE68BAC80A}"/>
    <cellStyle name="Style 218 2 3" xfId="6012" xr:uid="{FF979A23-BC76-462D-92C5-2C334B3C4F2D}"/>
    <cellStyle name="Style 218 2 3 2" xfId="7664" xr:uid="{D2381074-E946-4513-89A3-DF2F6E857057}"/>
    <cellStyle name="Style 218 2 4" xfId="5555" xr:uid="{25CC2336-06D1-47E4-AD0F-C1E12DA466B8}"/>
    <cellStyle name="Style 218 2 4 2" xfId="7218" xr:uid="{89F1F6E8-94CC-4477-BC97-B4A6A184E4F4}"/>
    <cellStyle name="Style 218 2 5" xfId="6286" xr:uid="{550E48EC-C334-41FB-815B-A9242C233D1E}"/>
    <cellStyle name="Style 218 2 5 2" xfId="7933" xr:uid="{F67A136E-DAEF-491F-BAE7-5CE7DAEC56C6}"/>
    <cellStyle name="Style 218 2 6" xfId="6508" xr:uid="{5B532E0A-295A-4B5D-AFB8-937710568E01}"/>
    <cellStyle name="Style 218 3" xfId="4900" xr:uid="{D44A41A3-E306-417C-A789-47348DA19E1E}"/>
    <cellStyle name="Style 218 3 2" xfId="5892" xr:uid="{7F4AA227-74AE-4106-8BE1-E8A74B55ADF5}"/>
    <cellStyle name="Style 218 3 2 2" xfId="7545" xr:uid="{A213FDB9-C375-4CC9-B63C-C0EA3B7B5955}"/>
    <cellStyle name="Style 218 3 3" xfId="6087" xr:uid="{99F7CE70-432F-4B26-A388-66FDC273D81F}"/>
    <cellStyle name="Style 218 3 3 2" xfId="7739" xr:uid="{7C2AD333-0CA3-4812-ABD2-44B02B335957}"/>
    <cellStyle name="Style 218 3 4" xfId="5489" xr:uid="{497CED50-C1D1-4D19-AC90-09B5E1EDD237}"/>
    <cellStyle name="Style 218 3 4 2" xfId="7153" xr:uid="{88BA69BF-F238-41AD-B12C-3DC9DDB8AC25}"/>
    <cellStyle name="Style 218 3 5" xfId="6585" xr:uid="{4C2E2B8C-3A1A-4DAE-A7C1-2B977E8E0E92}"/>
    <cellStyle name="Style 218 4" xfId="5624" xr:uid="{2AD1D24C-DB36-4472-9ED6-7EEDA456B865}"/>
    <cellStyle name="Style 218 4 2" xfId="7284" xr:uid="{6CBC3508-57CF-4904-9CE3-CDECD0257825}"/>
    <cellStyle name="Style 218 5" xfId="5005" xr:uid="{B65A37E0-5AEE-4997-898B-546CCDC4CF3A}"/>
    <cellStyle name="Style 218 5 2" xfId="6684" xr:uid="{8A522CFE-E5F6-49AB-92C1-9BA6A53BC01C}"/>
    <cellStyle name="Style 218 6" xfId="5592" xr:uid="{A75FD692-26E3-4CE0-826E-68C8FBE79F74}"/>
    <cellStyle name="Style 218 6 2" xfId="7253" xr:uid="{BD080BD8-4AE4-4D63-B0BC-3637F11160CE}"/>
    <cellStyle name="Style 218 7" xfId="5335" xr:uid="{1A75B176-A657-41A9-BB7B-0469906ECFA9}"/>
    <cellStyle name="Style 218 7 2" xfId="7001" xr:uid="{219C8971-C934-46C8-ABF6-5F59FCAB37A7}"/>
    <cellStyle name="Style 218 8" xfId="6386" xr:uid="{483601FA-FA19-430E-B364-B17E410BAE5A}"/>
    <cellStyle name="Style 219" xfId="4472" xr:uid="{6A5BACFF-1997-4A55-8B9D-778C25905FFB}"/>
    <cellStyle name="Style 219 10" xfId="5336" xr:uid="{E8360C91-78A1-4EC6-8D15-8AF40FA486A5}"/>
    <cellStyle name="Style 219 11" xfId="6387" xr:uid="{19B97A9C-CF59-4A96-B706-1AA8B21B9C39}"/>
    <cellStyle name="Style 219 2" xfId="4820" xr:uid="{D2EACD38-E84C-4616-82B8-C75D29F97A9E}"/>
    <cellStyle name="Style 219 2 2" xfId="5814" xr:uid="{BA10726F-C3CE-4F30-8132-86C3404B20C7}"/>
    <cellStyle name="Style 219 2 2 2" xfId="7467" xr:uid="{9126CA5E-C00C-4A4B-87BD-319C6D206B1B}"/>
    <cellStyle name="Style 219 2 3" xfId="5433" xr:uid="{E58B5816-CA14-4AE1-9768-1C368592DF0D}"/>
    <cellStyle name="Style 219 2 3 2" xfId="7097" xr:uid="{5F670CBB-35D0-4B39-B664-7272697C70D4}"/>
    <cellStyle name="Style 219 2 4" xfId="6509" xr:uid="{CAC6E9CC-C6E9-47DA-92FF-F531C30DC0D2}"/>
    <cellStyle name="Style 219 3" xfId="4730" xr:uid="{256D6B7C-9A7A-411C-83F3-BDE9D5EE9260}"/>
    <cellStyle name="Style 219 3 2" xfId="5725" xr:uid="{613DC9A5-2F3A-407D-B458-716628350B22}"/>
    <cellStyle name="Style 219 3 2 2" xfId="7378" xr:uid="{D29F5EF5-4AB8-4057-A1F2-14010EDFDD07}"/>
    <cellStyle name="Style 219 3 3" xfId="5948" xr:uid="{F3558F34-C999-4E43-AAC0-ED923AB4A0C1}"/>
    <cellStyle name="Style 219 3 3 2" xfId="7601" xr:uid="{12E2A4B6-A38D-44B9-BEF3-24F33732BCCB}"/>
    <cellStyle name="Style 219 3 4" xfId="6119" xr:uid="{4ECB9CB7-BD10-431A-9345-81DCFFD2364F}"/>
    <cellStyle name="Style 219 3 4 2" xfId="7770" xr:uid="{766A091A-28CE-4374-BC89-63BB65B64AA0}"/>
    <cellStyle name="Style 219 3 5" xfId="5589" xr:uid="{91571E19-F678-46FF-B8CF-24622B14ACFE}"/>
    <cellStyle name="Style 219 3 5 2" xfId="7250" xr:uid="{1543C8F1-9612-4C3C-BA9B-8E5C33889118}"/>
    <cellStyle name="Style 219 3 6" xfId="5087" xr:uid="{A216D3CB-ACDF-4500-93C9-0847325208E0}"/>
    <cellStyle name="Style 219 3 6 2" xfId="6761" xr:uid="{D7D11041-D4DF-4E01-A05A-31241D159016}"/>
    <cellStyle name="Style 219 3 7" xfId="6240" xr:uid="{974421EE-51D2-42CC-B898-76D6D4B9BDF1}"/>
    <cellStyle name="Style 219 3 7 2" xfId="7887" xr:uid="{C8B4A580-8A41-4DBB-BCEE-A642D6472495}"/>
    <cellStyle name="Style 219 3 8" xfId="5127" xr:uid="{685B3DF8-4B28-4FFD-9BF7-852D6E6FDA36}"/>
    <cellStyle name="Style 219 3 8 2" xfId="6801" xr:uid="{49E3E553-719D-422A-9BDF-7C2CF6EC015F}"/>
    <cellStyle name="Style 219 3 9" xfId="6421" xr:uid="{1E736F2D-6701-4D1A-A789-6606B73AF825}"/>
    <cellStyle name="Style 219 4" xfId="4899" xr:uid="{963821B9-ABBB-4068-83FB-6A028FF99AB6}"/>
    <cellStyle name="Style 219 4 2" xfId="5891" xr:uid="{7284AA7A-9210-4CB1-BEF2-2A315E280CEE}"/>
    <cellStyle name="Style 219 4 2 2" xfId="7544" xr:uid="{93255BA8-9ED4-4F20-B135-70B5FF185F60}"/>
    <cellStyle name="Style 219 4 3" xfId="5488" xr:uid="{6443D79A-3FFB-4737-9F15-9678583AD535}"/>
    <cellStyle name="Style 219 4 3 2" xfId="7152" xr:uid="{E5D1ABC8-6BAA-4409-9BF7-3930295DB024}"/>
    <cellStyle name="Style 219 4 4" xfId="6584" xr:uid="{F3A8EEB1-F150-492F-8649-F3100D4AF882}"/>
    <cellStyle name="Style 219 5" xfId="5625" xr:uid="{0A17757E-E2FA-4550-B515-13D546E67514}"/>
    <cellStyle name="Style 219 5 2" xfId="7285" xr:uid="{C35D40C2-90AA-416F-93D6-6DF15E2CEC5D}"/>
    <cellStyle name="Style 219 6" xfId="5004" xr:uid="{081E581A-A782-4BE3-8769-FCF072AA25D9}"/>
    <cellStyle name="Style 219 6 2" xfId="6683" xr:uid="{F98518DD-87C9-47EF-8AD2-8AFBA32E482B}"/>
    <cellStyle name="Style 219 7" xfId="4998" xr:uid="{B54763B6-CAF4-478D-9F0F-7AD83B77307B}"/>
    <cellStyle name="Style 219 7 2" xfId="6677" xr:uid="{BC59CEC6-404B-4263-A8B3-542FC350B524}"/>
    <cellStyle name="Style 219 8" xfId="5593" xr:uid="{8FCC6967-2644-49F5-AF1C-C6465FF1E7BA}"/>
    <cellStyle name="Style 219 8 2" xfId="7254" xr:uid="{D03B05B6-41B6-4B9E-8A8B-63B08A0D8F3D}"/>
    <cellStyle name="Style 219 9" xfId="5394" xr:uid="{C7A750B6-5D31-46E2-8D34-4080F757E32A}"/>
    <cellStyle name="Style 219 9 2" xfId="7058" xr:uid="{E7731035-B950-4705-BFFC-D810AEAD38F7}"/>
    <cellStyle name="Style 220" xfId="4473" xr:uid="{A20FC2BD-D30A-4E5D-847A-2DCCE1D68A89}"/>
    <cellStyle name="Style 220 2" xfId="4821" xr:uid="{90716755-3E22-4A1D-8FFA-929FFE5451A1}"/>
    <cellStyle name="Style 220 2 2" xfId="5815" xr:uid="{0AD6F2BE-B58D-437C-B04E-76FCC88653B3}"/>
    <cellStyle name="Style 220 2 2 2" xfId="7468" xr:uid="{329AC821-4A00-4983-9C82-558922FAE16E}"/>
    <cellStyle name="Style 220 2 3" xfId="6013" xr:uid="{A80B9D89-32C5-4C96-A103-CAB9FBC4FC8C}"/>
    <cellStyle name="Style 220 2 3 2" xfId="7665" xr:uid="{E3EE7A6B-518B-4D6F-8B7A-EDA5325EEB81}"/>
    <cellStyle name="Style 220 2 4" xfId="5609" xr:uid="{C8BE38FF-1AAF-4E7A-A6AC-6B209A0BC7D9}"/>
    <cellStyle name="Style 220 2 4 2" xfId="7269" xr:uid="{4BA12D4A-76EB-4DC8-94E0-DE1F99CB394A}"/>
    <cellStyle name="Style 220 2 5" xfId="6287" xr:uid="{B5FD1FB7-A9E4-49F0-9832-526996358DEA}"/>
    <cellStyle name="Style 220 2 5 2" xfId="7934" xr:uid="{AC00B4A5-CBC9-43BB-AF53-5BEC0B79A6BD}"/>
    <cellStyle name="Style 220 2 6" xfId="6510" xr:uid="{FB88C9A5-234B-46D3-B15B-CC415B505DAC}"/>
    <cellStyle name="Style 220 3" xfId="4898" xr:uid="{0819BCD6-EC84-4671-916A-31CCC800EFF7}"/>
    <cellStyle name="Style 220 3 2" xfId="5890" xr:uid="{D65892DE-3A6D-40DF-9257-6800D55E8A7D}"/>
    <cellStyle name="Style 220 3 2 2" xfId="7543" xr:uid="{006D02B1-55BB-4819-A6DC-977ED892A404}"/>
    <cellStyle name="Style 220 3 3" xfId="6086" xr:uid="{F3705B19-7903-40C0-BCEB-A7353B0FD53A}"/>
    <cellStyle name="Style 220 3 3 2" xfId="7738" xr:uid="{53568B3C-AC16-4DBB-8146-2C6D2976D13B}"/>
    <cellStyle name="Style 220 3 4" xfId="5487" xr:uid="{30A8DA03-E867-45F5-A6A8-74F0AC4AF9CD}"/>
    <cellStyle name="Style 220 3 4 2" xfId="7151" xr:uid="{545628DF-5BD0-474D-8F6B-648E08E08F03}"/>
    <cellStyle name="Style 220 3 5" xfId="6583" xr:uid="{AC6704BC-8EC0-429F-80DE-E309D91C4EC0}"/>
    <cellStyle name="Style 220 4" xfId="5626" xr:uid="{3345104F-7957-495B-87F3-3EFC58CBAF47}"/>
    <cellStyle name="Style 220 4 2" xfId="7286" xr:uid="{39072BB2-8D73-44F5-B2BE-50072ED553DC}"/>
    <cellStyle name="Style 220 5" xfId="5003" xr:uid="{FBF8F4D6-8C4A-44EF-B637-6D3FB1FDE2BA}"/>
    <cellStyle name="Style 220 5 2" xfId="6682" xr:uid="{3011E7D6-2375-4ACC-AE83-9C1EF9500F89}"/>
    <cellStyle name="Style 220 6" xfId="5594" xr:uid="{3A8F33BD-07D7-4C3E-BBD5-C35F8266E3CA}"/>
    <cellStyle name="Style 220 6 2" xfId="7255" xr:uid="{2D0955FE-67C3-49BD-978B-0A18BD00D8F5}"/>
    <cellStyle name="Style 220 7" xfId="5337" xr:uid="{6E9FEF72-0F33-49BA-B87C-6DD1D0C80B73}"/>
    <cellStyle name="Style 220 7 2" xfId="7002" xr:uid="{EC257420-F53D-4C41-88EE-2D1FDA6FFBEC}"/>
    <cellStyle name="Style 220 8" xfId="6388" xr:uid="{C80F7FF0-1EC4-4FD8-B556-D6EC4A032742}"/>
    <cellStyle name="Style 221" xfId="4474" xr:uid="{56139AE2-9E8D-4FBA-83E4-8003C620D513}"/>
    <cellStyle name="Style 221 2" xfId="4822" xr:uid="{E03C368F-D86F-4008-9C9B-0F4AB5F9460A}"/>
    <cellStyle name="Style 221 2 2" xfId="5816" xr:uid="{CE958CCC-59DF-42B6-A9DD-81F1A10EF909}"/>
    <cellStyle name="Style 221 2 2 2" xfId="7469" xr:uid="{28BDF559-D947-4759-9637-532E41A6AF7F}"/>
    <cellStyle name="Style 221 2 3" xfId="6014" xr:uid="{27513A8E-B65A-4C18-B98D-61FDBDD75145}"/>
    <cellStyle name="Style 221 2 3 2" xfId="7666" xr:uid="{2B518074-90CD-48BF-AC23-BF9E23637387}"/>
    <cellStyle name="Style 221 2 4" xfId="5554" xr:uid="{97753794-4567-49FD-BC5E-793174817FB4}"/>
    <cellStyle name="Style 221 2 4 2" xfId="7217" xr:uid="{D4581B73-BCC5-485D-9A91-180235127544}"/>
    <cellStyle name="Style 221 2 5" xfId="6288" xr:uid="{95F128EF-5A8C-4ECD-BB8F-D2B1819A4C6E}"/>
    <cellStyle name="Style 221 2 5 2" xfId="7935" xr:uid="{3D8194A4-5793-42E6-80BF-7EA7D58523D8}"/>
    <cellStyle name="Style 221 2 6" xfId="6511" xr:uid="{60E2C111-8B5D-4B75-8418-8D0676F86EBF}"/>
    <cellStyle name="Style 221 3" xfId="4897" xr:uid="{DBEFC137-B771-456C-868E-B1861ECF146A}"/>
    <cellStyle name="Style 221 3 2" xfId="5889" xr:uid="{04C020D3-0C5F-4A11-A722-26545F4E3B49}"/>
    <cellStyle name="Style 221 3 2 2" xfId="7542" xr:uid="{FCE745FA-C5C5-415C-8FEC-757741B3E945}"/>
    <cellStyle name="Style 221 3 3" xfId="6085" xr:uid="{15CE7F63-A7F0-4541-B506-EB3E6030C39D}"/>
    <cellStyle name="Style 221 3 3 2" xfId="7737" xr:uid="{86C81790-E437-447B-BC8C-7E99052E18C5}"/>
    <cellStyle name="Style 221 3 4" xfId="5486" xr:uid="{063D3DD3-8D04-4262-A206-0E902508D88C}"/>
    <cellStyle name="Style 221 3 4 2" xfId="7150" xr:uid="{9D63E945-06EC-4572-A133-08A87AFF0C4A}"/>
    <cellStyle name="Style 221 3 5" xfId="6582" xr:uid="{CCB3E53A-4091-4B7A-BDBE-85C3015E858E}"/>
    <cellStyle name="Style 221 4" xfId="5627" xr:uid="{E9F25C71-DDF8-4A02-AF9B-2DA9331A080A}"/>
    <cellStyle name="Style 221 4 2" xfId="7287" xr:uid="{012B7DB0-CBDB-4D16-881F-B7522B06E883}"/>
    <cellStyle name="Style 221 5" xfId="5002" xr:uid="{0A78CCC4-EEF9-4236-8DEC-9F97FF0A7452}"/>
    <cellStyle name="Style 221 5 2" xfId="6681" xr:uid="{11681701-2A52-4807-8A2F-F55B3FCCB583}"/>
    <cellStyle name="Style 221 6" xfId="5595" xr:uid="{09F70B95-5B76-4731-82AB-8A1951549B75}"/>
    <cellStyle name="Style 221 6 2" xfId="7256" xr:uid="{676E958D-0254-442B-AADB-09327690291D}"/>
    <cellStyle name="Style 221 7" xfId="5338" xr:uid="{D345BCB4-7B75-4508-A7BC-AA74B57AF132}"/>
    <cellStyle name="Style 221 7 2" xfId="7003" xr:uid="{C7EB07F2-A31B-4A07-A9C4-B29FB5227674}"/>
    <cellStyle name="Style 221 8" xfId="6389" xr:uid="{2974E76A-D3AB-4A5C-813C-8EF30F54B9E4}"/>
    <cellStyle name="Style 222" xfId="4475" xr:uid="{F63F3DC0-2213-4317-BCC9-888EB1397BE7}"/>
    <cellStyle name="Style 222 2" xfId="4823" xr:uid="{4FFA9DB2-F5C7-4900-AC43-C46322D79F19}"/>
    <cellStyle name="Style 222 2 2" xfId="5817" xr:uid="{F36E4933-37EA-410B-87B7-AC46293CECAC}"/>
    <cellStyle name="Style 222 2 2 2" xfId="7470" xr:uid="{C4205E92-DB37-472F-B533-BD438253C7D4}"/>
    <cellStyle name="Style 222 2 3" xfId="6015" xr:uid="{2DAC7B53-C0BF-4F1C-AE39-6B927000CDA8}"/>
    <cellStyle name="Style 222 2 3 2" xfId="7667" xr:uid="{760699C3-7E83-46FF-9046-84721ACDA75A}"/>
    <cellStyle name="Style 222 2 4" xfId="5434" xr:uid="{AE4C1FFE-D7FD-4997-8532-C74329AE5503}"/>
    <cellStyle name="Style 222 2 4 2" xfId="7098" xr:uid="{6A3B20DC-D08B-4139-9B5F-F479B7ECDA88}"/>
    <cellStyle name="Style 222 2 5" xfId="6289" xr:uid="{0F9D3CAC-399D-45C4-BBB9-258EDAB73A8F}"/>
    <cellStyle name="Style 222 2 5 2" xfId="7936" xr:uid="{48F6268C-D4CF-43F3-B367-BC685CFCD554}"/>
    <cellStyle name="Style 222 2 6" xfId="6512" xr:uid="{D95C99BE-41FC-46B7-9104-7CFBCB10EBC9}"/>
    <cellStyle name="Style 222 3" xfId="4896" xr:uid="{9FF0A2EE-DEAB-4A30-9AC7-9F15FB3C5E64}"/>
    <cellStyle name="Style 222 3 2" xfId="5888" xr:uid="{6608060B-44E5-454D-AF4A-3DB34079F9AA}"/>
    <cellStyle name="Style 222 3 2 2" xfId="7541" xr:uid="{EEFFA7DF-F723-48A0-A210-B8BF4B570476}"/>
    <cellStyle name="Style 222 3 3" xfId="6084" xr:uid="{DFAAAC57-596F-4CAD-992E-BDB783EAE691}"/>
    <cellStyle name="Style 222 3 3 2" xfId="7736" xr:uid="{A8539803-5A02-45DC-A6D1-6E8D700477AF}"/>
    <cellStyle name="Style 222 3 4" xfId="5485" xr:uid="{E3F25C48-E2FD-42DE-AC75-CC1917C4268E}"/>
    <cellStyle name="Style 222 3 4 2" xfId="7149" xr:uid="{2AFF05E9-E7C2-428F-BB99-870D0E24FBAE}"/>
    <cellStyle name="Style 222 3 5" xfId="6581" xr:uid="{434E958B-AE37-481D-A786-4BC10C1B162F}"/>
    <cellStyle name="Style 222 4" xfId="5628" xr:uid="{C34B5F55-466F-47EC-B41C-95DE89304A7A}"/>
    <cellStyle name="Style 222 4 2" xfId="7288" xr:uid="{8E046D81-E0D4-4BF2-ADB5-B842AFA8DEA5}"/>
    <cellStyle name="Style 222 5" xfId="5001" xr:uid="{2B4352B3-1ACD-434F-B65F-637199F09DA9}"/>
    <cellStyle name="Style 222 5 2" xfId="6680" xr:uid="{AA787DC4-CC67-40A3-8944-1B78BBF389C0}"/>
    <cellStyle name="Style 222 6" xfId="5596" xr:uid="{2819BD3C-00EF-45B6-9D67-242A8D408FD2}"/>
    <cellStyle name="Style 222 6 2" xfId="7257" xr:uid="{44E9850F-6BCB-4D3D-B9A7-8FB5E9574346}"/>
    <cellStyle name="Style 222 7" xfId="5339" xr:uid="{01A47FD3-B7B0-4BB4-AA26-3B6F08E51D19}"/>
    <cellStyle name="Style 222 7 2" xfId="7004" xr:uid="{BF86FD99-2D5F-4890-9423-A18FCFAAF0F1}"/>
    <cellStyle name="Style 222 8" xfId="6390" xr:uid="{502C78BA-88D7-46E2-B288-E1505ACCBF46}"/>
    <cellStyle name="Style 223" xfId="4476" xr:uid="{BC4AAD9D-E328-4996-892D-15AB2F0285F3}"/>
    <cellStyle name="Style 223 2" xfId="4824" xr:uid="{2C66FD06-82B4-45AB-B2C9-A64DAF1AD166}"/>
    <cellStyle name="Style 223 2 2" xfId="5818" xr:uid="{CFC37BE9-003D-41B0-9077-CDF79DE8F964}"/>
    <cellStyle name="Style 223 2 2 2" xfId="7471" xr:uid="{66130E8C-48A6-4622-B944-2D3C708E79C0}"/>
    <cellStyle name="Style 223 2 3" xfId="6016" xr:uid="{35BC128C-73C5-4DA5-8998-769D590E7D31}"/>
    <cellStyle name="Style 223 2 3 2" xfId="7668" xr:uid="{C9C574CC-3D2A-4F75-8952-0450C5F46B22}"/>
    <cellStyle name="Style 223 2 4" xfId="5635" xr:uid="{581679EE-ED8D-40A1-8B91-DD2BA7EA8298}"/>
    <cellStyle name="Style 223 2 4 2" xfId="7295" xr:uid="{E584E13A-4D8D-4E66-A1A6-428851A4C31B}"/>
    <cellStyle name="Style 223 2 5" xfId="6290" xr:uid="{7C734197-EEC7-4407-B574-C45E9E17CEF5}"/>
    <cellStyle name="Style 223 2 5 2" xfId="7937" xr:uid="{CA693511-B768-4F60-BD88-FC3415C91C8A}"/>
    <cellStyle name="Style 223 2 6" xfId="6513" xr:uid="{88EE408F-41EC-4450-BA8E-0CB40820E31D}"/>
    <cellStyle name="Style 223 3" xfId="4895" xr:uid="{8BFB4D9A-42D3-48A5-9248-6258143D7F63}"/>
    <cellStyle name="Style 223 3 2" xfId="5887" xr:uid="{144B2B66-E3B3-4970-AB64-3AE0BF2F6A2E}"/>
    <cellStyle name="Style 223 3 2 2" xfId="7540" xr:uid="{53A342F7-4D5F-4E06-B572-3B7CB850BFAC}"/>
    <cellStyle name="Style 223 3 3" xfId="6083" xr:uid="{29AE2F77-6900-454E-A291-B3386348E2A4}"/>
    <cellStyle name="Style 223 3 3 2" xfId="7735" xr:uid="{C9174494-04DE-4167-A205-391DBC76010A}"/>
    <cellStyle name="Style 223 3 4" xfId="5484" xr:uid="{A4AD8552-33FE-4C1B-9C7D-240FA8746A90}"/>
    <cellStyle name="Style 223 3 4 2" xfId="7148" xr:uid="{8386968B-F3AB-4E05-96CE-50EBBF84E59C}"/>
    <cellStyle name="Style 223 3 5" xfId="6580" xr:uid="{E084DE8E-62A4-4B73-9819-D90DD943B2E8}"/>
    <cellStyle name="Style 223 4" xfId="5629" xr:uid="{8FB9CED2-ADF1-4926-BA75-E2A73598088E}"/>
    <cellStyle name="Style 223 4 2" xfId="7289" xr:uid="{92AE1EBE-3F84-4BC3-B6B4-AFC844CE90F4}"/>
    <cellStyle name="Style 223 5" xfId="5000" xr:uid="{2ACA5DD9-5A2D-48E8-B34B-DC2CEA4AD408}"/>
    <cellStyle name="Style 223 5 2" xfId="6679" xr:uid="{8C9251C6-7F5C-44A3-A200-C8C73AFC27D6}"/>
    <cellStyle name="Style 223 6" xfId="5597" xr:uid="{6801D500-EE6E-4429-B1D8-35B6714A9AC5}"/>
    <cellStyle name="Style 223 6 2" xfId="7258" xr:uid="{3117FED0-99F8-454A-90B4-94D553C1013C}"/>
    <cellStyle name="Style 223 7" xfId="5340" xr:uid="{70791BE1-B54D-412A-9DAF-22FF46F055E5}"/>
    <cellStyle name="Style 223 7 2" xfId="7005" xr:uid="{6715FA9F-83BB-48BE-873F-D1441657315D}"/>
    <cellStyle name="Style 223 8" xfId="6391" xr:uid="{06796B6F-21CD-4573-A15F-73340696F44B}"/>
    <cellStyle name="Style 224" xfId="4477" xr:uid="{0F50236C-AE79-44A0-85E3-893942649A52}"/>
    <cellStyle name="Style 225" xfId="4478" xr:uid="{A09A3D97-9984-46C6-BC47-DDC733617D25}"/>
    <cellStyle name="Style 226" xfId="4479" xr:uid="{1C0473FA-8A45-46B1-AE04-B6E7C1A487EF}"/>
    <cellStyle name="Style 226 2" xfId="4480" xr:uid="{02928765-62D7-4BE5-84EE-E3BFF9B42D67}"/>
    <cellStyle name="Style 227" xfId="4481" xr:uid="{192DB217-AB7E-4BA0-9741-C06B0B7DC538}"/>
    <cellStyle name="Style 228" xfId="4482" xr:uid="{CC51BDB4-E138-42A0-9526-1AD3D8119684}"/>
    <cellStyle name="Style 229" xfId="4483" xr:uid="{A58DCA40-ED62-4A60-8100-743F96491900}"/>
    <cellStyle name="Style 229 2" xfId="4484" xr:uid="{075D9F57-171E-4982-B929-28C54111E1CB}"/>
    <cellStyle name="Style 230" xfId="4485" xr:uid="{6970069C-4FB4-4605-9E78-066DB717B4C3}"/>
    <cellStyle name="Style 230 2" xfId="4486" xr:uid="{D7924779-8485-4857-A6E1-AF656DD0AB36}"/>
    <cellStyle name="Style 231" xfId="4487" xr:uid="{8AA8E0C4-E8C2-4706-89B8-DAD55C96BB24}"/>
    <cellStyle name="Style 232" xfId="4488" xr:uid="{8DEF6243-6556-4694-80D2-9C097D0D53FB}"/>
    <cellStyle name="Style 233" xfId="4489" xr:uid="{4A79B93A-4619-404E-B7E0-B5530961F3E9}"/>
    <cellStyle name="Style 233 2" xfId="4490" xr:uid="{00159F2A-EF77-44D2-B162-AA80AC1C8D6A}"/>
    <cellStyle name="Style 234" xfId="4491" xr:uid="{2F71864F-CE97-4DEE-9C67-BA97DAD19603}"/>
    <cellStyle name="Style 235" xfId="4492" xr:uid="{FE10A501-3676-4A78-B1DB-5EC69021DBBD}"/>
    <cellStyle name="Style 236" xfId="4493" xr:uid="{D759F23D-052A-439D-B389-C13EDF453464}"/>
    <cellStyle name="Style 236 2" xfId="4494" xr:uid="{BBFAEFCC-BA71-44DF-B335-3B89359053CC}"/>
    <cellStyle name="Style 237" xfId="4495" xr:uid="{80967078-F8AF-4753-9DAB-AE94E424D37A}"/>
    <cellStyle name="Style 238" xfId="4496" xr:uid="{BC9B9788-2A77-4011-A82B-6E1AFBF997CD}"/>
    <cellStyle name="Style 239" xfId="4497" xr:uid="{0505CE74-DE8F-4801-9716-BB3E35F10248}"/>
    <cellStyle name="Style 239 2" xfId="4498" xr:uid="{076472AB-8ECF-438D-AB95-85D20915DE38}"/>
    <cellStyle name="Style 240" xfId="4499" xr:uid="{5335CCF1-6CFE-4998-A8E2-CE42E1CD264B}"/>
    <cellStyle name="Style 241" xfId="4500" xr:uid="{F8CEDA81-FDE8-4A99-BC3A-588714728A39}"/>
    <cellStyle name="Style 242" xfId="4501" xr:uid="{7C4BA864-B163-4F09-ACC1-CEE0D2D92BC2}"/>
    <cellStyle name="Style 243" xfId="4502" xr:uid="{AEC2CA95-BE86-4E24-AD5C-4FF5E5525775}"/>
    <cellStyle name="Style 244" xfId="4503" xr:uid="{8B62874F-E130-4CEA-99E4-8A002FCEF645}"/>
    <cellStyle name="Style 244 2" xfId="4825" xr:uid="{BFC78C01-1E17-4869-B574-C85BBB180621}"/>
    <cellStyle name="Style 244 2 2" xfId="5819" xr:uid="{2DB8EFF1-1B9C-4713-95AF-B9C682D5AB6C}"/>
    <cellStyle name="Style 244 2 2 2" xfId="7472" xr:uid="{99BDBEC9-41FD-475A-A802-5029FB9FF3C4}"/>
    <cellStyle name="Style 244 2 3" xfId="6017" xr:uid="{398F2649-8FDE-4C14-B8D1-879812E39EF5}"/>
    <cellStyle name="Style 244 2 3 2" xfId="7669" xr:uid="{D64C8789-9D24-4934-8751-709B27975B4B}"/>
    <cellStyle name="Style 244 2 4" xfId="5553" xr:uid="{FA1F8A86-26C9-4BE1-BF8A-1ACB21CA4F30}"/>
    <cellStyle name="Style 244 2 4 2" xfId="7216" xr:uid="{7FA01AB8-73B5-4A2E-BF47-245A30E9D61E}"/>
    <cellStyle name="Style 244 2 5" xfId="6291" xr:uid="{70EC5EBF-7023-4742-AF88-74D386119D60}"/>
    <cellStyle name="Style 244 2 5 2" xfId="7938" xr:uid="{CA038778-8D70-43DE-8FF9-3688CCA5DBDB}"/>
    <cellStyle name="Style 244 2 6" xfId="6514" xr:uid="{8F0DC805-96E3-4D0F-B8F0-EC99F7C47DE3}"/>
    <cellStyle name="Style 244 3" xfId="4894" xr:uid="{CFC1E54A-64DD-4B8E-87EE-39B441E4DC95}"/>
    <cellStyle name="Style 244 3 2" xfId="5886" xr:uid="{C672FA93-E5E6-46A2-88AC-5B1BFE035FBD}"/>
    <cellStyle name="Style 244 3 2 2" xfId="7539" xr:uid="{D1C96765-6FEB-455F-986D-584E582A8074}"/>
    <cellStyle name="Style 244 3 3" xfId="6082" xr:uid="{94B3CB70-6E89-4C67-91AC-47FB2A7CBAEC}"/>
    <cellStyle name="Style 244 3 3 2" xfId="7734" xr:uid="{91F3B1FB-29D9-4237-A46D-7EDDC1E2D9B1}"/>
    <cellStyle name="Style 244 3 4" xfId="5483" xr:uid="{34DD5B22-35F0-47D3-9C01-506B1458F855}"/>
    <cellStyle name="Style 244 3 4 2" xfId="7147" xr:uid="{19D5E2CB-AFFE-47C1-965F-4F9BD63A06FC}"/>
    <cellStyle name="Style 244 3 5" xfId="6579" xr:uid="{F45085A3-A794-45E3-8121-B3462AE5364E}"/>
    <cellStyle name="Style 244 4" xfId="5643" xr:uid="{CC4FE32E-8BB0-4AD8-B347-E0988A91719B}"/>
    <cellStyle name="Style 244 4 2" xfId="7303" xr:uid="{A41D0966-12B8-4765-ABB6-497B4C8D3032}"/>
    <cellStyle name="Style 244 5" xfId="4996" xr:uid="{84D64C68-E12E-470E-8B3D-1EBD94C54289}"/>
    <cellStyle name="Style 244 5 2" xfId="6675" xr:uid="{92AFC807-D1DC-4E9B-AE67-6D1C6CF9B7BD}"/>
    <cellStyle name="Style 244 6" xfId="5611" xr:uid="{7E48D160-6E82-4024-A2D7-80D8F8BC05E8}"/>
    <cellStyle name="Style 244 6 2" xfId="7271" xr:uid="{19225D7C-CE6C-46B7-BE99-A20447BD1DED}"/>
    <cellStyle name="Style 244 7" xfId="5355" xr:uid="{BE8B7C52-6BF9-4294-8F94-1CA11FE2D883}"/>
    <cellStyle name="Style 244 7 2" xfId="7020" xr:uid="{7FDF8A9D-0EB9-4022-9405-7C746D3F3EC4}"/>
    <cellStyle name="Style 244 8" xfId="6392" xr:uid="{A18A0740-C39F-4773-9868-6C26A29DDE26}"/>
    <cellStyle name="Style 245" xfId="4504" xr:uid="{B633E1DA-D16D-4199-A0D8-36B679B05E45}"/>
    <cellStyle name="Style 245 10" xfId="6393" xr:uid="{EFD74196-3F38-4EA9-9C78-7D2E90D76EAD}"/>
    <cellStyle name="Style 245 2" xfId="4826" xr:uid="{F336F2B3-2007-42EA-8599-B1C782C53F48}"/>
    <cellStyle name="Style 245 2 10" xfId="6320" xr:uid="{79BC7E4F-FAE6-4B51-9098-F828728844D1}"/>
    <cellStyle name="Style 245 2 10 2" xfId="7967" xr:uid="{60A0A505-8199-4EF6-B293-700889E42AAD}"/>
    <cellStyle name="Style 245 2 11" xfId="6515" xr:uid="{1DC65D70-C7EC-49F6-B0C7-667FC6F95728}"/>
    <cellStyle name="Style 245 2 2" xfId="5820" xr:uid="{5940D39E-7324-4963-B25B-911335E6A8ED}"/>
    <cellStyle name="Style 245 2 2 2" xfId="7473" xr:uid="{B9C6545A-9DD7-4F31-B346-4A3C1895EA37}"/>
    <cellStyle name="Style 245 2 3" xfId="6018" xr:uid="{2E74EE7B-AA93-4A94-9211-61F6F563C69A}"/>
    <cellStyle name="Style 245 2 3 2" xfId="7670" xr:uid="{747F3B91-4C46-4CAD-A138-42B2B111DF48}"/>
    <cellStyle name="Style 245 2 4" xfId="6156" xr:uid="{1FD01AAF-B63D-440D-AED6-CD20FF984ACB}"/>
    <cellStyle name="Style 245 2 4 2" xfId="7806" xr:uid="{A77BA209-36C0-42F3-AE82-C43A6E3974DD}"/>
    <cellStyle name="Style 245 2 5" xfId="5030" xr:uid="{453725B4-01AC-4700-87F2-F692FCEF8FEF}"/>
    <cellStyle name="Style 245 2 5 2" xfId="6707" xr:uid="{1DC6BB36-7B75-4DDD-9D62-F6883228CBC8}"/>
    <cellStyle name="Style 245 2 6" xfId="5531" xr:uid="{CC0867A5-87A3-45F8-A36F-ECA888F93459}"/>
    <cellStyle name="Style 245 2 6 2" xfId="7195" xr:uid="{059826C5-DEE1-4FA0-B3EF-E8B18FBBF243}"/>
    <cellStyle name="Style 245 2 7" xfId="5435" xr:uid="{C81A3E8E-25C4-4BDA-A621-CA20A8A4FD29}"/>
    <cellStyle name="Style 245 2 7 2" xfId="7099" xr:uid="{2D360C9C-39E3-4E59-B945-99BC2D7FABCF}"/>
    <cellStyle name="Style 245 2 8" xfId="6292" xr:uid="{D7DFE754-BF1D-43DB-AB1A-59795986905A}"/>
    <cellStyle name="Style 245 2 8 2" xfId="7939" xr:uid="{29ADE508-77DD-44D3-9BBC-960869855C6B}"/>
    <cellStyle name="Style 245 2 9" xfId="5368" xr:uid="{3BA92E21-D037-414F-A0A4-0BB44BB8499A}"/>
    <cellStyle name="Style 245 2 9 2" xfId="7033" xr:uid="{B12FB64A-F854-44B9-820A-A41133127B65}"/>
    <cellStyle name="Style 245 3" xfId="4995" xr:uid="{44A5E7C2-3119-457E-932A-E80DD99A234A}"/>
    <cellStyle name="Style 245 3 2" xfId="6674" xr:uid="{5D1CF870-681F-4D08-A31A-390E092A1010}"/>
    <cellStyle name="Style 245 4" xfId="4983" xr:uid="{2DAAFFB0-3BF0-418F-84D7-10D408D475FB}"/>
    <cellStyle name="Style 245 4 2" xfId="6662" xr:uid="{A9961C38-701F-476F-A1E4-8101107BA0AD}"/>
    <cellStyle name="Style 245 5" xfId="5085" xr:uid="{08014EF1-5B65-4E69-A5BF-FC8791E9C5B2}"/>
    <cellStyle name="Style 245 5 2" xfId="6759" xr:uid="{B3E1A3E2-A2A7-4D23-B7F4-CFF78698D1C7}"/>
    <cellStyle name="Style 245 6" xfId="5356" xr:uid="{4C70E342-9DD6-40CE-BCF4-09FC035D9AF3}"/>
    <cellStyle name="Style 245 6 2" xfId="7021" xr:uid="{2090E618-F067-4942-B552-C448A769CF11}"/>
    <cellStyle name="Style 245 7" xfId="6192" xr:uid="{65E95DCE-E8DF-40DC-93F6-68F9006A6B5E}"/>
    <cellStyle name="Style 245 7 2" xfId="7839" xr:uid="{FAAFFEDC-160E-4667-AD02-8B0BE1A4EE09}"/>
    <cellStyle name="Style 245 8" xfId="5287" xr:uid="{C73475A5-116F-4ADF-9494-4EE9E1EFD1C8}"/>
    <cellStyle name="Style 245 8 2" xfId="6953" xr:uid="{4C074F6F-B9EA-460F-890E-939CB9469C51}"/>
    <cellStyle name="Style 245 9" xfId="5300" xr:uid="{0D8456DE-613C-43A5-A1B4-21867BD0B144}"/>
    <cellStyle name="Style 245 9 2" xfId="6966" xr:uid="{1157E28C-F056-42CF-B906-6B31D07DB6C0}"/>
    <cellStyle name="Style 246" xfId="4505" xr:uid="{80610D0F-24F2-4A57-BCCD-6026A5898B90}"/>
    <cellStyle name="Style 246 10" xfId="6394" xr:uid="{35D1213F-3E1D-42E2-A9F1-D3CC9CC06D90}"/>
    <cellStyle name="Style 246 2" xfId="4827" xr:uid="{9733A3ED-7B4F-48AE-A90E-E7BDEB1E68D1}"/>
    <cellStyle name="Style 246 2 10" xfId="5107" xr:uid="{AC9C2978-1818-439D-8F14-A385101A1094}"/>
    <cellStyle name="Style 246 2 10 2" xfId="6781" xr:uid="{F1D3B2C2-28EA-4F7B-A69B-3BCE8A101193}"/>
    <cellStyle name="Style 246 2 11" xfId="6516" xr:uid="{7F791890-11E1-4E5A-994D-3904E78FC452}"/>
    <cellStyle name="Style 246 2 2" xfId="5821" xr:uid="{0903F30D-3029-4F81-B324-5F5E9EE34F1F}"/>
    <cellStyle name="Style 246 2 2 2" xfId="7474" xr:uid="{D62C9767-AE65-483B-BB7B-3CBEE1889FB6}"/>
    <cellStyle name="Style 246 2 3" xfId="6019" xr:uid="{05AD46EA-5A47-4383-9109-9D76422D71F6}"/>
    <cellStyle name="Style 246 2 3 2" xfId="7671" xr:uid="{985B3BE7-BCC4-428E-B078-963413876EF8}"/>
    <cellStyle name="Style 246 2 4" xfId="6157" xr:uid="{28FA51F1-3F1A-4FA2-AA3E-CBA8A1834A9B}"/>
    <cellStyle name="Style 246 2 4 2" xfId="7807" xr:uid="{FC025EF1-27A0-4C8C-ABF5-9F4E8F64EAFD}"/>
    <cellStyle name="Style 246 2 5" xfId="6158" xr:uid="{CEB2A6C1-7B30-4125-9B0C-C957C7C1E469}"/>
    <cellStyle name="Style 246 2 5 2" xfId="7808" xr:uid="{DC1476F6-FDC6-4B02-AC31-6B7E31B5D6D0}"/>
    <cellStyle name="Style 246 2 6" xfId="5532" xr:uid="{516167FA-7868-4771-AA8C-17C789D3149C}"/>
    <cellStyle name="Style 246 2 6 2" xfId="7196" xr:uid="{6DA05880-E42E-4C64-B58B-F9D64E00FFAA}"/>
    <cellStyle name="Style 246 2 7" xfId="5436" xr:uid="{9E910DD8-71EA-4145-BE10-575B2BB2DA61}"/>
    <cellStyle name="Style 246 2 7 2" xfId="7100" xr:uid="{194B3791-475B-4B19-BAA7-8EB11FD46C2B}"/>
    <cellStyle name="Style 246 2 8" xfId="6293" xr:uid="{4C3DEA85-0F23-40EC-8DD2-01E31378AEC3}"/>
    <cellStyle name="Style 246 2 8 2" xfId="7940" xr:uid="{1881628F-4D7B-47BF-9C99-98603D354A70}"/>
    <cellStyle name="Style 246 2 9" xfId="5369" xr:uid="{3AAB096E-2E55-469F-8355-9CEC7C4F69A7}"/>
    <cellStyle name="Style 246 2 9 2" xfId="7034" xr:uid="{EC99A362-12E3-4ACD-AEB3-E74572E9C92F}"/>
    <cellStyle name="Style 246 3" xfId="4994" xr:uid="{BA949B41-F4F9-4F80-93F3-886189FC4EBA}"/>
    <cellStyle name="Style 246 3 2" xfId="6673" xr:uid="{8C98F7DA-FAD1-4225-AE03-F07D0B223523}"/>
    <cellStyle name="Style 246 4" xfId="4982" xr:uid="{D5DA8EC1-6663-44D4-9060-552C48599935}"/>
    <cellStyle name="Style 246 4 2" xfId="6661" xr:uid="{B6797F14-6FFB-40C8-BA2F-425CA8662349}"/>
    <cellStyle name="Style 246 5" xfId="5084" xr:uid="{B75C28F3-1EF2-40B6-BFEA-7F789BAF37D3}"/>
    <cellStyle name="Style 246 5 2" xfId="6758" xr:uid="{3A01520F-B378-47E0-B6CD-83AF3FD2E232}"/>
    <cellStyle name="Style 246 6" xfId="5357" xr:uid="{B3D6F1DA-0773-4DCA-8750-E8E7A2BE4F53}"/>
    <cellStyle name="Style 246 6 2" xfId="7022" xr:uid="{0B3E8862-6050-40DA-800A-EBED701D4BD8}"/>
    <cellStyle name="Style 246 7" xfId="5118" xr:uid="{83B7EB20-123E-4F21-A54D-76C167749731}"/>
    <cellStyle name="Style 246 7 2" xfId="6792" xr:uid="{9BDD5267-4DF8-4109-884E-A599FA6343E9}"/>
    <cellStyle name="Style 246 8" xfId="5288" xr:uid="{30941382-E753-40C8-B824-296BAB47B3E5}"/>
    <cellStyle name="Style 246 8 2" xfId="6954" xr:uid="{48BD1B94-898C-4DED-BBFC-DD9CD1C395C0}"/>
    <cellStyle name="Style 246 9" xfId="6122" xr:uid="{809A5434-3DFA-472E-B07A-7F4AFAD12742}"/>
    <cellStyle name="Style 246 9 2" xfId="7772" xr:uid="{CACB429D-6713-4DB3-B684-F8080F1A88E3}"/>
    <cellStyle name="Style 247" xfId="4506" xr:uid="{269AA131-A13D-4B63-B896-4DB0BE98A3F2}"/>
    <cellStyle name="Style 248" xfId="4507" xr:uid="{F25EC95D-C8C2-483C-A3F0-15AAB31A8418}"/>
    <cellStyle name="Style 249" xfId="4508" xr:uid="{20676964-F503-4D5F-B3F1-0D62B14CA22D}"/>
    <cellStyle name="Style 250" xfId="4509" xr:uid="{ACB959D1-896F-4D47-AB0F-03D67A894213}"/>
    <cellStyle name="Style 251" xfId="4510" xr:uid="{F97EC545-8C68-40B7-A41D-DFEC5DD43E78}"/>
    <cellStyle name="Style 252" xfId="4511" xr:uid="{69FA3B75-8B14-4021-9EFB-9DFACCBE1D2C}"/>
    <cellStyle name="Style 253" xfId="4512" xr:uid="{F33F5F67-01B2-4EBD-9B07-35919811CD57}"/>
    <cellStyle name="Style 253 2" xfId="4513" xr:uid="{B437C0F0-9920-4E0B-8015-1F02FC853ADC}"/>
    <cellStyle name="Style 254" xfId="4514" xr:uid="{5B5FD5EA-1B62-4055-B921-7205C871272E}"/>
    <cellStyle name="Style 254 2" xfId="4515" xr:uid="{730587ED-79E5-4552-80B5-467ABD4AA94A}"/>
    <cellStyle name="Style 255" xfId="4516" xr:uid="{851314B9-2F1C-4813-80BB-FB51E620ED82}"/>
    <cellStyle name="Style 256" xfId="4517" xr:uid="{AB4B258B-4A85-4BED-A345-254274570D11}"/>
    <cellStyle name="Style 257" xfId="4518" xr:uid="{37AC8263-889D-404A-A23E-57E8DDE533FE}"/>
    <cellStyle name="Style 257 2" xfId="4519" xr:uid="{13E08612-F825-4811-BB75-14D6DE1172CD}"/>
    <cellStyle name="Style 258" xfId="4520" xr:uid="{BE1424F3-70F8-4C20-9E52-2AC0A6DDDC99}"/>
    <cellStyle name="Style 258 2" xfId="4521" xr:uid="{056C4D06-A513-4489-B551-D58FF04D3B7D}"/>
    <cellStyle name="Style 259" xfId="4522" xr:uid="{DD1372FC-8E6D-44B3-9904-3CA006C69463}"/>
    <cellStyle name="Style 259 2" xfId="4828" xr:uid="{0BFC1693-ADC1-490B-8986-A0C437FA1D2A}"/>
    <cellStyle name="Style 259 2 2" xfId="5822" xr:uid="{BD582A92-50F2-413C-8CA2-BA89C2E71CB4}"/>
    <cellStyle name="Style 259 2 2 2" xfId="7475" xr:uid="{42F77198-A2E8-4DBF-9766-1F3523158843}"/>
    <cellStyle name="Style 259 2 3" xfId="6020" xr:uid="{2D5A34E4-9456-4E48-959E-96CBDE898B65}"/>
    <cellStyle name="Style 259 2 3 2" xfId="7672" xr:uid="{088E9831-85E9-4CA1-A7F1-3E1180597719}"/>
    <cellStyle name="Style 259 2 4" xfId="5437" xr:uid="{4242F40B-4326-4F41-BB05-059AA48788FF}"/>
    <cellStyle name="Style 259 2 4 2" xfId="7101" xr:uid="{6022552F-8BAD-47DC-B125-C3EDAE19D71A}"/>
    <cellStyle name="Style 259 2 5" xfId="6294" xr:uid="{D853C80B-4BFE-45B5-B371-C504223D1B69}"/>
    <cellStyle name="Style 259 2 5 2" xfId="7941" xr:uid="{20395C05-357D-4422-BA1D-817FCFA62045}"/>
    <cellStyle name="Style 259 2 6" xfId="6517" xr:uid="{8B6D9399-3575-432C-AEF8-538F15C471D6}"/>
    <cellStyle name="Style 259 3" xfId="4893" xr:uid="{DD1E12D6-444A-4DF3-A684-970DA79C8230}"/>
    <cellStyle name="Style 259 3 2" xfId="5885" xr:uid="{78A04D2D-45E3-46D0-9592-09387DCEDC3F}"/>
    <cellStyle name="Style 259 3 2 2" xfId="7538" xr:uid="{B9FDBCB1-0CEC-41DB-99DD-8C08E0A2E073}"/>
    <cellStyle name="Style 259 3 3" xfId="6081" xr:uid="{2767D1E4-3063-4CEF-99F4-042F057A82E9}"/>
    <cellStyle name="Style 259 3 3 2" xfId="7733" xr:uid="{570C8CBF-6993-4DA9-95DD-B547679A5F90}"/>
    <cellStyle name="Style 259 3 4" xfId="5482" xr:uid="{D8B27DAF-B309-4B0F-8EDC-72671B8C3376}"/>
    <cellStyle name="Style 259 3 4 2" xfId="7146" xr:uid="{6E22264A-D9B7-42B4-8D9D-CB4B7E627899}"/>
    <cellStyle name="Style 259 3 5" xfId="6578" xr:uid="{783260C1-AE05-45F8-BCFC-53490111D5B1}"/>
    <cellStyle name="Style 259 4" xfId="5650" xr:uid="{554B52BD-E30B-4265-9BAA-E5D59A4A3BDF}"/>
    <cellStyle name="Style 259 4 2" xfId="7310" xr:uid="{8814F709-4603-4ACB-B760-BE515106D85D}"/>
    <cellStyle name="Style 259 5" xfId="4993" xr:uid="{55194A70-2310-4FFE-94D5-D4E8EA9DDA6A}"/>
    <cellStyle name="Style 259 5 2" xfId="6672" xr:uid="{633AB928-7AF9-4E4D-A203-FB3C3CAFA59A}"/>
    <cellStyle name="Style 259 6" xfId="5613" xr:uid="{1CF9538E-3E6E-4654-8A8F-0B00AEBF1C9F}"/>
    <cellStyle name="Style 259 6 2" xfId="7273" xr:uid="{DBF08911-9C6A-44F2-90C1-282656D757B8}"/>
    <cellStyle name="Style 259 7" xfId="5358" xr:uid="{98982218-A065-4FA1-9E49-95F71584FEA8}"/>
    <cellStyle name="Style 259 7 2" xfId="7023" xr:uid="{969B5FA6-DC3F-41E1-840C-246BAD13F0C2}"/>
    <cellStyle name="Style 259 8" xfId="6395" xr:uid="{2D3484F6-EEC6-41F4-B1A1-FFC6843D775F}"/>
    <cellStyle name="Style 260" xfId="4523" xr:uid="{2E355461-A055-4B28-BB50-AC842F4A9FA7}"/>
    <cellStyle name="Style 260 2" xfId="4829" xr:uid="{F65E0B5E-A689-4AA7-88F7-A3F27D17C788}"/>
    <cellStyle name="Style 260 2 2" xfId="5823" xr:uid="{AF2CAAF4-880E-4191-B9DE-F6D8748B4122}"/>
    <cellStyle name="Style 260 2 2 2" xfId="7476" xr:uid="{B4454E91-F8DA-4F38-8250-6E96806E0AD2}"/>
    <cellStyle name="Style 260 2 3" xfId="6021" xr:uid="{91600389-5B9F-4D69-B683-B29A7E7D5C08}"/>
    <cellStyle name="Style 260 2 3 2" xfId="7673" xr:uid="{99F0B26E-D7B6-476F-9961-3D1F0A67F321}"/>
    <cellStyle name="Style 260 2 4" xfId="5438" xr:uid="{49DEE428-102B-4C2D-A2D6-25CF6DEA4EA5}"/>
    <cellStyle name="Style 260 2 4 2" xfId="7102" xr:uid="{21C8A525-D865-4694-BF5E-D6B69598A3AE}"/>
    <cellStyle name="Style 260 2 5" xfId="6295" xr:uid="{52EA7602-78B5-4CAD-84AB-FA0A97500646}"/>
    <cellStyle name="Style 260 2 5 2" xfId="7942" xr:uid="{6BFC634E-41C9-425F-BFC0-FB0BD2264F64}"/>
    <cellStyle name="Style 260 2 6" xfId="6518" xr:uid="{FF6EB656-A663-451F-A17D-5253468853CF}"/>
    <cellStyle name="Style 260 3" xfId="4892" xr:uid="{0EB09D6B-AAEC-4CD6-BE0F-85C07AA255A2}"/>
    <cellStyle name="Style 260 3 2" xfId="5884" xr:uid="{D1FEC0D4-7677-4DA0-ADF0-99E84BD9C297}"/>
    <cellStyle name="Style 260 3 2 2" xfId="7537" xr:uid="{86AA3572-6C91-47AE-9EDE-812AD564D92E}"/>
    <cellStyle name="Style 260 3 3" xfId="6080" xr:uid="{F82F0C6F-DE6F-4DF1-AC3D-DFF0CAF1C3BF}"/>
    <cellStyle name="Style 260 3 3 2" xfId="7732" xr:uid="{0BB89E61-0AAB-4BF8-98AB-3F35E84FD326}"/>
    <cellStyle name="Style 260 3 4" xfId="5481" xr:uid="{7E498120-DBF0-4930-9C03-8C5CC8776C88}"/>
    <cellStyle name="Style 260 3 4 2" xfId="7145" xr:uid="{A2745736-51C3-46F0-801C-F19D3B010E91}"/>
    <cellStyle name="Style 260 3 5" xfId="6577" xr:uid="{81F18F0C-19CD-4AD2-99BA-46C2C57FAA84}"/>
    <cellStyle name="Style 260 4" xfId="5651" xr:uid="{471C9BAA-AFA1-429C-948A-9E85862BF8BD}"/>
    <cellStyle name="Style 260 4 2" xfId="7311" xr:uid="{4041F79C-F131-4FE0-93CB-B7927E30BD21}"/>
    <cellStyle name="Style 260 5" xfId="4992" xr:uid="{83DC038B-25D7-416E-81B0-D4B0C7316596}"/>
    <cellStyle name="Style 260 5 2" xfId="6671" xr:uid="{CF03B088-0996-4695-A7F0-9C5E25B43DCE}"/>
    <cellStyle name="Style 260 6" xfId="5614" xr:uid="{C48E9A02-0EA0-4F7C-8910-EAD28937387A}"/>
    <cellStyle name="Style 260 6 2" xfId="7274" xr:uid="{EDF6367E-3F7E-4E6A-9462-6BFFB69614CA}"/>
    <cellStyle name="Style 260 7" xfId="5359" xr:uid="{1B56975D-2D38-4CBF-B579-1B458E8BCCEC}"/>
    <cellStyle name="Style 260 7 2" xfId="7024" xr:uid="{65EBF016-56F7-4C25-AE99-A555A961822D}"/>
    <cellStyle name="Style 260 8" xfId="6396" xr:uid="{59A164D3-DBD0-4712-AB5B-0A54EA5EBF32}"/>
    <cellStyle name="Style 261" xfId="4524" xr:uid="{1EAD6911-307D-4215-80E4-E0AFA3478284}"/>
    <cellStyle name="Style 261 2" xfId="4830" xr:uid="{A6DC99CE-6713-4835-AB05-6C97C1D6171F}"/>
    <cellStyle name="Style 261 2 2" xfId="5824" xr:uid="{15DB6EC8-1C3F-493D-9717-C42C61D1D5F4}"/>
    <cellStyle name="Style 261 2 2 2" xfId="7477" xr:uid="{F5CC0377-9920-4CDD-9C97-1F03F065DA7F}"/>
    <cellStyle name="Style 261 2 3" xfId="6022" xr:uid="{201BE7CC-DB39-48A8-8BE8-5F75FBEE43FD}"/>
    <cellStyle name="Style 261 2 3 2" xfId="7674" xr:uid="{BCC74DE7-A2C9-4DAD-8673-5AB109994FE1}"/>
    <cellStyle name="Style 261 2 4" xfId="5439" xr:uid="{7D09A2C9-5618-4FBB-8C54-CBE0FEECEAA7}"/>
    <cellStyle name="Style 261 2 4 2" xfId="7103" xr:uid="{266FAE48-CE11-47F1-9B00-A2ECB232E707}"/>
    <cellStyle name="Style 261 2 5" xfId="6296" xr:uid="{0248D913-4C8A-4382-9A4E-ABCFDFFEFF85}"/>
    <cellStyle name="Style 261 2 5 2" xfId="7943" xr:uid="{BACBA845-67A7-40B4-B8AB-B14A8AFC0B33}"/>
    <cellStyle name="Style 261 2 6" xfId="6519" xr:uid="{6A6CBA59-99CE-4159-A3E8-8201990A0664}"/>
    <cellStyle name="Style 261 3" xfId="4891" xr:uid="{D0F2B408-BA14-4569-AA33-BFCD9B2E08FD}"/>
    <cellStyle name="Style 261 3 2" xfId="5883" xr:uid="{8F33C93F-65E9-4E9A-9932-21D9826BE080}"/>
    <cellStyle name="Style 261 3 2 2" xfId="7536" xr:uid="{4C44D829-F2AB-4E0D-8AFF-4F20F9B7BAC6}"/>
    <cellStyle name="Style 261 3 3" xfId="6079" xr:uid="{E4660128-38FA-45A1-B787-0969B7531018}"/>
    <cellStyle name="Style 261 3 3 2" xfId="7731" xr:uid="{2B7C30CD-E832-4CFD-97E7-25412FEA7D23}"/>
    <cellStyle name="Style 261 3 4" xfId="5480" xr:uid="{E910A491-F6CF-454D-AF01-B38245ED6AEF}"/>
    <cellStyle name="Style 261 3 4 2" xfId="7144" xr:uid="{FFA0DE49-8DEE-4A3D-AFCA-205906617A8C}"/>
    <cellStyle name="Style 261 3 5" xfId="6576" xr:uid="{3CCC098A-A8A4-49DA-A112-0E694A986AD0}"/>
    <cellStyle name="Style 261 4" xfId="5652" xr:uid="{DD776979-35EA-4C2B-A79C-6619CD547498}"/>
    <cellStyle name="Style 261 4 2" xfId="7312" xr:uid="{4F6B0C77-2495-419E-91F0-9DB7924F2CC3}"/>
    <cellStyle name="Style 261 5" xfId="4991" xr:uid="{F042E0A3-F703-4E66-B9BB-4648869E3E02}"/>
    <cellStyle name="Style 261 5 2" xfId="6670" xr:uid="{AA9E43DD-9F60-4EC1-B8FD-95417861A7ED}"/>
    <cellStyle name="Style 261 6" xfId="5615" xr:uid="{1A8166E9-481C-4ED5-902E-D836846C1948}"/>
    <cellStyle name="Style 261 6 2" xfId="7275" xr:uid="{C3F87411-2E91-4BE7-9979-E653435B5DF5}"/>
    <cellStyle name="Style 261 7" xfId="5360" xr:uid="{C5840B4A-9AED-4324-A121-2D894D487357}"/>
    <cellStyle name="Style 261 7 2" xfId="7025" xr:uid="{FC74EAF5-50A0-4C2B-B0AD-078C78D97FA3}"/>
    <cellStyle name="Style 261 8" xfId="6397" xr:uid="{00EEE43A-CDA0-472D-94F3-38F087A034AE}"/>
    <cellStyle name="Style 262" xfId="4525" xr:uid="{507E88B2-246A-4E2D-81A2-78477395AB31}"/>
    <cellStyle name="Style 262 2" xfId="4831" xr:uid="{0DDAC149-CE8B-48AB-B3F7-A7F392E7A156}"/>
    <cellStyle name="Style 262 2 2" xfId="5825" xr:uid="{028E0E93-CBC8-457A-AF5E-E89E8D334FC6}"/>
    <cellStyle name="Style 262 2 2 2" xfId="7478" xr:uid="{019E0F54-6607-4584-A398-DB955037D942}"/>
    <cellStyle name="Style 262 2 3" xfId="6023" xr:uid="{9DCB2783-45BD-414D-B564-C4F24F764A21}"/>
    <cellStyle name="Style 262 2 3 2" xfId="7675" xr:uid="{48EB4946-8DE4-429A-BBFD-CB658E5F0FF9}"/>
    <cellStyle name="Style 262 2 4" xfId="5440" xr:uid="{10FEDE2A-5CA8-48AE-AA81-FA1376A9AE77}"/>
    <cellStyle name="Style 262 2 4 2" xfId="7104" xr:uid="{C59A6F6A-9646-43D1-B70B-4E5514465B40}"/>
    <cellStyle name="Style 262 2 5" xfId="6297" xr:uid="{85614B02-32EA-4D19-A5EA-4E03D1C2C7EE}"/>
    <cellStyle name="Style 262 2 5 2" xfId="7944" xr:uid="{EB6D1D65-D31D-4783-A289-633763A8B6EE}"/>
    <cellStyle name="Style 262 2 6" xfId="6520" xr:uid="{3AA32977-0133-48BE-AC83-76166CE2E159}"/>
    <cellStyle name="Style 262 3" xfId="4890" xr:uid="{7DC4A67B-8F4F-4329-A8E2-5D91AE23544A}"/>
    <cellStyle name="Style 262 3 2" xfId="5882" xr:uid="{339240FA-61AE-4B7C-9DC2-BDE8FD4C591C}"/>
    <cellStyle name="Style 262 3 2 2" xfId="7535" xr:uid="{0C8C71F2-7659-427E-A8F5-D4AFEF3731B7}"/>
    <cellStyle name="Style 262 3 3" xfId="6078" xr:uid="{27FEDC3B-095E-4271-ADD5-CBF1ADE2BD31}"/>
    <cellStyle name="Style 262 3 3 2" xfId="7730" xr:uid="{45F2F724-7FBB-46EB-BC84-64278A373C30}"/>
    <cellStyle name="Style 262 3 4" xfId="5479" xr:uid="{83D71B50-97A8-48EC-865A-43DD46C1D86E}"/>
    <cellStyle name="Style 262 3 4 2" xfId="7143" xr:uid="{D9776B11-5202-4ADB-BD6C-85BF51915184}"/>
    <cellStyle name="Style 262 3 5" xfId="6575" xr:uid="{873E10B9-D72E-49E6-83E9-C302E3340152}"/>
    <cellStyle name="Style 262 4" xfId="5653" xr:uid="{AC4301A5-785F-417A-BABF-01064C15A789}"/>
    <cellStyle name="Style 262 4 2" xfId="7313" xr:uid="{0A53EDD2-8D8A-4A33-918C-ADACE531DDD3}"/>
    <cellStyle name="Style 262 5" xfId="4990" xr:uid="{ACE4A405-CDB4-4240-BFE3-57B3659B9159}"/>
    <cellStyle name="Style 262 5 2" xfId="6669" xr:uid="{C4B6558B-CF9C-4403-8DFE-0CD6FA68E894}"/>
    <cellStyle name="Style 262 6" xfId="5617" xr:uid="{43A8C834-1011-4653-8655-607469EBB030}"/>
    <cellStyle name="Style 262 6 2" xfId="7277" xr:uid="{EEF14B49-9510-4D67-83A5-176F07FB12F6}"/>
    <cellStyle name="Style 262 7" xfId="5361" xr:uid="{A26EFB6A-B7D3-47A3-ACE4-F073F7731A7C}"/>
    <cellStyle name="Style 262 7 2" xfId="7026" xr:uid="{AF4BEE52-623C-4256-9C8D-06C80819EAF1}"/>
    <cellStyle name="Style 262 8" xfId="6398" xr:uid="{A8E05CDE-8D44-4316-B7A6-91AF0265303C}"/>
    <cellStyle name="Style 263" xfId="4526" xr:uid="{B72F478B-3190-4FEA-8F6D-5993C9A81FDD}"/>
    <cellStyle name="Style 263 2" xfId="4832" xr:uid="{6A60655D-8808-403D-90ED-945EE2D15832}"/>
    <cellStyle name="Style 263 2 2" xfId="5826" xr:uid="{2E62FDD4-71C3-4176-BDA9-D6CB84900CBE}"/>
    <cellStyle name="Style 263 2 2 2" xfId="7479" xr:uid="{8ECF87E7-046E-417D-ABB7-82C4259E389A}"/>
    <cellStyle name="Style 263 2 3" xfId="6024" xr:uid="{33E9575D-A0D0-4C27-8D88-A09201634BDE}"/>
    <cellStyle name="Style 263 2 3 2" xfId="7676" xr:uid="{46E2A7EE-0961-4944-AFA7-E4D25EF6980F}"/>
    <cellStyle name="Style 263 2 4" xfId="5441" xr:uid="{678AEA70-CAD8-4C2E-983D-BAB79A5AFF2F}"/>
    <cellStyle name="Style 263 2 4 2" xfId="7105" xr:uid="{67151302-5A56-4236-BC2E-903A773A482C}"/>
    <cellStyle name="Style 263 2 5" xfId="6298" xr:uid="{0C4DA040-67B4-49BB-9D2A-C21EBC2AA45C}"/>
    <cellStyle name="Style 263 2 5 2" xfId="7945" xr:uid="{B49011CE-F479-49EA-B62F-5F124208A786}"/>
    <cellStyle name="Style 263 2 6" xfId="6521" xr:uid="{767D07A9-FE59-45D8-9696-1B788551A534}"/>
    <cellStyle name="Style 263 3" xfId="4889" xr:uid="{2450330D-A573-4FA5-832C-D584E21CFE78}"/>
    <cellStyle name="Style 263 3 2" xfId="5881" xr:uid="{9444C72A-9B90-417A-983A-60C0CAAF476C}"/>
    <cellStyle name="Style 263 3 2 2" xfId="7534" xr:uid="{8A077323-8054-4A4B-8ECF-B4B19907235E}"/>
    <cellStyle name="Style 263 3 3" xfId="6077" xr:uid="{82146009-A991-464D-B4B4-32CA5EC5DFBB}"/>
    <cellStyle name="Style 263 3 3 2" xfId="7729" xr:uid="{B8BBE270-FCCC-4F36-BDB1-1AAB418A5931}"/>
    <cellStyle name="Style 263 3 4" xfId="5478" xr:uid="{D17E7288-D2F0-4C07-A43F-D7DA47A394AC}"/>
    <cellStyle name="Style 263 3 4 2" xfId="7142" xr:uid="{7DD7954D-8ED7-46BC-832D-319DEE3CADC9}"/>
    <cellStyle name="Style 263 3 5" xfId="6574" xr:uid="{A4AA3415-787A-4B0F-93F7-B8725E92363A}"/>
    <cellStyle name="Style 263 4" xfId="5654" xr:uid="{D013250D-F2AC-46C8-A739-4586507F03FB}"/>
    <cellStyle name="Style 263 4 2" xfId="7314" xr:uid="{B902BB69-1ACF-449F-970D-2D41FA5472D4}"/>
    <cellStyle name="Style 263 5" xfId="4989" xr:uid="{1B7FA05A-E673-4DBD-862E-9084C44E9E45}"/>
    <cellStyle name="Style 263 5 2" xfId="6668" xr:uid="{1FDFF185-E671-4F9B-B672-AE60C770FE7A}"/>
    <cellStyle name="Style 263 6" xfId="5619" xr:uid="{3834C712-CE1F-47FF-A82E-D0174BC8DAFE}"/>
    <cellStyle name="Style 263 6 2" xfId="7279" xr:uid="{42B68A5C-964C-4302-9008-BCD4F8FA3B33}"/>
    <cellStyle name="Style 263 7" xfId="5362" xr:uid="{2366460D-2F92-4644-A7B2-5F3FF58FE7F4}"/>
    <cellStyle name="Style 263 7 2" xfId="7027" xr:uid="{206B67A2-2C36-4743-B880-23333703C5BB}"/>
    <cellStyle name="Style 263 8" xfId="6399" xr:uid="{A213DDAE-FAE4-4001-96CD-22CD34D9DCCE}"/>
    <cellStyle name="Style 264" xfId="4527" xr:uid="{E3C78128-432E-4BC0-A15C-E56D2BA06672}"/>
    <cellStyle name="Style 264 2" xfId="4833" xr:uid="{011A5689-F4FC-4EFA-B8D5-80EAAFA4D4D3}"/>
    <cellStyle name="Style 264 2 2" xfId="5827" xr:uid="{BAA1E571-3136-473B-BFB3-B40F139B9054}"/>
    <cellStyle name="Style 264 2 2 2" xfId="7480" xr:uid="{F6E70E5E-D903-4C75-A8E7-8294B48247C5}"/>
    <cellStyle name="Style 264 2 3" xfId="6025" xr:uid="{532B767E-0457-46C3-9B6A-4B78C6D95AEE}"/>
    <cellStyle name="Style 264 2 3 2" xfId="7677" xr:uid="{95F7A671-E4D7-4289-A728-B6D0594AB9D0}"/>
    <cellStyle name="Style 264 2 4" xfId="5442" xr:uid="{147A7685-A11F-4EE6-82C8-553A88755F9C}"/>
    <cellStyle name="Style 264 2 4 2" xfId="7106" xr:uid="{52F0CE57-D83B-44B1-9D94-BC180118199F}"/>
    <cellStyle name="Style 264 2 5" xfId="6299" xr:uid="{7EF04FAE-C1CE-472F-A70C-4E79732E1578}"/>
    <cellStyle name="Style 264 2 5 2" xfId="7946" xr:uid="{2727907C-9959-450C-BB78-66EAC56A6137}"/>
    <cellStyle name="Style 264 2 6" xfId="6522" xr:uid="{CA3FC561-6991-434B-9A5F-09A4E342A837}"/>
    <cellStyle name="Style 264 3" xfId="4888" xr:uid="{48F04D50-E508-485D-A882-8D3F1B607BCF}"/>
    <cellStyle name="Style 264 3 2" xfId="5880" xr:uid="{16FB4F9D-D9DD-4CEA-A397-372FE06CA373}"/>
    <cellStyle name="Style 264 3 2 2" xfId="7533" xr:uid="{C26B7CEF-9C73-4B69-AB22-932A9DEFFC26}"/>
    <cellStyle name="Style 264 3 3" xfId="6076" xr:uid="{1752ADDC-DF46-41D7-98E5-BD9593C95C9A}"/>
    <cellStyle name="Style 264 3 3 2" xfId="7728" xr:uid="{44911F12-1E84-4B42-884E-D5CC78FC3CBD}"/>
    <cellStyle name="Style 264 3 4" xfId="5477" xr:uid="{B01B3734-56DE-4663-9266-723CA9F0BB81}"/>
    <cellStyle name="Style 264 3 4 2" xfId="7141" xr:uid="{976DF1A7-62D7-4023-8392-78AB289618F1}"/>
    <cellStyle name="Style 264 3 5" xfId="6573" xr:uid="{76DB246D-ACDD-4ACD-A35A-2F2D09D51A63}"/>
    <cellStyle name="Style 264 4" xfId="5655" xr:uid="{6A70723A-822F-4ECA-B2B8-F392D17A0086}"/>
    <cellStyle name="Style 264 4 2" xfId="7315" xr:uid="{15595AFE-634D-44BB-B56D-1C6AE5865B5F}"/>
    <cellStyle name="Style 264 5" xfId="4988" xr:uid="{DC4F3D96-5F80-466C-9D1B-B179A707A43D}"/>
    <cellStyle name="Style 264 5 2" xfId="6667" xr:uid="{7CDE189E-C5FD-4A19-A158-E5702D55F22B}"/>
    <cellStyle name="Style 264 6" xfId="5620" xr:uid="{A8B4C67D-23E4-489B-8CF5-232D3B7DB950}"/>
    <cellStyle name="Style 264 6 2" xfId="7280" xr:uid="{B44EE8A0-99E1-4FB7-9DEA-F959A8542756}"/>
    <cellStyle name="Style 264 7" xfId="5363" xr:uid="{FC9660CB-532F-4B08-9E03-2E96216808D6}"/>
    <cellStyle name="Style 264 7 2" xfId="7028" xr:uid="{8B031359-CB96-4723-ABD1-2DCC832A5AE5}"/>
    <cellStyle name="Style 264 8" xfId="6400" xr:uid="{0F8B28DD-80F1-42C6-8877-2DD5AE81C7D0}"/>
    <cellStyle name="Style 265" xfId="4528" xr:uid="{146F6EA5-BE08-44B3-8247-17F0D42C812C}"/>
    <cellStyle name="Style 265 2" xfId="4834" xr:uid="{A0F2F4B4-5D62-4A31-85D0-FE9ABB0F17E5}"/>
    <cellStyle name="Style 265 2 2" xfId="5828" xr:uid="{F1ED23B3-581F-4089-9BD6-9703115C6D75}"/>
    <cellStyle name="Style 265 2 2 2" xfId="7481" xr:uid="{201E4E8C-51E4-468A-8BAA-F1E450170D22}"/>
    <cellStyle name="Style 265 2 3" xfId="6026" xr:uid="{B4462160-2FB3-4F40-B152-920652BB93D1}"/>
    <cellStyle name="Style 265 2 3 2" xfId="7678" xr:uid="{E7C9C903-BCC4-4BC8-94D1-5772605443C9}"/>
    <cellStyle name="Style 265 2 4" xfId="5443" xr:uid="{9E2D2EC3-7C31-42F9-8D81-5D6A2317C44C}"/>
    <cellStyle name="Style 265 2 4 2" xfId="7107" xr:uid="{878FB90E-11F2-4312-BAF9-7A2677DA2CD2}"/>
    <cellStyle name="Style 265 2 5" xfId="6300" xr:uid="{4902750A-5811-46F6-AE3D-0676164CEFCC}"/>
    <cellStyle name="Style 265 2 5 2" xfId="7947" xr:uid="{8EEB4DBC-0722-447B-B02A-4B7F98B57F6E}"/>
    <cellStyle name="Style 265 2 6" xfId="6523" xr:uid="{6117B7B1-B517-4AC5-951D-E134F0E4217A}"/>
    <cellStyle name="Style 265 3" xfId="4887" xr:uid="{6A3137D3-93DF-4273-8074-49AA1C764B6A}"/>
    <cellStyle name="Style 265 3 2" xfId="5879" xr:uid="{F56DAA5B-47B7-4D5D-A398-59040EF4AA0B}"/>
    <cellStyle name="Style 265 3 2 2" xfId="7532" xr:uid="{3DEC5105-F6C2-4154-8AB6-C28D54CEA419}"/>
    <cellStyle name="Style 265 3 3" xfId="6075" xr:uid="{3EA443A0-B579-40B1-9BDA-3B3CB78E38BF}"/>
    <cellStyle name="Style 265 3 3 2" xfId="7727" xr:uid="{63285278-5C2A-40BC-B921-20845DA02CE5}"/>
    <cellStyle name="Style 265 3 4" xfId="5476" xr:uid="{BFA785AC-4A47-45A9-9B6D-3E542D294744}"/>
    <cellStyle name="Style 265 3 4 2" xfId="7140" xr:uid="{CAC9FECE-3216-4705-876A-F599ECB0CD40}"/>
    <cellStyle name="Style 265 3 5" xfId="6572" xr:uid="{EC377071-A0C5-4CDD-86CD-B72EC9A7B631}"/>
    <cellStyle name="Style 265 4" xfId="5656" xr:uid="{7BA06C3D-FEBE-47F8-9CD6-45353BE07866}"/>
    <cellStyle name="Style 265 4 2" xfId="7316" xr:uid="{1CEB283C-7253-4C23-A005-E5543209AE81}"/>
    <cellStyle name="Style 265 5" xfId="4987" xr:uid="{3FD293EF-D407-46B5-992C-942B87F77192}"/>
    <cellStyle name="Style 265 5 2" xfId="6666" xr:uid="{764D3A5C-6659-4F2E-BBF3-D2FB4DF6922D}"/>
    <cellStyle name="Style 265 6" xfId="5621" xr:uid="{7AC1C8EC-EF29-425E-879F-EEFF2C1D97EE}"/>
    <cellStyle name="Style 265 6 2" xfId="7281" xr:uid="{ABAD1FFB-9363-4DAA-AD55-252868044CC7}"/>
    <cellStyle name="Style 265 7" xfId="5364" xr:uid="{496A26E9-F489-49B7-B96D-CCAC38113052}"/>
    <cellStyle name="Style 265 7 2" xfId="7029" xr:uid="{CF17938C-104F-44C0-9BA7-2891C17FC709}"/>
    <cellStyle name="Style 265 8" xfId="6401" xr:uid="{96B26919-D386-4ADC-A25F-BE6ACE9B34B8}"/>
    <cellStyle name="Style 266" xfId="4529" xr:uid="{FAC5C706-898B-4FC9-88D4-AFC0FB45E7A0}"/>
    <cellStyle name="Style 266 2" xfId="4835" xr:uid="{7AE4D820-E7B6-4CF7-A2DF-4D85EAE8099C}"/>
    <cellStyle name="Style 266 2 2" xfId="5829" xr:uid="{2D4DC7B3-A8AF-477C-848A-FC28C71649BD}"/>
    <cellStyle name="Style 266 2 2 2" xfId="7482" xr:uid="{41091379-B058-46F1-A38D-02F5ABB90081}"/>
    <cellStyle name="Style 266 2 3" xfId="6027" xr:uid="{45254FFA-9913-4596-982C-7F866593F259}"/>
    <cellStyle name="Style 266 2 3 2" xfId="7679" xr:uid="{895F6F6A-663B-46D0-B8D3-1D837EE7FAC3}"/>
    <cellStyle name="Style 266 2 4" xfId="5444" xr:uid="{DB5BFF2C-9D28-44F2-9707-E063595DE442}"/>
    <cellStyle name="Style 266 2 4 2" xfId="7108" xr:uid="{25220554-CDB1-484F-8323-A89B6FEA3366}"/>
    <cellStyle name="Style 266 2 5" xfId="6301" xr:uid="{E01E473B-3AC4-498E-99FF-9193A4E3F304}"/>
    <cellStyle name="Style 266 2 5 2" xfId="7948" xr:uid="{22ABD104-DEE4-43F7-9B5D-B1917A9DEADD}"/>
    <cellStyle name="Style 266 2 6" xfId="6524" xr:uid="{D3B860D3-F4EE-4760-8850-9F20E7963B5F}"/>
    <cellStyle name="Style 266 3" xfId="4886" xr:uid="{21D67403-D516-48E5-9BB8-7B13D372C9C8}"/>
    <cellStyle name="Style 266 3 2" xfId="5878" xr:uid="{546AB425-0AD9-4E58-BEE2-F7A29FC0B7B9}"/>
    <cellStyle name="Style 266 3 2 2" xfId="7531" xr:uid="{1F6BEFA2-F40E-47C3-8757-F81A26A09B29}"/>
    <cellStyle name="Style 266 3 3" xfId="6074" xr:uid="{7F126317-CBB9-4D00-9C7E-4ED269BB762E}"/>
    <cellStyle name="Style 266 3 3 2" xfId="7726" xr:uid="{AC0D207B-738E-48EC-992C-08A421616FDA}"/>
    <cellStyle name="Style 266 3 4" xfId="5469" xr:uid="{83B1325E-F611-4B63-9B61-6F619AC6CF9E}"/>
    <cellStyle name="Style 266 3 4 2" xfId="7133" xr:uid="{59E01381-0542-4522-9344-45352165A985}"/>
    <cellStyle name="Style 266 3 5" xfId="6571" xr:uid="{B80E4DE8-3448-4574-96DF-3C888D474AA2}"/>
    <cellStyle name="Style 266 4" xfId="5657" xr:uid="{0ADB1B3C-80C6-4AC4-84FF-285AF8397421}"/>
    <cellStyle name="Style 266 4 2" xfId="7317" xr:uid="{48093289-F15D-4037-82AE-E25DEC3BCDBF}"/>
    <cellStyle name="Style 266 5" xfId="4986" xr:uid="{E20F9C20-F8D4-4988-8E05-CA41B7E784ED}"/>
    <cellStyle name="Style 266 5 2" xfId="6665" xr:uid="{F9630006-C5B5-428E-8A77-D036C1F806CD}"/>
    <cellStyle name="Style 266 6" xfId="5630" xr:uid="{2645C883-198F-4B30-8F8F-E2CEFCA9FAA7}"/>
    <cellStyle name="Style 266 6 2" xfId="7290" xr:uid="{6AF191A6-EAC3-466C-BD89-4537B53ED7B3}"/>
    <cellStyle name="Style 266 7" xfId="5365" xr:uid="{1DA1852B-D1D9-4BE8-A19E-3D98C26FC0E5}"/>
    <cellStyle name="Style 266 7 2" xfId="7030" xr:uid="{AA8638B1-0FE6-45C2-BD6C-FC098D665D0D}"/>
    <cellStyle name="Style 266 8" xfId="6402" xr:uid="{A9671C83-5EC5-4D99-AF4F-D2655441E354}"/>
    <cellStyle name="Style 267" xfId="4530" xr:uid="{C2576AD3-6B17-46B0-99E5-2B576F585A33}"/>
    <cellStyle name="Style 267 2" xfId="4836" xr:uid="{46B4421C-21D4-474E-B5AF-D9DE66CA890F}"/>
    <cellStyle name="Style 267 2 2" xfId="5830" xr:uid="{9C92D28A-3392-44A5-B4F0-FF1B7594F43B}"/>
    <cellStyle name="Style 267 2 2 2" xfId="7483" xr:uid="{DF1D5F08-A193-40AA-896F-E632A6400F42}"/>
    <cellStyle name="Style 267 2 3" xfId="6028" xr:uid="{401B108D-A174-4AAC-B60B-64831D2CB1E6}"/>
    <cellStyle name="Style 267 2 3 2" xfId="7680" xr:uid="{670BB638-23DC-45E4-8DC5-8BBA916C3E06}"/>
    <cellStyle name="Style 267 2 4" xfId="5445" xr:uid="{8D5D374E-9825-41AC-8156-2060939905F5}"/>
    <cellStyle name="Style 267 2 4 2" xfId="7109" xr:uid="{1D45B991-311F-4B58-92A7-2507360B4A98}"/>
    <cellStyle name="Style 267 2 5" xfId="6302" xr:uid="{6A4F0CFE-636B-4C3C-8863-5E56DBAABDF8}"/>
    <cellStyle name="Style 267 2 5 2" xfId="7949" xr:uid="{7CECCBF7-44DD-4CFD-9CF4-7269E41827EB}"/>
    <cellStyle name="Style 267 2 6" xfId="6525" xr:uid="{5E016DD5-583D-4F6B-8533-667711E7532C}"/>
    <cellStyle name="Style 267 3" xfId="4885" xr:uid="{03DD3767-AC2D-4228-A9E9-01FDA696CF87}"/>
    <cellStyle name="Style 267 3 2" xfId="5877" xr:uid="{59D17A68-CBFC-431D-A8C3-CF30DD90559E}"/>
    <cellStyle name="Style 267 3 2 2" xfId="7530" xr:uid="{F952C3C5-2DA0-46DA-9FDD-4ECD241D4A0B}"/>
    <cellStyle name="Style 267 3 3" xfId="6073" xr:uid="{9EEEAD5C-A457-4114-8B79-90B11B033778}"/>
    <cellStyle name="Style 267 3 3 2" xfId="7725" xr:uid="{A0775218-747F-4B0D-9468-9BC121D6EF9C}"/>
    <cellStyle name="Style 267 3 4" xfId="5545" xr:uid="{603DFF30-372C-4F35-A4E9-838F407A2B5E}"/>
    <cellStyle name="Style 267 3 4 2" xfId="7208" xr:uid="{24E715B4-D2C9-4178-B2FB-3F5D70B6E6F5}"/>
    <cellStyle name="Style 267 3 5" xfId="6570" xr:uid="{FC89E381-E7C5-4DF4-94EB-230F3B936DD7}"/>
    <cellStyle name="Style 267 4" xfId="5658" xr:uid="{7CCC23A5-9ABB-4719-A5B6-FFCCFB32CA44}"/>
    <cellStyle name="Style 267 4 2" xfId="7318" xr:uid="{A21D6082-E52B-465B-8100-34B6A0987AD2}"/>
    <cellStyle name="Style 267 5" xfId="4985" xr:uid="{E1A0B7BA-CA1D-4269-B6C3-125748ACC393}"/>
    <cellStyle name="Style 267 5 2" xfId="6664" xr:uid="{A67C1451-DE7F-4E60-95C2-C7FB5CA8D9F1}"/>
    <cellStyle name="Style 267 6" xfId="5631" xr:uid="{FC485D3A-9D27-412A-B491-4CBBE479FF50}"/>
    <cellStyle name="Style 267 6 2" xfId="7291" xr:uid="{17ACFE17-7E15-448F-A733-69293E51C3B6}"/>
    <cellStyle name="Style 267 7" xfId="5366" xr:uid="{AE6AB09D-CA58-4E67-9B90-1D135A352AE6}"/>
    <cellStyle name="Style 267 7 2" xfId="7031" xr:uid="{AAA21E59-DD31-45F5-984D-BB7B6CBAE7D6}"/>
    <cellStyle name="Style 267 8" xfId="6403" xr:uid="{8228C4EB-29C8-49B3-8A2F-BD77B255263E}"/>
    <cellStyle name="Style 268" xfId="4531" xr:uid="{D1A5B798-D0E6-4499-AFCE-55A802AF639B}"/>
    <cellStyle name="Style 268 2" xfId="4837" xr:uid="{00286377-A2C3-4460-B2AD-50D8BCC21FEB}"/>
    <cellStyle name="Style 268 2 2" xfId="5831" xr:uid="{23A4C6FC-3EF5-42F1-A1F1-6D258CD5AC09}"/>
    <cellStyle name="Style 268 2 2 2" xfId="7484" xr:uid="{BE0C54F3-4279-4B14-97D1-036F5AD8591B}"/>
    <cellStyle name="Style 268 2 3" xfId="6029" xr:uid="{FCF5CDF9-0682-46BA-8A23-EAB1702AA83F}"/>
    <cellStyle name="Style 268 2 3 2" xfId="7681" xr:uid="{ACCE67E7-CDFA-40C3-A371-821D89D56944}"/>
    <cellStyle name="Style 268 2 4" xfId="5446" xr:uid="{C83DB43B-1565-4444-9AE0-C1BFBC19ED0D}"/>
    <cellStyle name="Style 268 2 4 2" xfId="7110" xr:uid="{FB28295C-6A3D-434E-881E-1A2187A578F2}"/>
    <cellStyle name="Style 268 2 5" xfId="6303" xr:uid="{1700BA47-F399-4900-B80C-3A546B75437D}"/>
    <cellStyle name="Style 268 2 5 2" xfId="7950" xr:uid="{FD7EEDA0-254F-416D-97F0-571AFEF3AA6B}"/>
    <cellStyle name="Style 268 2 6" xfId="6526" xr:uid="{9E1C1F12-014C-4BB9-810B-B700F4BAB475}"/>
    <cellStyle name="Style 268 3" xfId="4884" xr:uid="{242BB963-8B54-484D-97C7-AC3855B7EB85}"/>
    <cellStyle name="Style 268 3 2" xfId="5876" xr:uid="{A6A1EAEE-D872-45DE-A178-ECE4027F1BB8}"/>
    <cellStyle name="Style 268 3 2 2" xfId="7529" xr:uid="{47F7A5FA-130D-48FA-A9E0-8961B7375353}"/>
    <cellStyle name="Style 268 3 3" xfId="6072" xr:uid="{D0AC9A5E-BCE6-414D-8E6F-90D4B6C26C9B}"/>
    <cellStyle name="Style 268 3 3 2" xfId="7724" xr:uid="{32E52175-D140-4369-8D7D-0D469DEA54D6}"/>
    <cellStyle name="Style 268 3 4" xfId="5542" xr:uid="{B699D3C0-ECB5-4008-AAFC-32A8F584788F}"/>
    <cellStyle name="Style 268 3 4 2" xfId="7205" xr:uid="{C6E82657-AF4A-4C33-88DF-4E96BF3556BB}"/>
    <cellStyle name="Style 268 3 5" xfId="6569" xr:uid="{73962813-BDE1-464B-BBBB-A68C04FC16F6}"/>
    <cellStyle name="Style 268 4" xfId="5659" xr:uid="{B29B0090-199A-4E49-83DA-FCED95BC0E49}"/>
    <cellStyle name="Style 268 4 2" xfId="7319" xr:uid="{A2139983-452A-4419-B6EA-EE502073A420}"/>
    <cellStyle name="Style 268 5" xfId="4984" xr:uid="{AA34D02A-016C-43A3-899F-E92398531BBA}"/>
    <cellStyle name="Style 268 5 2" xfId="6663" xr:uid="{802A307C-B8E4-4AFE-8744-F85AA202C49E}"/>
    <cellStyle name="Style 268 6" xfId="5632" xr:uid="{BB95E192-DA0B-47A8-B7C6-F48C7FFF2617}"/>
    <cellStyle name="Style 268 6 2" xfId="7292" xr:uid="{44B2A4A3-3249-4630-95FC-2638BC674EE2}"/>
    <cellStyle name="Style 268 7" xfId="5367" xr:uid="{ACA6260F-4A91-42F4-A5D0-5510D0EC14B6}"/>
    <cellStyle name="Style 268 7 2" xfId="7032" xr:uid="{6CF16D82-AE41-4104-B82E-7F75B9AF466D}"/>
    <cellStyle name="Style 268 8" xfId="6404" xr:uid="{FE1C1557-3F8F-45A0-B9BB-1640C97E8162}"/>
    <cellStyle name="Style 269" xfId="4532" xr:uid="{44EB036B-BAE3-4760-946C-B87B727A6294}"/>
    <cellStyle name="Style 270" xfId="4533" xr:uid="{75D306FE-E27C-4453-A77A-457C176DDE6B}"/>
    <cellStyle name="Style 271" xfId="4534" xr:uid="{48D43662-F94D-4C55-9B0E-CB26FF6F3E9C}"/>
    <cellStyle name="Style 272" xfId="4535" xr:uid="{426D605B-6447-4A5D-87E0-A3FC4B649C0D}"/>
    <cellStyle name="Style 272 2" xfId="4536" xr:uid="{AE8AB2FE-1663-467B-BA20-E88849161055}"/>
    <cellStyle name="Style 273" xfId="4537" xr:uid="{60F9B66C-CD04-45D2-B4F0-E22F4D895EAB}"/>
    <cellStyle name="Style 274" xfId="4538" xr:uid="{82C087A5-7D77-4108-8284-B41CED588646}"/>
    <cellStyle name="Style 275" xfId="4539" xr:uid="{8C23C7E8-8BC4-42EB-9B5F-576EC6220E08}"/>
    <cellStyle name="Style 275 2" xfId="4540" xr:uid="{34F8EC38-1E67-4C47-BE0F-9D7C25BBE012}"/>
    <cellStyle name="Style 276" xfId="4541" xr:uid="{0ACDE187-C721-41CE-8162-A10E6B22F8C4}"/>
    <cellStyle name="Style 375" xfId="4542" xr:uid="{F4F927C4-3601-47AB-9549-291BBFCCB3D1}"/>
    <cellStyle name="Style 376" xfId="4543" xr:uid="{69C06C1E-6EF9-4445-8984-FB6370BEEADA}"/>
    <cellStyle name="Style 377" xfId="4544" xr:uid="{4728523F-2F27-4413-A56B-324D5877BDEC}"/>
    <cellStyle name="Style 378" xfId="4545" xr:uid="{F34B3E86-30C3-4012-829D-6942E18E2578}"/>
    <cellStyle name="Style 379" xfId="4546" xr:uid="{1B552D25-6458-439B-AF94-1558AEAD26DF}"/>
    <cellStyle name="Style 380" xfId="4547" xr:uid="{5D05832B-6610-4FC3-8A87-B0AC93818CC2}"/>
    <cellStyle name="Style 381" xfId="4548" xr:uid="{06AF7AE9-A7C7-4438-933A-98DF30DAF34A}"/>
    <cellStyle name="Style 382" xfId="4549" xr:uid="{45E591D5-7A3D-4338-BD38-0F12DDB3F103}"/>
    <cellStyle name="Style 382 2" xfId="4839" xr:uid="{F1D9DBA4-077D-4F90-A911-0A1600A5D7F6}"/>
    <cellStyle name="Style 382 2 2" xfId="5833" xr:uid="{0A7211F6-2601-4F77-ADCC-C28290EF8F15}"/>
    <cellStyle name="Style 382 2 2 2" xfId="7486" xr:uid="{AEE3E851-8491-4542-8FAD-13171450C9B2}"/>
    <cellStyle name="Style 382 2 3" xfId="6031" xr:uid="{006B5C2E-D5D1-4CF2-AC7A-0929A05AB653}"/>
    <cellStyle name="Style 382 2 3 2" xfId="7683" xr:uid="{6F6E626B-C22A-463D-8CBE-6E5A72F924C1}"/>
    <cellStyle name="Style 382 2 4" xfId="5448" xr:uid="{B136982E-3CA5-4717-BB77-0A4434A90767}"/>
    <cellStyle name="Style 382 2 4 2" xfId="7112" xr:uid="{59D480FC-31D1-4243-98FE-EF1956FD8C36}"/>
    <cellStyle name="Style 382 2 5" xfId="6304" xr:uid="{930377AD-88A0-4737-A368-158F3DD8DA2B}"/>
    <cellStyle name="Style 382 2 5 2" xfId="7951" xr:uid="{DF3ECF3F-F49B-4E20-AC46-C813EB09318E}"/>
    <cellStyle name="Style 382 2 6" xfId="6527" xr:uid="{5EEDC22B-C681-46F5-819D-F2C515DC0185}"/>
    <cellStyle name="Style 382 3" xfId="4883" xr:uid="{23B25C22-BA9B-480F-AD40-75E3D959F8A8}"/>
    <cellStyle name="Style 382 3 2" xfId="5875" xr:uid="{1B867EC3-0A61-426B-9D61-96904F58A404}"/>
    <cellStyle name="Style 382 3 2 2" xfId="7528" xr:uid="{2E10EBB5-6140-4BAA-8078-B65228EE4E7D}"/>
    <cellStyle name="Style 382 3 3" xfId="6071" xr:uid="{CEBF7358-D44F-4D1E-ADCF-33D7943FB62C}"/>
    <cellStyle name="Style 382 3 3 2" xfId="7723" xr:uid="{EE6BA3DE-F7C9-4EEB-9BBB-0A065F0A16F8}"/>
    <cellStyle name="Style 382 3 4" xfId="5043" xr:uid="{D4624B38-C9AA-430A-B38E-92F41E6CB204}"/>
    <cellStyle name="Style 382 3 4 2" xfId="6720" xr:uid="{4E6289D8-B3DC-47EA-A302-8B6651ABFEF7}"/>
    <cellStyle name="Style 382 3 5" xfId="6568" xr:uid="{CAF42F6A-0F6C-4977-BF71-64149FB6F399}"/>
    <cellStyle name="Style 382 4" xfId="5662" xr:uid="{CFB9C588-6D74-4DEF-809E-20F305B975D3}"/>
    <cellStyle name="Style 382 4 2" xfId="7322" xr:uid="{756BE5DC-9A49-4BD8-B8B1-11AEB47EDB34}"/>
    <cellStyle name="Style 382 5" xfId="4981" xr:uid="{F595177C-CE13-4A5B-841F-87CC3A84C15C}"/>
    <cellStyle name="Style 382 5 2" xfId="6660" xr:uid="{63D9EE2B-672F-4081-B195-F64C83E30848}"/>
    <cellStyle name="Style 382 6" xfId="5638" xr:uid="{EA6C0642-15A6-4DEF-AEDE-78D0E5124DAE}"/>
    <cellStyle name="Style 382 6 2" xfId="7298" xr:uid="{995A3FAB-11C7-42BE-A7A1-8DFE5219127B}"/>
    <cellStyle name="Style 382 7" xfId="5371" xr:uid="{6D2E821B-543E-456B-8EFD-C646E52A1F3F}"/>
    <cellStyle name="Style 382 7 2" xfId="7036" xr:uid="{FCC5B4CF-51EB-4CF6-A9F1-49F585FE5BE2}"/>
    <cellStyle name="Style 382 8" xfId="6405" xr:uid="{78C6A4CA-4C29-46EF-A130-80F4ADE08610}"/>
    <cellStyle name="Style 383" xfId="4550" xr:uid="{81533596-99F0-4F2C-B03C-BEB845E3E484}"/>
    <cellStyle name="Style 394" xfId="4551" xr:uid="{2703CA71-75F7-4D54-92B9-796A6A83EA96}"/>
    <cellStyle name="Style 394 2" xfId="4840" xr:uid="{D9404F18-B316-4520-96AC-1C39CCFCBDF5}"/>
    <cellStyle name="Style 394 2 2" xfId="5834" xr:uid="{5459152D-A6E8-4965-8EC8-35AD6E1373E4}"/>
    <cellStyle name="Style 394 2 2 2" xfId="7487" xr:uid="{339C323C-E558-4C8C-9A44-80EFE50B6B37}"/>
    <cellStyle name="Style 394 2 3" xfId="6032" xr:uid="{C3D7AF47-87CE-4EAB-90A8-F94AEDCBFF9D}"/>
    <cellStyle name="Style 394 2 3 2" xfId="7684" xr:uid="{0AD16F70-A2B5-49F2-BA57-CAD8CDB71686}"/>
    <cellStyle name="Style 394 2 4" xfId="5449" xr:uid="{53D94CF9-9E6D-4E06-B6D7-FA23479B9B6E}"/>
    <cellStyle name="Style 394 2 4 2" xfId="7113" xr:uid="{5D9C8265-160E-4EA5-A0DD-AB7E89F0BBEC}"/>
    <cellStyle name="Style 394 2 5" xfId="6305" xr:uid="{CBD343AB-CEFF-44BF-868F-710C2AC8B0CD}"/>
    <cellStyle name="Style 394 2 5 2" xfId="7952" xr:uid="{711E3726-7182-45EF-B0E2-DAE5292AEF65}"/>
    <cellStyle name="Style 394 2 6" xfId="6528" xr:uid="{1018E90A-83E1-4ACD-9EE0-19D446627004}"/>
    <cellStyle name="Style 394 3" xfId="4882" xr:uid="{F69C0053-73B1-4DE4-827F-90525688F36B}"/>
    <cellStyle name="Style 394 3 2" xfId="5874" xr:uid="{43DC398C-5521-4D19-8199-1B15809CCDCC}"/>
    <cellStyle name="Style 394 3 2 2" xfId="7527" xr:uid="{5DA42CEE-E11A-4E29-BE54-19E9F7D03623}"/>
    <cellStyle name="Style 394 3 3" xfId="6070" xr:uid="{681811DC-C99B-4109-95DF-72A7A38D3559}"/>
    <cellStyle name="Style 394 3 3 2" xfId="7722" xr:uid="{B593173E-09A0-4B80-A5D0-18F2CE2BD98E}"/>
    <cellStyle name="Style 394 3 4" xfId="5546" xr:uid="{077C77D6-8734-417B-A04A-B9D9378FF554}"/>
    <cellStyle name="Style 394 3 4 2" xfId="7209" xr:uid="{F9A4415A-7E92-42F8-BE53-E248C3A35F3B}"/>
    <cellStyle name="Style 394 3 5" xfId="6567" xr:uid="{5A4B2694-5C2A-4679-8598-0083D4E0561B}"/>
    <cellStyle name="Style 394 4" xfId="5663" xr:uid="{995887E0-DDB5-482F-A59C-0CDD18C68517}"/>
    <cellStyle name="Style 394 4 2" xfId="7323" xr:uid="{7B0E4DBD-2AD7-4638-A40B-61632EFBC73B}"/>
    <cellStyle name="Style 394 5" xfId="4980" xr:uid="{88465FB4-2D88-42C2-AC80-D9BF18FD397F}"/>
    <cellStyle name="Style 394 5 2" xfId="6659" xr:uid="{3029E8D4-B917-4570-A758-E2A3B7BF7464}"/>
    <cellStyle name="Style 394 6" xfId="5639" xr:uid="{CB5BF778-E815-4EEA-8D34-D0B0432ABFD0}"/>
    <cellStyle name="Style 394 6 2" xfId="7299" xr:uid="{852E0487-5DBB-4202-9A1D-E46616BB6FF5}"/>
    <cellStyle name="Style 394 7" xfId="5372" xr:uid="{F4D55146-03A4-4021-8C95-988342E18ACE}"/>
    <cellStyle name="Style 394 7 2" xfId="7037" xr:uid="{C2899B14-7029-4DF1-8CDD-CF4D4F14B1DA}"/>
    <cellStyle name="Style 394 8" xfId="6406" xr:uid="{63EBA5C0-5A2A-40E4-9425-99ED2AFA2DC0}"/>
    <cellStyle name="Style 395" xfId="4552" xr:uid="{FB91F4BA-450D-4BD0-B64F-801B671634CA}"/>
    <cellStyle name="Style 395 2" xfId="4841" xr:uid="{91DB203B-32F5-48B0-8709-19FE90BDDF96}"/>
    <cellStyle name="Style 395 2 2" xfId="5835" xr:uid="{4A77F932-736D-4A47-A30D-BB7A235F5928}"/>
    <cellStyle name="Style 395 2 2 2" xfId="7488" xr:uid="{CCE88D37-7145-41DB-9D88-A8B438064BBB}"/>
    <cellStyle name="Style 395 2 3" xfId="6033" xr:uid="{26745A1E-1D3A-4533-9A16-F7B5B0A08B51}"/>
    <cellStyle name="Style 395 2 3 2" xfId="7685" xr:uid="{BE083562-9BCA-448E-B941-C8AB559E11B1}"/>
    <cellStyle name="Style 395 2 4" xfId="5450" xr:uid="{1BB182A4-A1F2-4D74-9D07-E034A8758C77}"/>
    <cellStyle name="Style 395 2 4 2" xfId="7114" xr:uid="{1754F231-682A-4E96-8E4A-D6417EBC509B}"/>
    <cellStyle name="Style 395 2 5" xfId="6306" xr:uid="{7F9855C2-F413-481B-BFB0-0197D2D60B53}"/>
    <cellStyle name="Style 395 2 5 2" xfId="7953" xr:uid="{4A3D8E4D-3B88-4D1E-8DC3-A60C19BA4B55}"/>
    <cellStyle name="Style 395 2 6" xfId="6529" xr:uid="{0F77EEF1-7846-4C81-8F8A-D3FB993EC127}"/>
    <cellStyle name="Style 395 3" xfId="4881" xr:uid="{4C9F12EA-DACB-4522-8688-803D52949F80}"/>
    <cellStyle name="Style 395 3 2" xfId="5873" xr:uid="{691B9648-E491-4D13-8C2C-A0CFF5E74882}"/>
    <cellStyle name="Style 395 3 2 2" xfId="7526" xr:uid="{5489AF86-7E0E-4705-929B-38C79ABA8531}"/>
    <cellStyle name="Style 395 3 3" xfId="6069" xr:uid="{0DFF45A7-CF6D-4A69-A541-51BF3783C611}"/>
    <cellStyle name="Style 395 3 3 2" xfId="7721" xr:uid="{BF06197D-8EEE-4CFC-9462-EF30C1C7290C}"/>
    <cellStyle name="Style 395 3 4" xfId="5541" xr:uid="{FEEF6C97-5543-45D0-BA6A-719A68952955}"/>
    <cellStyle name="Style 395 3 4 2" xfId="7204" xr:uid="{27938C97-BF61-4D91-BE5A-2071AFDB13AA}"/>
    <cellStyle name="Style 395 3 5" xfId="6566" xr:uid="{68FEA6AD-B4AF-4382-BCC1-9761F1AF1BC3}"/>
    <cellStyle name="Style 395 4" xfId="5664" xr:uid="{5F32EF70-4F83-4679-B7FF-A6998E041697}"/>
    <cellStyle name="Style 395 4 2" xfId="7324" xr:uid="{9FC07BDB-4CDC-4A55-81DC-D9E98528236E}"/>
    <cellStyle name="Style 395 5" xfId="4979" xr:uid="{BBF833B0-C7EB-4700-8DC8-2293A54BF6A8}"/>
    <cellStyle name="Style 395 5 2" xfId="6658" xr:uid="{25EB70C4-99C2-4D33-B047-89DF564190BC}"/>
    <cellStyle name="Style 395 6" xfId="5640" xr:uid="{96D1A0DB-8AF3-487C-B27C-327CFFF9E9AA}"/>
    <cellStyle name="Style 395 6 2" xfId="7300" xr:uid="{08A9AC57-C5DA-4AED-AF17-C6CEE8D19A61}"/>
    <cellStyle name="Style 395 7" xfId="5373" xr:uid="{E0A56968-4908-4522-8BA0-6D688B167DE8}"/>
    <cellStyle name="Style 395 7 2" xfId="7038" xr:uid="{77EE3A37-3D2B-49D0-858D-9C9018D2E089}"/>
    <cellStyle name="Style 395 8" xfId="6407" xr:uid="{ABA85EC9-10D3-49FF-BEBF-4088FAD012AA}"/>
    <cellStyle name="Style 396" xfId="4553" xr:uid="{CE311FB5-D21B-4D37-ACA8-1ED0062CAAB8}"/>
    <cellStyle name="Style 397" xfId="4554" xr:uid="{E78B1BF4-E5A1-4C39-A564-C14CF7082AD3}"/>
    <cellStyle name="Style 397 2" xfId="4555" xr:uid="{67B3764C-1E1D-43D6-98D6-3516E9C2FEB1}"/>
    <cellStyle name="Style 398" xfId="4556" xr:uid="{2A90DF3D-7BF3-4D5B-8546-662762AC97A5}"/>
    <cellStyle name="Style 399" xfId="4557" xr:uid="{8D61E679-B49E-4337-BCA5-FACBF1C0B17F}"/>
    <cellStyle name="Style 405" xfId="4558" xr:uid="{DB31BA01-F2F1-49D0-92AF-BD92EE99B0CD}"/>
    <cellStyle name="Style 406" xfId="4559" xr:uid="{FA810111-ADF7-4A5A-91DF-7ADD3CA2AC1F}"/>
    <cellStyle name="Style 407" xfId="4560" xr:uid="{6B0AD077-0C9A-4756-880C-21C7D32B3144}"/>
    <cellStyle name="Style 408" xfId="4561" xr:uid="{221792F5-7BB2-4445-A771-4750DAE56548}"/>
    <cellStyle name="Style 409" xfId="4562" xr:uid="{A695FD35-5559-4B84-99D9-AD97F868E685}"/>
    <cellStyle name="Style 410" xfId="4563" xr:uid="{CA41CC8A-98AD-4AA7-A7B5-9B3D52F67A36}"/>
    <cellStyle name="Style 411" xfId="4564" xr:uid="{D104AC9B-4FD0-4C19-A843-2721F779F8AE}"/>
    <cellStyle name="Style 412" xfId="4565" xr:uid="{977A55AB-D369-456E-9982-316BBA50957F}"/>
    <cellStyle name="Style 413" xfId="4566" xr:uid="{ACF57AF2-44C9-497E-9478-94FAD8E79AA4}"/>
    <cellStyle name="Style 413 2" xfId="4842" xr:uid="{7FD04129-D7DE-42BB-90F5-E0AC5CCFE34F}"/>
    <cellStyle name="Style 413 2 2" xfId="5836" xr:uid="{9B0E724A-BDFE-416C-8C81-0005C6CA208F}"/>
    <cellStyle name="Style 413 2 2 2" xfId="7489" xr:uid="{9A41EFF1-16EE-480D-847F-58AA1F726C5B}"/>
    <cellStyle name="Style 413 2 3" xfId="6034" xr:uid="{02F27B97-1089-4EB5-A307-3DCFF6AB1408}"/>
    <cellStyle name="Style 413 2 3 2" xfId="7686" xr:uid="{E44DB6CE-5EC6-41D3-9E81-5EA393789353}"/>
    <cellStyle name="Style 413 2 4" xfId="5451" xr:uid="{F7AAE6E1-386F-4648-A9AE-E52EB4969D94}"/>
    <cellStyle name="Style 413 2 4 2" xfId="7115" xr:uid="{205FF015-5832-4060-B1B7-7C1EC5486DCD}"/>
    <cellStyle name="Style 413 2 5" xfId="6307" xr:uid="{8514CF48-26FA-4090-8D46-1BBA713D2150}"/>
    <cellStyle name="Style 413 2 5 2" xfId="7954" xr:uid="{C9543843-E8D1-48F3-9000-E336CB9B3216}"/>
    <cellStyle name="Style 413 2 6" xfId="6530" xr:uid="{746C441F-DAD8-4E82-BB8C-668DAE85DCF8}"/>
    <cellStyle name="Style 413 3" xfId="4880" xr:uid="{D316FF96-F972-4FCE-8495-B182544EF4A3}"/>
    <cellStyle name="Style 413 3 2" xfId="5872" xr:uid="{96D4663B-B45F-4F54-B794-A814B8C2F1BF}"/>
    <cellStyle name="Style 413 3 2 2" xfId="7525" xr:uid="{4E7BC4CB-E1AA-459E-ACDB-B648F75A8EB8}"/>
    <cellStyle name="Style 413 3 3" xfId="6068" xr:uid="{D8BBAF0A-B6EB-4D99-B71F-7C3CC386C9C0}"/>
    <cellStyle name="Style 413 3 3 2" xfId="7720" xr:uid="{93D97A13-4026-4D6D-ADA7-F4E90D08C80D}"/>
    <cellStyle name="Style 413 3 4" xfId="5031" xr:uid="{E70A0D0E-B518-4573-A46F-44362905D464}"/>
    <cellStyle name="Style 413 3 4 2" xfId="6708" xr:uid="{EDC40A1A-76B7-45C2-9030-36BB36EB2F8D}"/>
    <cellStyle name="Style 413 3 5" xfId="6565" xr:uid="{6DA5253D-2423-41D5-9A0C-AAC3B332BC09}"/>
    <cellStyle name="Style 413 4" xfId="5666" xr:uid="{DC311288-2BB5-4FDE-8B1C-B793316A8288}"/>
    <cellStyle name="Style 413 4 2" xfId="7326" xr:uid="{125B2389-581C-4319-A8B5-1D6C09DE1AB1}"/>
    <cellStyle name="Style 413 5" xfId="4975" xr:uid="{9505A998-E972-45BB-8AD4-A4323E673D69}"/>
    <cellStyle name="Style 413 5 2" xfId="6655" xr:uid="{40334AD2-3457-4E58-9474-5BC9A69D0D48}"/>
    <cellStyle name="Style 413 6" xfId="5646" xr:uid="{207ECD63-7BEE-4C7B-A213-4803CEA8EDDB}"/>
    <cellStyle name="Style 413 6 2" xfId="7306" xr:uid="{A5515388-6218-46EC-8B66-653136FF0C6B}"/>
    <cellStyle name="Style 413 7" xfId="5065" xr:uid="{C8D1E17E-8E90-41A8-960A-C718510253AB}"/>
    <cellStyle name="Style 413 7 2" xfId="6739" xr:uid="{ACD15AAA-29CE-4DCC-98E7-1942D0B3D1DB}"/>
    <cellStyle name="Style 413 8" xfId="6408" xr:uid="{ACF7A97F-76CB-40F0-AFD8-8C95DFB7B54B}"/>
    <cellStyle name="Style 414" xfId="4567" xr:uid="{1B49FDC4-6DF5-4E4F-B0AC-9769623F4F4A}"/>
    <cellStyle name="Style 414 2" xfId="4843" xr:uid="{20BFC20B-19E7-4475-BD7F-65815FE7BC1F}"/>
    <cellStyle name="Style 414 2 2" xfId="5837" xr:uid="{C2A8A8A4-B553-481F-83C8-6A6B78D8932B}"/>
    <cellStyle name="Style 414 2 2 2" xfId="7490" xr:uid="{CAFA8074-90B7-4109-88FF-C869183CD429}"/>
    <cellStyle name="Style 414 2 3" xfId="6035" xr:uid="{AFD45AA3-F29F-4B53-B00F-4A921A94BB79}"/>
    <cellStyle name="Style 414 2 3 2" xfId="7687" xr:uid="{18EE56C3-6B78-481D-A5DE-438140ADDCA7}"/>
    <cellStyle name="Style 414 2 4" xfId="5452" xr:uid="{3360D493-D915-4976-B03E-960013200508}"/>
    <cellStyle name="Style 414 2 4 2" xfId="7116" xr:uid="{ECA2747F-762C-41E9-9FE8-A5CDD97F074F}"/>
    <cellStyle name="Style 414 2 5" xfId="6308" xr:uid="{1244AF7A-BBE5-4BED-A35F-D34B39BC4103}"/>
    <cellStyle name="Style 414 2 5 2" xfId="7955" xr:uid="{1519CD68-1B1F-4EEC-9FBB-6BF5644AB54D}"/>
    <cellStyle name="Style 414 2 6" xfId="6531" xr:uid="{631AE887-98CA-467F-AA29-E272BA8BB699}"/>
    <cellStyle name="Style 414 3" xfId="4879" xr:uid="{7D3CAA4A-455C-48C5-83E8-0E32330F7235}"/>
    <cellStyle name="Style 414 3 2" xfId="5871" xr:uid="{EA5E4CB5-431D-4BF4-809C-F6AA46B679B9}"/>
    <cellStyle name="Style 414 3 2 2" xfId="7524" xr:uid="{A9BA3628-47DF-4C34-A469-8981610633A6}"/>
    <cellStyle name="Style 414 3 3" xfId="6067" xr:uid="{C4C50598-B2BD-4108-B11C-92A5559A9673}"/>
    <cellStyle name="Style 414 3 3 2" xfId="7719" xr:uid="{04DA061A-6EC4-4BCA-A826-2F7380DA117B}"/>
    <cellStyle name="Style 414 3 4" xfId="6188" xr:uid="{E7E79125-6F2B-4ABF-9A36-E4277B11794A}"/>
    <cellStyle name="Style 414 3 4 2" xfId="7835" xr:uid="{12814C2F-F331-48FE-B64C-4F954F35678D}"/>
    <cellStyle name="Style 414 3 5" xfId="6564" xr:uid="{F8CA8467-466A-4FA0-B3F1-D283479D583A}"/>
    <cellStyle name="Style 414 4" xfId="5667" xr:uid="{25425950-DA6D-4FD8-A09E-BEF76422ACB9}"/>
    <cellStyle name="Style 414 4 2" xfId="7327" xr:uid="{A20F1B96-C46C-4B30-BFB2-1A3C37998C35}"/>
    <cellStyle name="Style 414 5" xfId="4974" xr:uid="{E85F0E9D-9822-4F40-BEA2-1CCD5448EA0E}"/>
    <cellStyle name="Style 414 5 2" xfId="6654" xr:uid="{71BB1672-FF65-402D-AB2C-94420C2D0CB8}"/>
    <cellStyle name="Style 414 6" xfId="5647" xr:uid="{37539D16-1BFF-4B70-91A0-B9B529F12032}"/>
    <cellStyle name="Style 414 6 2" xfId="7307" xr:uid="{4049F45D-41FC-4365-A104-4AC1085D7172}"/>
    <cellStyle name="Style 414 7" xfId="5016" xr:uid="{0E150A65-4666-4C91-843B-E69F5B6676E7}"/>
    <cellStyle name="Style 414 7 2" xfId="6695" xr:uid="{1295C097-10E6-433C-B0D8-738F723879C2}"/>
    <cellStyle name="Style 414 8" xfId="6409" xr:uid="{DE3075D9-ECBF-4D64-93F7-34CBD094BCA8}"/>
    <cellStyle name="Style 415" xfId="4568" xr:uid="{1E6B7D3C-C8FA-4774-B173-5B0A578829E5}"/>
    <cellStyle name="Style 416" xfId="4569" xr:uid="{C25D2601-20A0-47CD-B88D-6E4134AE4422}"/>
    <cellStyle name="Style 417" xfId="4570" xr:uid="{E1D680BE-E625-4860-91E1-9F2D6CEF2863}"/>
    <cellStyle name="Style 418" xfId="4571" xr:uid="{10F574A1-5D98-4499-A528-C207F05DFD57}"/>
    <cellStyle name="Style 442" xfId="4572" xr:uid="{343E66C7-8586-47C3-AC17-AC9901FAD94D}"/>
    <cellStyle name="Style 442 2" xfId="4844" xr:uid="{81FFBF1B-9845-41E2-8F93-FB680B0AAA5A}"/>
    <cellStyle name="Style 442 2 2" xfId="5838" xr:uid="{CC4C7C1B-6742-4F80-82F0-76F654FEB50A}"/>
    <cellStyle name="Style 442 2 2 2" xfId="7491" xr:uid="{84733615-38A1-4E7A-BA82-16E7486B5D23}"/>
    <cellStyle name="Style 442 2 3" xfId="6036" xr:uid="{8DD1E5FC-C3CD-4E22-B6DA-14E29129E972}"/>
    <cellStyle name="Style 442 2 3 2" xfId="7688" xr:uid="{54EE30F6-0BFD-4932-A842-68C738CC4B6F}"/>
    <cellStyle name="Style 442 2 4" xfId="5610" xr:uid="{6AFDD5CE-8E3E-4C7B-AD95-FBC60E494702}"/>
    <cellStyle name="Style 442 2 4 2" xfId="7270" xr:uid="{DD987AB9-04F7-4093-912D-823E804CD9B9}"/>
    <cellStyle name="Style 442 2 5" xfId="6309" xr:uid="{0FD270CA-A725-4542-BFA6-D74E4E0039AE}"/>
    <cellStyle name="Style 442 2 5 2" xfId="7956" xr:uid="{15453DBE-196D-419C-82FE-0569FF69C1E9}"/>
    <cellStyle name="Style 442 2 6" xfId="6532" xr:uid="{D2E1FCED-0C63-4ED8-A3A4-AAB4B1DA01C8}"/>
    <cellStyle name="Style 442 3" xfId="4878" xr:uid="{B67AD596-2F80-48B9-87F6-C0901F8CE3CB}"/>
    <cellStyle name="Style 442 3 2" xfId="5870" xr:uid="{B8B961E9-6829-472F-B981-76966D84B359}"/>
    <cellStyle name="Style 442 3 2 2" xfId="7523" xr:uid="{9C91C9AA-5D47-451A-8528-9F2ACAD0E57D}"/>
    <cellStyle name="Style 442 3 3" xfId="6066" xr:uid="{4D0ACAB5-3668-4269-B9CD-350879ACDE23}"/>
    <cellStyle name="Style 442 3 3 2" xfId="7718" xr:uid="{B559FA67-6334-4881-A17B-2D70FF7BF575}"/>
    <cellStyle name="Style 442 3 4" xfId="5547" xr:uid="{473369BE-2284-48D3-A8B8-DA9004F5AFAD}"/>
    <cellStyle name="Style 442 3 4 2" xfId="7210" xr:uid="{7A18E4DD-E940-40E7-A96B-CEB36C8645DF}"/>
    <cellStyle name="Style 442 3 5" xfId="6563" xr:uid="{E6280D43-708B-42E8-AE90-141105B52D86}"/>
    <cellStyle name="Style 442 4" xfId="5668" xr:uid="{AB4AA40A-C4C0-4F25-B9A8-8AD8576D2859}"/>
    <cellStyle name="Style 442 4 2" xfId="7328" xr:uid="{C03C8AF0-308E-4A3D-A6F9-8640A434471A}"/>
    <cellStyle name="Style 442 5" xfId="4973" xr:uid="{E0BD83D4-C333-4705-A184-ED7C0B754D33}"/>
    <cellStyle name="Style 442 5 2" xfId="6653" xr:uid="{B0A7B010-6A61-4B0E-B3FE-292112C8A2D7}"/>
    <cellStyle name="Style 442 6" xfId="5649" xr:uid="{517E2309-8DA5-4334-9D16-F9EBC9B1A958}"/>
    <cellStyle name="Style 442 6 2" xfId="7309" xr:uid="{429F1428-3277-4544-9638-73346ABF4BB8}"/>
    <cellStyle name="Style 442 7" xfId="5375" xr:uid="{4A3E6325-9C93-49BC-9708-E878C7E405DD}"/>
    <cellStyle name="Style 442 7 2" xfId="7040" xr:uid="{DDC239CD-4449-4BCE-809C-44EEBEB8E861}"/>
    <cellStyle name="Style 442 8" xfId="6410" xr:uid="{5755C2AA-E85B-41D1-BEAD-162A5C07B3ED}"/>
    <cellStyle name="Style 443" xfId="4573" xr:uid="{78C6625F-AA93-4E32-AF82-D7ADDC0FD78B}"/>
    <cellStyle name="Style 444" xfId="4574" xr:uid="{AD169A0E-EAC2-48F5-93D2-E90597B17DC0}"/>
    <cellStyle name="Style 444 2" xfId="4845" xr:uid="{ECE082E2-8F3A-494A-AB48-48187BDB90AE}"/>
    <cellStyle name="Style 444 2 2" xfId="5839" xr:uid="{88C32A61-2FA2-411D-B1C5-B96C1213E4A4}"/>
    <cellStyle name="Style 444 2 2 2" xfId="7492" xr:uid="{CE4C0610-9657-428B-8D77-DE3D4DCEC95C}"/>
    <cellStyle name="Style 444 2 3" xfId="6037" xr:uid="{1413B2E5-9149-4249-B0AB-D8D2BCBF8517}"/>
    <cellStyle name="Style 444 2 3 2" xfId="7689" xr:uid="{36C3AE29-69C8-40EB-929B-41DF65E6BECF}"/>
    <cellStyle name="Style 444 2 4" xfId="5552" xr:uid="{E1F34020-F129-4F00-A8A8-F08FFAA57195}"/>
    <cellStyle name="Style 444 2 4 2" xfId="7215" xr:uid="{B31CDA21-616B-4F7D-BEA6-C2B2FEFCE746}"/>
    <cellStyle name="Style 444 2 5" xfId="6310" xr:uid="{4AE2A157-5B89-4FE7-B9FB-37B89A6D7920}"/>
    <cellStyle name="Style 444 2 5 2" xfId="7957" xr:uid="{39C2F9B2-FF7A-49AF-9C50-8B4D58F3AEDE}"/>
    <cellStyle name="Style 444 2 6" xfId="6533" xr:uid="{13EB2B91-6750-486E-9F3B-D70ABEBE7D86}"/>
    <cellStyle name="Style 444 3" xfId="4877" xr:uid="{3EBCA08D-646C-43F8-BEA8-E409A45AF51B}"/>
    <cellStyle name="Style 444 3 2" xfId="5869" xr:uid="{0AF0BF46-91D1-49CC-B450-B035ED252024}"/>
    <cellStyle name="Style 444 3 2 2" xfId="7522" xr:uid="{956192AE-F6BE-4F13-98E2-3E8D570A392D}"/>
    <cellStyle name="Style 444 3 3" xfId="6065" xr:uid="{A8FC83FE-631D-49F5-8A10-9FA3F6EB3F9C}"/>
    <cellStyle name="Style 444 3 3 2" xfId="7717" xr:uid="{7B7DC190-845F-4A0F-90E0-06BFFF92C3AE}"/>
    <cellStyle name="Style 444 3 4" xfId="5540" xr:uid="{C4900917-05FE-4AB5-AD00-0513260784D7}"/>
    <cellStyle name="Style 444 3 4 2" xfId="7203" xr:uid="{6AF55D76-BB8A-4BE8-B431-F8313FF134AD}"/>
    <cellStyle name="Style 444 3 5" xfId="6562" xr:uid="{CE734E5C-7FBB-4969-BF6E-9A1FDC563020}"/>
    <cellStyle name="Style 444 4" xfId="5669" xr:uid="{C6E773C3-9E2B-4950-870B-C97A4DDA1F07}"/>
    <cellStyle name="Style 444 4 2" xfId="7329" xr:uid="{0C23FD5F-A34F-4CBF-8D2C-DDABA8034EBB}"/>
    <cellStyle name="Style 444 5" xfId="4972" xr:uid="{207F45BB-2B8C-4338-B6E1-E91B0987710F}"/>
    <cellStyle name="Style 444 5 2" xfId="6652" xr:uid="{A1AF0718-3FAF-4A58-9372-E78F9F70BB39}"/>
    <cellStyle name="Style 444 6" xfId="5660" xr:uid="{E5ABEF17-602F-45C4-9EB9-E48A52FE4ED9}"/>
    <cellStyle name="Style 444 6 2" xfId="7320" xr:uid="{0C0CCB5F-3E34-443C-8063-134B225C6B4B}"/>
    <cellStyle name="Style 444 7" xfId="5064" xr:uid="{17FC33C5-A34F-4531-ABC6-EA20BFC8EDFF}"/>
    <cellStyle name="Style 444 7 2" xfId="6738" xr:uid="{63E5BE93-1FF2-4EE1-BE6C-9F3F14CFEEB7}"/>
    <cellStyle name="Style 444 8" xfId="6411" xr:uid="{1A15F55B-7240-451D-8F58-3509E841D293}"/>
    <cellStyle name="Style 445" xfId="4575" xr:uid="{0420A55D-9851-4802-98F9-AED7847A258F}"/>
    <cellStyle name="Style 445 2" xfId="4846" xr:uid="{2C70880B-499E-49FE-BC3D-CA0F06357910}"/>
    <cellStyle name="Style 445 2 2" xfId="5840" xr:uid="{947F22D8-78F4-4FD8-8599-22B8DA92C055}"/>
    <cellStyle name="Style 445 2 2 2" xfId="7493" xr:uid="{2F007BA1-45EE-4261-9F30-A220B103672B}"/>
    <cellStyle name="Style 445 2 3" xfId="6038" xr:uid="{DEFE839D-B0FA-43D8-AC3F-E4FC7DBA9789}"/>
    <cellStyle name="Style 445 2 3 2" xfId="7690" xr:uid="{53E4E76D-103E-4996-9A75-F723AF0E751B}"/>
    <cellStyle name="Style 445 2 4" xfId="5453" xr:uid="{DC11F1FE-2F79-4983-AE8B-772218142BB1}"/>
    <cellStyle name="Style 445 2 4 2" xfId="7117" xr:uid="{3BB8C18B-69D7-4743-A296-38C9F2A3BB46}"/>
    <cellStyle name="Style 445 2 5" xfId="6311" xr:uid="{835C5122-8D3F-48D2-959D-CE0E9BB56B99}"/>
    <cellStyle name="Style 445 2 5 2" xfId="7958" xr:uid="{C7B82D56-53DA-46A2-B95A-144749441927}"/>
    <cellStyle name="Style 445 2 6" xfId="6534" xr:uid="{8ED31A21-500C-4168-9FDF-E725CEB22D55}"/>
    <cellStyle name="Style 445 3" xfId="4876" xr:uid="{99CB81F8-07A7-4B4C-AC12-A63C77F75A87}"/>
    <cellStyle name="Style 445 3 2" xfId="5868" xr:uid="{C806B14D-7834-46F8-BC8D-640F6CDDC357}"/>
    <cellStyle name="Style 445 3 2 2" xfId="7521" xr:uid="{A4AFB153-14A2-47D8-B151-68E612355DFD}"/>
    <cellStyle name="Style 445 3 3" xfId="6064" xr:uid="{3449F0E6-E0B8-4B64-A08E-3632552FBCDB}"/>
    <cellStyle name="Style 445 3 3 2" xfId="7716" xr:uid="{03BC3EF7-3D72-4EF6-8A05-8576CD540A5B}"/>
    <cellStyle name="Style 445 3 4" xfId="5042" xr:uid="{0D3712F4-7A7F-4654-80C2-EFE54C6284CC}"/>
    <cellStyle name="Style 445 3 4 2" xfId="6719" xr:uid="{8FA5FBCF-49CE-4E58-BC77-087F9F8F6F07}"/>
    <cellStyle name="Style 445 3 5" xfId="6561" xr:uid="{A9FE49BA-7478-4249-8D8F-4A089260CD5F}"/>
    <cellStyle name="Style 445 4" xfId="5670" xr:uid="{E7753CA4-EA36-439E-8573-D56F24782C53}"/>
    <cellStyle name="Style 445 4 2" xfId="7330" xr:uid="{5F35E71D-0157-47C6-9AE7-A9F3B8506323}"/>
    <cellStyle name="Style 445 5" xfId="4971" xr:uid="{183B5E31-7B8B-439B-B1CE-3A0DDCC390A2}"/>
    <cellStyle name="Style 445 5 2" xfId="6651" xr:uid="{E267F33E-D500-4775-9AB9-CFBDF6D0A369}"/>
    <cellStyle name="Style 445 6" xfId="5661" xr:uid="{E189C996-B09D-4584-9B6D-D74DE9F046FD}"/>
    <cellStyle name="Style 445 6 2" xfId="7321" xr:uid="{1F0743D2-5B69-4A77-94AB-17339DF37EDB}"/>
    <cellStyle name="Style 445 7" xfId="5086" xr:uid="{B326A230-52E3-4CB2-A851-9D8636C3A5AC}"/>
    <cellStyle name="Style 445 7 2" xfId="6760" xr:uid="{8907F8DD-5877-41DD-B2E3-9A496FAB9BAB}"/>
    <cellStyle name="Style 445 8" xfId="6412" xr:uid="{E9EC5B0B-FBBF-4FA6-A85D-C422D24C0405}"/>
    <cellStyle name="Style 446" xfId="4576" xr:uid="{6CE17E51-2E76-4EB0-9A5D-F813AC480E8D}"/>
    <cellStyle name="Style 447" xfId="4577" xr:uid="{AAF1E26C-3483-43ED-AB61-618D38F96251}"/>
    <cellStyle name="Style 447 2" xfId="4578" xr:uid="{ADAB34B8-2715-4265-A381-169D2122D498}"/>
    <cellStyle name="Style 448" xfId="4579" xr:uid="{0B254006-BCF4-411C-A8B2-A58EE40597D3}"/>
    <cellStyle name="Style 449" xfId="4580" xr:uid="{ADA55DDF-1114-4D99-9C6A-39E87ECE43BD}"/>
    <cellStyle name="Style 593" xfId="4581" xr:uid="{98D0D689-9781-4594-9FCF-FCD4C57836FB}"/>
    <cellStyle name="Style 594" xfId="4582" xr:uid="{52CCA7D6-CDB5-4569-9B7F-496665A6DA6C}"/>
    <cellStyle name="Style 594 2" xfId="4583" xr:uid="{68CE60E4-1CE9-493D-8A1E-13375A3E76C3}"/>
    <cellStyle name="Style 595" xfId="4584" xr:uid="{A9A3A039-AAC8-4586-9F0B-9A8E20C6CB89}"/>
    <cellStyle name="Style 595 2" xfId="4585" xr:uid="{F2A0879E-BCCB-4AAF-B4D0-5FA1F426A45E}"/>
    <cellStyle name="Style 596" xfId="4586" xr:uid="{FF3BF980-C9AA-46DA-B01D-A001B5935369}"/>
    <cellStyle name="Style 597" xfId="4587" xr:uid="{BEB84636-61ED-46A2-A18F-DBA2DE909A9C}"/>
    <cellStyle name="Style 598" xfId="4588" xr:uid="{2A79A5AE-A9F9-45A8-9844-6D619C1D4491}"/>
    <cellStyle name="Style 598 2" xfId="4589" xr:uid="{48189ED1-BB8C-41F6-B780-2C4A3D5BA4C6}"/>
    <cellStyle name="Style 599" xfId="4590" xr:uid="{E54AFDBC-F237-494A-9540-0E3F55AAC4E9}"/>
    <cellStyle name="Style 599 2" xfId="4591" xr:uid="{975D3947-65D7-4D79-AC3B-F643FD1AE13B}"/>
    <cellStyle name="Style 600" xfId="4592" xr:uid="{8C71AC7D-33B0-4C02-B191-0CA454D93C18}"/>
    <cellStyle name="Style 600 2" xfId="4847" xr:uid="{754FAE88-F132-48BE-B670-D98EFCB05263}"/>
    <cellStyle name="Style 600 2 2" xfId="5841" xr:uid="{A0A0EDA1-831C-44F3-B756-4855F39A4A03}"/>
    <cellStyle name="Style 600 2 2 2" xfId="7494" xr:uid="{5388E19F-6E08-46FF-B73D-DB0B175700FA}"/>
    <cellStyle name="Style 600 2 3" xfId="6039" xr:uid="{0331B9F6-9519-4EA1-8FCE-FF5F7214367F}"/>
    <cellStyle name="Style 600 2 3 2" xfId="7691" xr:uid="{F713C41D-A4B6-4652-8D0D-A449BDBD092C}"/>
    <cellStyle name="Style 600 2 4" xfId="5454" xr:uid="{458822E5-93C4-4C37-9894-1C0502A8E80D}"/>
    <cellStyle name="Style 600 2 4 2" xfId="7118" xr:uid="{F09E38A3-4C19-45D5-B32A-2D67A6757471}"/>
    <cellStyle name="Style 600 2 5" xfId="6312" xr:uid="{95781F22-4028-4BA4-8539-ED6516DE55A4}"/>
    <cellStyle name="Style 600 2 5 2" xfId="7959" xr:uid="{A899BEFE-43A8-403A-A332-D99A21878218}"/>
    <cellStyle name="Style 600 2 6" xfId="6535" xr:uid="{055E8B55-FC8C-4F83-90D3-EE0796164ADF}"/>
    <cellStyle name="Style 600 3" xfId="4875" xr:uid="{2717C27B-B1F9-4B41-A29F-EC39C0DD8B07}"/>
    <cellStyle name="Style 600 3 2" xfId="5867" xr:uid="{D50CCEFA-CEA5-4074-A678-4DA24BD46934}"/>
    <cellStyle name="Style 600 3 2 2" xfId="7520" xr:uid="{B449851A-7C3C-4ED3-939F-BB3C29DDB49D}"/>
    <cellStyle name="Style 600 3 3" xfId="6063" xr:uid="{B6F77A1C-F05C-4147-B441-93C3C75AD707}"/>
    <cellStyle name="Style 600 3 3 2" xfId="7715" xr:uid="{590BCB3D-BA1D-4120-BF60-5EF8F69C9064}"/>
    <cellStyle name="Style 600 3 4" xfId="5032" xr:uid="{E3E3388B-F123-4E9C-87A7-DF49ECEADCF5}"/>
    <cellStyle name="Style 600 3 4 2" xfId="6709" xr:uid="{1F46F05E-3A39-4C11-B518-67A22A7DC3FF}"/>
    <cellStyle name="Style 600 3 5" xfId="6560" xr:uid="{0552A524-E08F-47C0-91EE-B35295DA07D7}"/>
    <cellStyle name="Style 600 4" xfId="5673" xr:uid="{4CF644AF-A70A-4CBE-847B-A874B133A462}"/>
    <cellStyle name="Style 600 4 2" xfId="7333" xr:uid="{F02FFE7E-9B72-4A99-A349-AC1061F63255}"/>
    <cellStyle name="Style 600 5" xfId="4968" xr:uid="{5F767B1D-438B-46E3-B18F-B5A4221F77FB}"/>
    <cellStyle name="Style 600 5 2" xfId="6648" xr:uid="{777B9CFA-E65C-4F21-A56B-3B20D4763C0F}"/>
    <cellStyle name="Style 600 6" xfId="5665" xr:uid="{4E1F52B5-EEC4-4754-AC4F-10877D47B506}"/>
    <cellStyle name="Style 600 6 2" xfId="7325" xr:uid="{01D62B25-56CB-4195-87C9-66B839276B2A}"/>
    <cellStyle name="Style 600 7" xfId="5377" xr:uid="{C3205EAB-9260-4843-B7D4-178498555EB7}"/>
    <cellStyle name="Style 600 7 2" xfId="7042" xr:uid="{35F8EA9F-5DAD-409E-BA48-AB80E0018602}"/>
    <cellStyle name="Style 600 8" xfId="6413" xr:uid="{BD98FC1B-E4B2-4C01-A45B-5BAD820F955E}"/>
    <cellStyle name="Style 657" xfId="4593" xr:uid="{6719DD4E-F2FF-487A-8447-E732143DA5E3}"/>
    <cellStyle name="Style 658" xfId="4594" xr:uid="{562B535E-D2A1-49C7-93E2-933570C901AC}"/>
    <cellStyle name="Style 659" xfId="4595" xr:uid="{DE67B9BA-3655-47A2-85AA-7149CE01658B}"/>
    <cellStyle name="Style 660" xfId="4596" xr:uid="{2D1057D6-B0DC-4405-8906-EB1C16C7C7B1}"/>
    <cellStyle name="STYLE1" xfId="4597" xr:uid="{A955EEA0-EFB8-47C0-86BC-433DA19BE205}"/>
    <cellStyle name="STYLE1 - Style1" xfId="4598" xr:uid="{C78AD69B-1895-4725-B57F-B05455427311}"/>
    <cellStyle name="STYLE2" xfId="4599" xr:uid="{DA372A73-702D-4F83-8431-8FDC8A6403AB}"/>
    <cellStyle name="STYLE2 - Style2" xfId="4600" xr:uid="{1A39D1FF-9C2F-4441-9082-BA28CF46356A}"/>
    <cellStyle name="STYLE3" xfId="4601" xr:uid="{6D646FAD-B001-4D46-A0F9-8CAAE49E22BB}"/>
    <cellStyle name="STYLE3 - Style3" xfId="4602" xr:uid="{FEEFAC19-3E04-4BC9-BD84-20412887F630}"/>
    <cellStyle name="STYLE4" xfId="4603" xr:uid="{3570677F-E39E-46EB-8AFA-688B6CE2D980}"/>
    <cellStyle name="STYLE4 - Style4" xfId="4604" xr:uid="{89EC07E4-4050-41FB-B1CF-645BE456AD38}"/>
    <cellStyle name="SubRoutine" xfId="4605" xr:uid="{2B80259B-A297-43A5-BA55-5DBEF45666B8}"/>
    <cellStyle name="SubRoutine 2" xfId="4606" xr:uid="{546CFC83-8818-44F0-B649-58F385B2BEAC}"/>
    <cellStyle name="Subtotal" xfId="4607" xr:uid="{C40231A3-5A5D-4DD7-A869-5F75AB4EE626}"/>
    <cellStyle name="Summe" xfId="4608" xr:uid="{0CD0379D-DC1B-4AC6-BBB4-B1CB0A72C5AB}"/>
    <cellStyle name="Summe 2" xfId="4609" xr:uid="{5081B5A3-D00F-49AE-8EEE-15D77C20A182}"/>
    <cellStyle name="Table Col Head" xfId="4610" xr:uid="{52FA032C-0890-4EA6-9CE4-05AD4162FD7A}"/>
    <cellStyle name="Table Head" xfId="4611" xr:uid="{A5EC77C9-5AD0-43D6-A1C8-B2130DBDB457}"/>
    <cellStyle name="Table Head Aligned" xfId="4612" xr:uid="{24EEC1E8-7193-4195-87E4-8CAB5D301E74}"/>
    <cellStyle name="Table Head Aligned 2" xfId="4613" xr:uid="{966CD3F7-46CD-4127-B309-31C6D9C07D2F}"/>
    <cellStyle name="Table Head Blue" xfId="4614" xr:uid="{A0596EBB-EDC2-445F-9B90-DB4DA90E3864}"/>
    <cellStyle name="Table Head Green" xfId="4615" xr:uid="{DE194AA7-A717-4CCA-B16A-632751F742B4}"/>
    <cellStyle name="Table Head Green 2" xfId="4616" xr:uid="{56815C6C-3DF6-4FF3-8B9D-933A5859724B}"/>
    <cellStyle name="Table Head_tlk0001s80" xfId="4617" xr:uid="{8045A06C-86E3-48D7-9FAF-3E85D4B6DB16}"/>
    <cellStyle name="Table Heading" xfId="4618" xr:uid="{31424979-9BF4-4F3A-932A-9F75A349C085}"/>
    <cellStyle name="Table Label" xfId="4619" xr:uid="{320254B7-61B9-4B2F-901D-3538E7F75FDE}"/>
    <cellStyle name="Table Label 2" xfId="4848" xr:uid="{A4A9FAE1-68F8-4328-8D37-E3187EEB3DEE}"/>
    <cellStyle name="Table Label 2 2" xfId="5842" xr:uid="{242AEB9A-CCBE-4CBF-8D46-D7B11C0AFFDA}"/>
    <cellStyle name="Table Label 2 2 2" xfId="7495" xr:uid="{2F3B280C-D9B1-49C4-9675-53B683E1AD0C}"/>
    <cellStyle name="Table Label 2 3" xfId="6040" xr:uid="{F7363E84-38AE-48DF-8CBA-238AC6653D32}"/>
    <cellStyle name="Table Label 2 3 2" xfId="7692" xr:uid="{6EC6B27F-F9CA-40E5-BE42-04E37E621E72}"/>
    <cellStyle name="Table Label 2 4" xfId="5634" xr:uid="{F9130B39-88B8-4CA6-91B8-DB99DC004E91}"/>
    <cellStyle name="Table Label 2 4 2" xfId="7294" xr:uid="{D76931C6-1856-4563-99C3-981D2675FBBC}"/>
    <cellStyle name="Table Label 2 5" xfId="6536" xr:uid="{FBF03018-0D11-42F1-B045-C1B10E774603}"/>
    <cellStyle name="Table Label 3" xfId="4874" xr:uid="{2815402A-C20F-4844-8EC1-44DE98858F90}"/>
    <cellStyle name="Table Label 3 2" xfId="5866" xr:uid="{90A09FD8-BD71-4055-BDBA-219A0702F5A6}"/>
    <cellStyle name="Table Label 3 2 2" xfId="7519" xr:uid="{10B7C236-B01C-499A-A093-D02E93A893AF}"/>
    <cellStyle name="Table Label 3 3" xfId="6062" xr:uid="{A0537711-B518-4DB4-9262-B9428275E01D}"/>
    <cellStyle name="Table Label 3 3 2" xfId="7714" xr:uid="{766C84CF-87C0-440B-AA49-FA8BBAA3C5D3}"/>
    <cellStyle name="Table Label 3 4" xfId="6187" xr:uid="{24F6DCE7-0764-4293-BDF6-8C4237D7D3D5}"/>
    <cellStyle name="Table Label 3 4 2" xfId="7834" xr:uid="{4F0F7EBD-83CC-42C6-8825-8F943CA8CA9E}"/>
    <cellStyle name="Table Label 3 5" xfId="6559" xr:uid="{2D43D8F6-93CE-453E-8705-E5CE648295D0}"/>
    <cellStyle name="Table Label 4" xfId="5675" xr:uid="{6F4C8A72-033A-4CB0-9022-C264A8BBFBDB}"/>
    <cellStyle name="Table Label 4 2" xfId="7335" xr:uid="{E939A2D5-A023-482D-B4D3-55674A86D8D4}"/>
    <cellStyle name="Table Label 5" xfId="4963" xr:uid="{26B8964A-1B4C-444E-8333-09D12C6DB1B8}"/>
    <cellStyle name="Table Label 5 2" xfId="6643" xr:uid="{E3544745-28CE-4FE7-956F-A8FAAA179F4D}"/>
    <cellStyle name="Table Label 6" xfId="5671" xr:uid="{A89B0684-12C7-4837-BD18-1ABCD08B2A12}"/>
    <cellStyle name="Table Label 6 2" xfId="7331" xr:uid="{8C4CA013-6D3D-4F93-87A2-BB9D3A49817A}"/>
    <cellStyle name="Table Label 7" xfId="5384" xr:uid="{148F061E-6CEA-44AD-8F1A-D838A0FA6BF6}"/>
    <cellStyle name="Table Label 7 2" xfId="7049" xr:uid="{C118F088-51E5-4333-9849-5361B61D3A49}"/>
    <cellStyle name="Table Label 8" xfId="6414" xr:uid="{430D0016-F0C9-480F-BFBA-E4B26EC39174}"/>
    <cellStyle name="Table Sub Head" xfId="4620" xr:uid="{A9CD3A23-58FB-41B1-875D-E03208168DAA}"/>
    <cellStyle name="Table Text" xfId="4621" xr:uid="{1A520091-2ADA-49A8-88E9-4BE0AD0C1B56}"/>
    <cellStyle name="Table Title" xfId="4622" xr:uid="{AE9088AA-D117-48A3-9EC7-782C22CDB7CA}"/>
    <cellStyle name="Table Units" xfId="4623" xr:uid="{8ED74C3D-9E42-4434-BE9F-DFA9BEA78733}"/>
    <cellStyle name="Table Units 2" xfId="4624" xr:uid="{56623E13-EB1B-4342-8C68-9670DC85461E}"/>
    <cellStyle name="TableHead" xfId="4625" xr:uid="{8E6866C7-3D49-41B0-B64E-B7344BE75264}"/>
    <cellStyle name="TableHead 10" xfId="5385" xr:uid="{A0BBDB53-F993-4815-B222-ED2098688095}"/>
    <cellStyle name="TableHead 11" xfId="6415" xr:uid="{1FD4EDFA-E629-41F1-AA80-4789E16A8F23}"/>
    <cellStyle name="TableHead 2" xfId="4849" xr:uid="{6C3DE4CB-2A57-4C37-8D80-8E301156D19F}"/>
    <cellStyle name="TableHead 2 2" xfId="5843" xr:uid="{DEFCA4CE-4AE4-471A-A674-89BDC3F58E9E}"/>
    <cellStyle name="TableHead 2 2 2" xfId="7496" xr:uid="{56425372-A088-442B-A54B-61ED44D7786F}"/>
    <cellStyle name="TableHead 2 3" xfId="5551" xr:uid="{B33E484A-264B-470F-ACC9-AD0BBD67C2B4}"/>
    <cellStyle name="TableHead 2 3 2" xfId="7214" xr:uid="{ADE9538E-4E02-443D-B625-0F4653145600}"/>
    <cellStyle name="TableHead 2 4" xfId="6537" xr:uid="{AC7191BE-BC3B-4657-AB5B-1C7B82957DDF}"/>
    <cellStyle name="TableHead 3" xfId="4860" xr:uid="{21649AAE-80B4-4A2B-99E5-C3A176771CE2}"/>
    <cellStyle name="TableHead 3 2" xfId="5853" xr:uid="{942275EC-D4BD-4228-9A94-725E751124C7}"/>
    <cellStyle name="TableHead 3 2 2" xfId="7506" xr:uid="{006FF3E4-DDFA-4C7B-BF8E-606D569FD455}"/>
    <cellStyle name="TableHead 3 3" xfId="6050" xr:uid="{C8A809F7-4361-4755-8595-2A3254486887}"/>
    <cellStyle name="TableHead 3 3 2" xfId="7702" xr:uid="{15477ADB-AAEC-4707-AA15-6039DEAC65F3}"/>
    <cellStyle name="TableHead 3 4" xfId="6164" xr:uid="{0FF8BD58-0FF8-4501-BC55-792E44942275}"/>
    <cellStyle name="TableHead 3 4 2" xfId="7813" xr:uid="{3CF69686-453D-4107-87B6-90EA1EA75C5E}"/>
    <cellStyle name="TableHead 3 5" xfId="6152" xr:uid="{4AF51A32-913C-4AA9-B96D-D4A8B7B46D07}"/>
    <cellStyle name="TableHead 3 5 2" xfId="7802" xr:uid="{D4B0E4F2-2E0E-443F-B7CF-97542861BC0B}"/>
    <cellStyle name="TableHead 3 6" xfId="5586" xr:uid="{9D35A711-0D73-4DD9-ACA5-D5A81F617436}"/>
    <cellStyle name="TableHead 3 6 2" xfId="7247" xr:uid="{5B90A8EB-7119-427A-8374-A0E33339B3E9}"/>
    <cellStyle name="TableHead 3 7" xfId="6319" xr:uid="{C6F7C565-D854-455F-AEA3-4142517B0E06}"/>
    <cellStyle name="TableHead 3 7 2" xfId="7966" xr:uid="{BB2A03F9-3E9D-4298-90FF-E00705C73DF8}"/>
    <cellStyle name="TableHead 3 8" xfId="6191" xr:uid="{F11EC2AE-E293-42DE-B197-64E73CE33A3B}"/>
    <cellStyle name="TableHead 3 8 2" xfId="7838" xr:uid="{085368B2-7A9B-424C-A00D-E37A72294B03}"/>
    <cellStyle name="TableHead 3 9" xfId="6546" xr:uid="{3D277AF9-EBFD-4686-979A-7AF63D470E6A}"/>
    <cellStyle name="TableHead 4" xfId="4873" xr:uid="{D866BB0D-58C3-49FB-ACFB-1679B47E3C7E}"/>
    <cellStyle name="TableHead 4 2" xfId="5865" xr:uid="{D45B7F3C-F8A8-47F4-A57E-89C33F7B7B45}"/>
    <cellStyle name="TableHead 4 2 2" xfId="7518" xr:uid="{DC78FF38-FE20-40A4-818A-CD3C4E8A5487}"/>
    <cellStyle name="TableHead 4 3" xfId="5041" xr:uid="{D70E971E-D5BE-4AE8-87A4-3E7331CB4DEC}"/>
    <cellStyle name="TableHead 4 3 2" xfId="6718" xr:uid="{23F0FAC1-6617-4F7D-96C5-61FEB9D9BC3C}"/>
    <cellStyle name="TableHead 4 4" xfId="6558" xr:uid="{5FB4002F-11AB-4A1C-B573-0AC580FDC259}"/>
    <cellStyle name="TableHead 5" xfId="5676" xr:uid="{57E37F07-61C3-4ED3-A848-0F89FCF45A62}"/>
    <cellStyle name="TableHead 5 2" xfId="7336" xr:uid="{D033CF3C-53EE-4B40-A8B9-1D74BBE70F73}"/>
    <cellStyle name="TableHead 6" xfId="5691" xr:uid="{9188D5EF-FD23-4341-8771-362400B49EE4}"/>
    <cellStyle name="TableHead 6 2" xfId="7350" xr:uid="{030E1AFF-DEAD-4159-AC9E-8EEBB9A84E12}"/>
    <cellStyle name="TableHead 7" xfId="5716" xr:uid="{4F56EBB0-7800-41EB-AFBF-797116D7889C}"/>
    <cellStyle name="TableHead 7 2" xfId="7373" xr:uid="{E802158F-CF4B-485C-8120-F6230BEA0DB2}"/>
    <cellStyle name="TableHead 8" xfId="5672" xr:uid="{BEA781CB-35E0-4859-8CC9-92413959372E}"/>
    <cellStyle name="TableHead 8 2" xfId="7332" xr:uid="{EDCBEA6F-0825-4AF3-AFE7-05D2365C7864}"/>
    <cellStyle name="TableHead 9" xfId="5501" xr:uid="{F5E587A7-D27F-411A-BEB5-869250FFF2E4}"/>
    <cellStyle name="TableHead 9 2" xfId="7165" xr:uid="{37BD4144-BFE2-4A24-BA68-846F19D38FBA}"/>
    <cellStyle name="test" xfId="4626" xr:uid="{23CCB31F-3F1B-45CF-9C0B-FA8A0FF7404F}"/>
    <cellStyle name="Text" xfId="4627" xr:uid="{E653F5A4-DB33-4C85-AADA-CB37BCEAD98D}"/>
    <cellStyle name="Text 2" xfId="4628" xr:uid="{A51FDD4B-11E0-4DC3-8D9D-15425DEA7032}"/>
    <cellStyle name="Text Head" xfId="4629" xr:uid="{47D126D8-0CD4-4C47-81B8-00CB279C3FEB}"/>
    <cellStyle name="Text Indent A" xfId="4630" xr:uid="{3A6C992A-DE40-4543-B833-17CEDA60C307}"/>
    <cellStyle name="Text Indent B" xfId="4631" xr:uid="{DB5C4BFC-BD85-4B57-A2E9-F487C7B44727}"/>
    <cellStyle name="Text Indent C" xfId="4632" xr:uid="{1005388F-4660-4657-A007-DC6A292824C2}"/>
    <cellStyle name="Text Level 1" xfId="134" xr:uid="{084EA5BA-4B85-4595-8EC9-0B3DD7A58B59}"/>
    <cellStyle name="Text Level 1 2" xfId="4726" xr:uid="{5E3C69A2-7B07-4AF1-8E22-CBCB7EEC4077}"/>
    <cellStyle name="Text Level 2" xfId="135" xr:uid="{E92D37B5-62D5-4945-9E40-1AC8DEC2B46D}"/>
    <cellStyle name="Text Level 3" xfId="136" xr:uid="{1DCB636B-63BD-45B1-B16B-04217F5A0897}"/>
    <cellStyle name="Text Level 4" xfId="137" xr:uid="{606407BF-7FB0-477D-9B3C-A0BE5CE7A393}"/>
    <cellStyle name="textbold" xfId="4633" xr:uid="{81B5F7E2-CF3D-4B3D-8AD1-8E8461094CD1}"/>
    <cellStyle name="Tickmark" xfId="4634" xr:uid="{B1EADD66-4FC5-4E6A-9FDF-C45A81D24727}"/>
    <cellStyle name="Times 10" xfId="4635" xr:uid="{E584D5C5-93F2-4599-8DC4-779CED068CFB}"/>
    <cellStyle name="Times 12" xfId="4636" xr:uid="{31F6FC05-CA1A-4A78-BEC4-332FE71D7803}"/>
    <cellStyle name="Times New Roman" xfId="4637" xr:uid="{7F61A47B-5BD0-4663-8528-E8484C5A98DD}"/>
    <cellStyle name="Title 2" xfId="4638" xr:uid="{3409A41D-3791-47A5-9DE5-DE746D10FADA}"/>
    <cellStyle name="Title-Background" xfId="4639" xr:uid="{E2E62BB6-2276-444C-A61A-8120EF995663}"/>
    <cellStyle name="Top and Bottom Border" xfId="4640" xr:uid="{0837F5CB-10CE-4501-9A79-D7AA3217BCDE}"/>
    <cellStyle name="Top and Bottom Border 2" xfId="4850" xr:uid="{3CD8C836-522C-4036-BC3E-E31520F92669}"/>
    <cellStyle name="Top and Bottom Border 2 2" xfId="5844" xr:uid="{F4FA7BBE-26B5-434E-A2A3-2CEC1B72B63B}"/>
    <cellStyle name="Top and Bottom Border 2 2 2" xfId="7497" xr:uid="{2ED9FC67-E1E0-4DCF-A9E9-987975686C1E}"/>
    <cellStyle name="Top and Bottom Border 2 3" xfId="6041" xr:uid="{A24D97A4-3261-4CB3-B021-39DC1630930C}"/>
    <cellStyle name="Top and Bottom Border 2 3 2" xfId="7693" xr:uid="{3E6E7EE5-380E-491D-A208-E961565EAFDE}"/>
    <cellStyle name="Top and Bottom Border 2 4" xfId="5455" xr:uid="{6D8A4884-B1CA-44CA-9F30-69EDCA9383CF}"/>
    <cellStyle name="Top and Bottom Border 2 4 2" xfId="7119" xr:uid="{13EBFE45-2F76-413C-9004-86E7F82F8BDC}"/>
    <cellStyle name="Top and Bottom Border 2 5" xfId="6538" xr:uid="{792F593F-90E2-4CDF-9D8E-8D1FF542831C}"/>
    <cellStyle name="Top and Bottom Border 3" xfId="4872" xr:uid="{1B7897E1-1D73-4BDF-9362-53EED0EA16A2}"/>
    <cellStyle name="Top and Bottom Border 3 2" xfId="5864" xr:uid="{AF62F898-8120-4576-87C3-ADE9ADFF90DD}"/>
    <cellStyle name="Top and Bottom Border 3 2 2" xfId="7517" xr:uid="{AC4ECE07-6E2D-4C51-A20D-87925736D9F4}"/>
    <cellStyle name="Top and Bottom Border 3 3" xfId="6061" xr:uid="{E6E6AE0F-7C94-42AF-9492-805B9664ABDE}"/>
    <cellStyle name="Top and Bottom Border 3 3 2" xfId="7713" xr:uid="{AEDEE47D-CC23-4CA6-B1E9-2DC0E7A7F4D5}"/>
    <cellStyle name="Top and Bottom Border 3 4" xfId="5033" xr:uid="{2172E697-04B4-48B0-BAF8-DD79A4053E1C}"/>
    <cellStyle name="Top and Bottom Border 3 4 2" xfId="6710" xr:uid="{44BEA19A-D04F-4701-8B9F-756ADA4F65DE}"/>
    <cellStyle name="Top and Bottom Border 3 5" xfId="6557" xr:uid="{9A795418-5CA5-46AB-83DD-BC315A0666C1}"/>
    <cellStyle name="Top and Bottom Border 4" xfId="5677" xr:uid="{9BABE0B0-47F7-4285-87DF-0CC4834CBC87}"/>
    <cellStyle name="Top and Bottom Border 4 2" xfId="7337" xr:uid="{365CA427-509B-4DEB-8319-CEAD9F218337}"/>
    <cellStyle name="Top and Bottom Border 5" xfId="5694" xr:uid="{D42F2D03-1E65-4DFC-B91E-BA9317320E03}"/>
    <cellStyle name="Top and Bottom Border 5 2" xfId="7353" xr:uid="{110F5F41-8AFD-49D7-B6B4-783197A678B7}"/>
    <cellStyle name="Top and Bottom Border 6" xfId="5386" xr:uid="{2936BDCB-8087-428A-B611-B535C5D26E0F}"/>
    <cellStyle name="Top and Bottom Border 6 2" xfId="7050" xr:uid="{A5DBE094-F093-47DF-959A-DE4234B47F46}"/>
    <cellStyle name="Top and Bottom Border 7" xfId="6416" xr:uid="{B83B72E4-CDCC-4FB7-9FD8-F052A8E15301}"/>
    <cellStyle name="TopBot - Style2" xfId="4641" xr:uid="{AE9DA127-2FD0-464D-B1BB-5E4D1EAF89A5}"/>
    <cellStyle name="TopBot - Style2 2" xfId="4851" xr:uid="{658D6567-81E9-4C29-B027-699DDF1FC47D}"/>
    <cellStyle name="TopBot - Style2 2 2" xfId="5845" xr:uid="{24833475-F225-452D-9E9C-77B1B980DB87}"/>
    <cellStyle name="TopBot - Style2 2 2 2" xfId="7498" xr:uid="{BB5A18FE-3074-4A20-B5E7-4924D54E05A2}"/>
    <cellStyle name="TopBot - Style2 2 3" xfId="6042" xr:uid="{246435FA-C695-4B6E-9370-1B068DE06897}"/>
    <cellStyle name="TopBot - Style2 2 3 2" xfId="7694" xr:uid="{85F3225C-E036-4139-8BCA-530107BCC31F}"/>
    <cellStyle name="TopBot - Style2 2 4" xfId="5537" xr:uid="{08BFF6DE-53D5-4172-BA1B-14B4417CBBD4}"/>
    <cellStyle name="TopBot - Style2 2 4 2" xfId="7200" xr:uid="{2800539F-9D8C-4014-885D-3724CBC8BA8B}"/>
    <cellStyle name="TopBot - Style2 2 5" xfId="6539" xr:uid="{5038C75F-DB74-4B43-9D30-111F86499851}"/>
    <cellStyle name="TopBot - Style2 3" xfId="4871" xr:uid="{9DA628CD-8FD9-4925-9F8A-CA3BE5CEFF65}"/>
    <cellStyle name="TopBot - Style2 3 2" xfId="5863" xr:uid="{2BA83011-91C9-4DC7-8291-B76B06FDFFFF}"/>
    <cellStyle name="TopBot - Style2 3 2 2" xfId="7516" xr:uid="{6B158F93-373C-4752-95D6-F40AD1145149}"/>
    <cellStyle name="TopBot - Style2 3 3" xfId="6060" xr:uid="{9374B3A8-2301-4E7F-B4DF-AA6C67C04061}"/>
    <cellStyle name="TopBot - Style2 3 3 2" xfId="7712" xr:uid="{DD59F9B7-1059-4F3F-8535-82E5A775C89E}"/>
    <cellStyle name="TopBot - Style2 3 4" xfId="5548" xr:uid="{E142E4A9-A772-4B06-99A5-907A1EFDD29F}"/>
    <cellStyle name="TopBot - Style2 3 4 2" xfId="7211" xr:uid="{A24923CB-091E-4F57-8CB8-05B7092254B2}"/>
    <cellStyle name="TopBot - Style2 3 5" xfId="6556" xr:uid="{926FC495-1E13-466C-BC5C-374A18657B43}"/>
    <cellStyle name="TopBot - Style2 4" xfId="5678" xr:uid="{C8593841-E9D3-4748-84F1-B55E467076BE}"/>
    <cellStyle name="TopBot - Style2 4 2" xfId="7338" xr:uid="{DB5FECF6-EA7E-48C2-9F4E-2D471971FA8C}"/>
    <cellStyle name="TopBot - Style2 5" xfId="5695" xr:uid="{09C83826-4B53-4865-8DF0-2294BA58BDFC}"/>
    <cellStyle name="TopBot - Style2 5 2" xfId="7354" xr:uid="{F3063C1C-873C-475B-B329-B6BC782DA908}"/>
    <cellStyle name="TopBot - Style2 6" xfId="5387" xr:uid="{4F35B74B-671A-4355-8361-A21B7F1DB057}"/>
    <cellStyle name="TopBot - Style2 6 2" xfId="7051" xr:uid="{5A90F5C1-58E8-4AD5-90F3-95CF88694715}"/>
    <cellStyle name="TopBot - Style2 7" xfId="6417" xr:uid="{F8EF4AF0-4016-45ED-BCD0-FE8C67E431E4}"/>
    <cellStyle name="topline" xfId="4642" xr:uid="{24A567B5-82AD-47F4-8229-83C6BEB669D2}"/>
    <cellStyle name="tot_gia_gras" xfId="4643" xr:uid="{8055A468-009C-4749-8CF6-FD10CBBB3232}"/>
    <cellStyle name="Total 2" xfId="4644" xr:uid="{A694464F-9EB6-49A9-9218-828DE1A9AFAC}"/>
    <cellStyle name="Total 2 2" xfId="4852" xr:uid="{07EA7F30-E499-4697-8B3C-89F744ACF222}"/>
    <cellStyle name="Total 2 2 2" xfId="5846" xr:uid="{6CE3898D-FA44-4338-B1C5-8598F8C6BEFE}"/>
    <cellStyle name="Total 2 2 2 2" xfId="7499" xr:uid="{828CE6B5-A9A1-4D77-B2A9-6E0F6D9002CE}"/>
    <cellStyle name="Total 2 2 3" xfId="6043" xr:uid="{4A0A1D12-23D7-4D43-BEAE-FB8D4DCAF618}"/>
    <cellStyle name="Total 2 2 3 2" xfId="7695" xr:uid="{D4A76A94-8BF5-4EF7-BC74-09960B87AF10}"/>
    <cellStyle name="Total 2 2 4" xfId="5550" xr:uid="{6D3D634D-825F-4D87-9374-05C9AAEF13AF}"/>
    <cellStyle name="Total 2 2 4 2" xfId="7213" xr:uid="{FC9B6494-8712-44EE-A475-4B5BB9B24ED7}"/>
    <cellStyle name="Total 2 2 5" xfId="6313" xr:uid="{082E99D8-F9FA-4F06-92E5-34A18586D6D2}"/>
    <cellStyle name="Total 2 2 5 2" xfId="7960" xr:uid="{BF80FD10-1B81-4A50-91C9-CA3DDC5780F9}"/>
    <cellStyle name="Total 2 2 6" xfId="6540" xr:uid="{AABC52DD-DD2B-485D-AAE8-92B5414146B5}"/>
    <cellStyle name="Total 2 3" xfId="4870" xr:uid="{95FF868D-A915-4782-8BE6-8BA79C812789}"/>
    <cellStyle name="Total 2 3 2" xfId="5862" xr:uid="{B3718926-6615-49C9-85D1-B6CB4C02357A}"/>
    <cellStyle name="Total 2 3 2 2" xfId="7515" xr:uid="{6BD10A6F-560A-40EE-9676-5D8F0E0D2EA3}"/>
    <cellStyle name="Total 2 3 3" xfId="6059" xr:uid="{03EE55DA-47AC-4A65-8241-13A67167AB81}"/>
    <cellStyle name="Total 2 3 3 2" xfId="7711" xr:uid="{1E5F3CF5-3153-423B-A5D3-1B0163A11062}"/>
    <cellStyle name="Total 2 3 4" xfId="5539" xr:uid="{6642A4BA-246B-4293-90BF-F9109826E9C7}"/>
    <cellStyle name="Total 2 3 4 2" xfId="7202" xr:uid="{AAE98166-3A81-4E29-9C5D-C70281E9AFE3}"/>
    <cellStyle name="Total 2 3 5" xfId="6555" xr:uid="{EB930503-BD92-452D-84CB-E8C594FB803A}"/>
    <cellStyle name="Total 2 4" xfId="5679" xr:uid="{C24C963F-C773-4ADE-888A-592CD13969D4}"/>
    <cellStyle name="Total 2 4 2" xfId="7339" xr:uid="{B8B9E240-26FE-46A0-8F4F-0AE1CCEF5D07}"/>
    <cellStyle name="Total 2 5" xfId="5696" xr:uid="{A7A11FFC-EA23-444B-9C46-E9114ECE0210}"/>
    <cellStyle name="Total 2 5 2" xfId="7355" xr:uid="{64F6E367-CA28-4092-AE88-0C4A782DAEBB}"/>
    <cellStyle name="Total 2 6" xfId="5388" xr:uid="{9A9F8EAC-5655-4152-BE46-F28480C9EED9}"/>
    <cellStyle name="Total 2 6 2" xfId="7052" xr:uid="{B429D35A-B10E-474D-B977-0C2DDC921E65}"/>
    <cellStyle name="Total 2 7" xfId="6418" xr:uid="{1E0CEE53-E63A-444F-99E2-A208F263E4E9}"/>
    <cellStyle name="TotalCurrency" xfId="4645" xr:uid="{F4D31CCB-617C-4A28-BCE5-758656DF948A}"/>
    <cellStyle name="Tusental (0)_Bok2" xfId="4646" xr:uid="{CC93442A-616C-4B3A-A007-7AD426F972CD}"/>
    <cellStyle name="Tusental_Bok2" xfId="4647" xr:uid="{C4BA938C-D0E5-4739-9818-EE2E68CDCF20}"/>
    <cellStyle name="Undefined" xfId="4648" xr:uid="{689424B6-5BE9-4D52-898D-383015C65B14}"/>
    <cellStyle name="Unprot" xfId="4649" xr:uid="{14C06576-7F79-467A-AA09-8DCDF9C41499}"/>
    <cellStyle name="Unprot$" xfId="4650" xr:uid="{7CAF4CEC-64B5-4B46-93BE-8432B5047DBD}"/>
    <cellStyle name="Unprotect" xfId="4651" xr:uid="{04638BFC-8244-4DBA-A5B8-9D6299BE0EB3}"/>
    <cellStyle name="Us$ [1]" xfId="4652" xr:uid="{64361203-C3CC-4877-97F1-4EB4F51114C5}"/>
    <cellStyle name="User_Defined_C" xfId="4653" xr:uid="{0594881A-B6B9-40B1-98A0-751E772F757E}"/>
    <cellStyle name="Valuta (0)_Abbinamenti" xfId="4654" xr:uid="{60EA35C5-5BA6-42BE-9AB7-30CB039A40C1}"/>
    <cellStyle name="Valuta_Bok2" xfId="4655" xr:uid="{F15FA938-346B-45C4-B8C8-EC874EA082A3}"/>
    <cellStyle name="Währung [0]_Central Install 6-up" xfId="4656" xr:uid="{C3685EF9-947B-4AB8-8314-DA3CF80E0266}"/>
    <cellStyle name="Währung_Central Install 6-up" xfId="4657" xr:uid="{DA07EEFE-4707-4CB7-B7FE-3F15A594C6FE}"/>
    <cellStyle name="Währung0" xfId="4658" xr:uid="{CD127E74-7C8A-4B6E-8966-56D8EF1E2BC4}"/>
    <cellStyle name="Warning Text 2" xfId="4659" xr:uid="{DC45F16E-2212-44FF-96A6-EA5C8B0F2F9F}"/>
    <cellStyle name="WŽhrung" xfId="4660" xr:uid="{3FE5D227-550B-478C-BF4C-A86D4F8F804F}"/>
    <cellStyle name="X" xfId="4661" xr:uid="{17A3816E-0F0F-4539-888E-07531D689455}"/>
    <cellStyle name="X - None" xfId="4662" xr:uid="{21A67426-102A-4785-AF37-E5A8F998E502}"/>
    <cellStyle name="X_Mary911" xfId="4663" xr:uid="{BEEA3B3A-4E8E-423B-93CC-455895E10EEA}"/>
    <cellStyle name="X_Mary911_star0428" xfId="4664" xr:uid="{B578F1A6-9720-4DD5-A4F7-D1AAFA4469C0}"/>
    <cellStyle name="X_Mary911_star0428_CCC-Renewal Model April 2003.v3" xfId="4665" xr:uid="{A8845E77-267C-4DA9-8D91-AD7F38207426}"/>
    <cellStyle name="X_Mary911_star0428_DCF" xfId="4666" xr:uid="{A08431D6-3F37-47B9-8D10-FA066C3E401D}"/>
    <cellStyle name="X_Mary911_star0428_Globemedia Model v_4" xfId="4667" xr:uid="{B3DB589C-F363-4C50-8B7A-38D172F35890}"/>
    <cellStyle name="X_Mary911_star0428_Inco LBO" xfId="4668" xr:uid="{001A51B4-AD71-4541-B9EF-0FDF5CC45890}"/>
    <cellStyle name="X_Mary911_star0428_TRU Domestic v2" xfId="4669" xr:uid="{D034F0E4-078C-4E0B-8BD8-C1C30CA3978D}"/>
    <cellStyle name="X_star0428" xfId="4670" xr:uid="{27A93BAE-CE0D-475D-834D-BD6AB69B312D}"/>
    <cellStyle name="X_star0428_CCC-Renewal Model April 2003.v3" xfId="4671" xr:uid="{5563C682-051D-445B-91F5-41A28AF4B662}"/>
    <cellStyle name="X_star0428_DCF" xfId="4672" xr:uid="{0A343F9C-D30F-4679-8437-F82FB176F52D}"/>
    <cellStyle name="X_star0428_Globemedia Model v_4" xfId="4673" xr:uid="{02DA4FAB-9C11-4DB6-83BF-733E5527EF8F}"/>
    <cellStyle name="X_star0428_Inco LBO" xfId="4674" xr:uid="{D5CB89D3-62C8-4C51-8FA4-962169374E24}"/>
    <cellStyle name="X_star0428_TRU Domestic v2" xfId="4675" xr:uid="{D64B3AE5-92A9-40EE-8878-CC7E30F61DD4}"/>
    <cellStyle name="year" xfId="4676" xr:uid="{E157AE16-1D09-4323-9D76-3D3098412EAB}"/>
    <cellStyle name="Yen" xfId="4677" xr:uid="{E6664DCF-889F-470E-85BA-C1493FDEC303}"/>
    <cellStyle name="Zaph Call 11pt" xfId="4678" xr:uid="{C3409611-B6C2-41FD-9A34-B92BE649E126}"/>
    <cellStyle name="Zeile 1" xfId="4679" xr:uid="{A3DDDC1E-55E1-49E9-904A-1CF26EDFB2E3}"/>
    <cellStyle name="Zeile 2" xfId="4680" xr:uid="{29BF5E57-2E74-4300-B5E4-D9497DE8676B}"/>
    <cellStyle name="הדגשה1" xfId="4681" xr:uid="{DE11BC10-E639-4DF0-9B6E-29869A178401}"/>
    <cellStyle name="הדגשה2" xfId="4682" xr:uid="{066F166B-DA06-4425-9FE6-F99502D032B2}"/>
    <cellStyle name="הדגשה3" xfId="4683" xr:uid="{6B7F1871-7564-4D2D-A92E-16ACC993BA43}"/>
    <cellStyle name="הדגשה4" xfId="4684" xr:uid="{7826E2E7-9EB6-44BF-83D7-128621110D88}"/>
    <cellStyle name="הדגשה5" xfId="4685" xr:uid="{FE7416DB-61A2-437C-9498-35278D32DD47}"/>
    <cellStyle name="הדגשה6" xfId="4686" xr:uid="{A349B10E-D691-4342-B3E6-B2F8044BC8E3}"/>
    <cellStyle name="הערה" xfId="4687" xr:uid="{EA46DDAD-236A-491D-874C-BFE9E785C2B8}"/>
    <cellStyle name="הערה 2" xfId="4855" xr:uid="{B836AD41-E35C-4DCE-B88C-42950E6E3AD8}"/>
    <cellStyle name="הערה 2 2" xfId="5848" xr:uid="{F8658D1A-DC56-40BD-ACD8-2611CF6C6E64}"/>
    <cellStyle name="הערה 2 2 2" xfId="7501" xr:uid="{31F8229C-48E7-4F19-B379-79246DB2ADB8}"/>
    <cellStyle name="הערה 2 3" xfId="6045" xr:uid="{51D0B3DF-580E-4240-9329-44739E5A3AAF}"/>
    <cellStyle name="הערה 2 3 2" xfId="7697" xr:uid="{22C8A88B-C6C1-4E63-8324-69A2CFFCF397}"/>
    <cellStyle name="הערה 2 4" xfId="5457" xr:uid="{017CA945-5046-4EDA-8B6B-59F5126CF6D7}"/>
    <cellStyle name="הערה 2 4 2" xfId="7121" xr:uid="{4787BFFB-C26E-4DDB-91B7-DDDDB59C66B2}"/>
    <cellStyle name="הערה 2 5" xfId="6314" xr:uid="{8C26C386-564F-4925-98E3-0D15BA0DA0D1}"/>
    <cellStyle name="הערה 2 5 2" xfId="7961" xr:uid="{AC8CCA27-9894-4F89-B59A-605053523F6F}"/>
    <cellStyle name="הערה 2 6" xfId="6541" xr:uid="{C4C2190C-7B54-4648-86EA-21DFD4C67FB5}"/>
    <cellStyle name="הערה 3" xfId="4869" xr:uid="{6930C22B-9835-41C6-9D85-B779E39F7964}"/>
    <cellStyle name="הערה 3 2" xfId="5861" xr:uid="{0F2A4F81-0F03-41B3-8F4F-DF4B2BB48FE3}"/>
    <cellStyle name="הערה 3 2 2" xfId="7514" xr:uid="{DA80E976-A47B-46AD-933F-6FB6AA43BD05}"/>
    <cellStyle name="הערה 3 3" xfId="6058" xr:uid="{8A987B09-3DA9-452B-A3B2-4264BF9B1F34}"/>
    <cellStyle name="הערה 3 3 2" xfId="7710" xr:uid="{B3D11A91-9119-441C-846C-3FC36AECA105}"/>
    <cellStyle name="הערה 3 4" xfId="6186" xr:uid="{55DCEF2E-08BF-425C-B22B-BF21F2F5AB6F}"/>
    <cellStyle name="הערה 3 4 2" xfId="7833" xr:uid="{ECFA641E-1ADC-4AEC-98D3-C037DAB6ACA5}"/>
    <cellStyle name="הערה 3 5" xfId="6554" xr:uid="{AE46C6B3-DFF9-4F5C-9065-61071E7DA7DA}"/>
    <cellStyle name="הערה 4" xfId="5680" xr:uid="{342D8F2C-9A50-4EE0-A963-4A58F92A0AD7}"/>
    <cellStyle name="הערה 4 2" xfId="7340" xr:uid="{D4D8DC81-9D6D-47ED-B828-0583A7ED76CE}"/>
    <cellStyle name="הערה 5" xfId="5701" xr:uid="{BBCCFA42-21EB-434C-AF70-14ADC7344878}"/>
    <cellStyle name="הערה 5 2" xfId="7360" xr:uid="{147E27B6-81A5-451A-8E94-D8E10F3149B1}"/>
    <cellStyle name="הערה 6" xfId="5946" xr:uid="{89BEAFD9-FCBE-4231-9A9A-63DEA629605E}"/>
    <cellStyle name="הערה 6 2" xfId="7599" xr:uid="{E72FCF42-B76E-498E-96A1-248E3C08BB87}"/>
    <cellStyle name="הערה 7" xfId="5389" xr:uid="{0C0CCB39-F6C4-452B-82BF-72D72132FA94}"/>
    <cellStyle name="הערה 7 2" xfId="7053" xr:uid="{7EB742E2-3323-44D4-8C55-1347C151CF4A}"/>
    <cellStyle name="הערה 8" xfId="6419" xr:uid="{11C6D3F0-3D75-4EEE-B228-4D3BE25F9E9B}"/>
    <cellStyle name="חישוב" xfId="4688" xr:uid="{AEA1226B-0F46-4918-BDD1-90A2A31D6667}"/>
    <cellStyle name="חישוב 10" xfId="5390" xr:uid="{2C1D8DF9-80D1-4262-BDB6-8446B34FBCC1}"/>
    <cellStyle name="חישוב 10 2" xfId="7054" xr:uid="{DF19EB49-55E6-436F-96E7-21FF2789280E}"/>
    <cellStyle name="חישוב 11" xfId="5308" xr:uid="{799AF353-BDE4-4491-92EF-6CB8ADB8D9E6}"/>
    <cellStyle name="חישוב 11 2" xfId="6974" xr:uid="{BE701BAB-A849-4536-B8DB-D24D30D17006}"/>
    <cellStyle name="חישוב 2" xfId="4856" xr:uid="{7516355F-546A-44FB-AB64-410E5869D7DA}"/>
    <cellStyle name="חישוב 2 2" xfId="5849" xr:uid="{C931C812-64E5-4808-8932-660EE2D789B8}"/>
    <cellStyle name="חישוב 2 2 2" xfId="7502" xr:uid="{8E5C99B5-E5B0-4959-B28D-3AA3268D4F13}"/>
    <cellStyle name="חישוב 2 3" xfId="6046" xr:uid="{C63CCF6C-A1BA-4763-AC06-128C98C34F14}"/>
    <cellStyle name="חישוב 2 3 2" xfId="7698" xr:uid="{92A69023-2A27-4A70-8C4F-21BB70FC3BB8}"/>
    <cellStyle name="חישוב 2 4" xfId="5458" xr:uid="{CF2DC84C-5963-4566-B0E2-1FE9A4761CF1}"/>
    <cellStyle name="חישוב 2 4 2" xfId="7122" xr:uid="{295854EC-3432-421D-9C18-3E97A90F156E}"/>
    <cellStyle name="חישוב 2 5" xfId="6315" xr:uid="{CF9B29DB-0CA5-48DE-AAF6-F0350BDE4FBE}"/>
    <cellStyle name="חישוב 2 5 2" xfId="7962" xr:uid="{84336036-227D-4F52-99EB-717EE31D3C01}"/>
    <cellStyle name="חישוב 2 6" xfId="6542" xr:uid="{8AB5E319-FDDC-4284-AFEC-AABEA3E23FD8}"/>
    <cellStyle name="חישוב 3" xfId="4861" xr:uid="{111A0F38-6AE1-4271-AA8B-6E202D87D9B9}"/>
    <cellStyle name="חישוב 3 2" xfId="5854" xr:uid="{09097CC3-AB3C-4137-978E-2E97AEF1139E}"/>
    <cellStyle name="חישוב 3 2 2" xfId="7507" xr:uid="{433B96E2-61BE-4454-A76F-F0C00375B582}"/>
    <cellStyle name="חישוב 3 3" xfId="6051" xr:uid="{0E73E9C7-9050-45A2-A544-DB68CB60F5E6}"/>
    <cellStyle name="חישוב 3 3 2" xfId="7703" xr:uid="{D12C255C-7147-492B-96D8-B1B1522A89C5}"/>
    <cellStyle name="חישוב 3 4" xfId="5462" xr:uid="{4C314B7E-B718-4822-89F6-0047AC1BAA64}"/>
    <cellStyle name="חישוב 3 4 2" xfId="7126" xr:uid="{9CA0DA86-6C26-42ED-AC29-CF6C0EB1DCE2}"/>
    <cellStyle name="חישוב 3 5" xfId="6547" xr:uid="{9DF443C8-D5E6-4F73-9CF9-8320358A14DA}"/>
    <cellStyle name="חישוב 4" xfId="4868" xr:uid="{B5578C25-B1C7-4BAB-8234-FF582DC5821F}"/>
    <cellStyle name="חישוב 4 2" xfId="5860" xr:uid="{F361CB82-AFBF-4280-8A73-FE4A1B60DA0B}"/>
    <cellStyle name="חישוב 4 2 2" xfId="7513" xr:uid="{57D93C5C-AE5B-41ED-8E9D-D4E5F8D93726}"/>
    <cellStyle name="חישוב 4 3" xfId="6057" xr:uid="{232B9A5E-1AEC-424A-B6BE-1CF5F6996873}"/>
    <cellStyle name="חישוב 4 3 2" xfId="7709" xr:uid="{A96EA3BC-8884-4463-AB6A-25F5D74CBE6C}"/>
    <cellStyle name="חישוב 4 4" xfId="5549" xr:uid="{73769CEF-A287-4E6B-913B-F4BA15841910}"/>
    <cellStyle name="חישוב 4 4 2" xfId="7212" xr:uid="{D324B972-DF5D-4833-BD4C-9D45C7974A56}"/>
    <cellStyle name="חישוב 4 5" xfId="6553" xr:uid="{D28EA78D-0EA3-4321-933B-CB3D1588A446}"/>
    <cellStyle name="חישוב 5" xfId="5681" xr:uid="{4F0078BD-2FF3-4E71-B28A-B729719A517B}"/>
    <cellStyle name="חישוב 5 2" xfId="7341" xr:uid="{0FCE057A-42A8-4916-B7BD-F436ECECFFB7}"/>
    <cellStyle name="חישוב 6" xfId="5702" xr:uid="{616A3C05-93C9-45B2-A8E9-0A0B392C93BE}"/>
    <cellStyle name="חישוב 6 2" xfId="7361" xr:uid="{BE21E081-9A0E-455D-B8DA-73352B3A7E46}"/>
    <cellStyle name="חישוב 7" xfId="5720" xr:uid="{FA844793-BBF8-4A55-ADDB-2768B5AC8ACA}"/>
    <cellStyle name="חישוב 7 2" xfId="7374" xr:uid="{CE53A78D-3AFB-42B7-978E-EFA4FD2F7E79}"/>
    <cellStyle name="חישוב 8" xfId="5052" xr:uid="{F4CDD30E-A39F-4BE8-90CB-10A1D22C2509}"/>
    <cellStyle name="חישוב 8 2" xfId="6728" xr:uid="{B231A42F-6BF7-4D26-9A9A-B9FCF5C4245D}"/>
    <cellStyle name="חישוב 9" xfId="5503" xr:uid="{32F05912-915D-4373-9006-97B77514C9FC}"/>
    <cellStyle name="חישוב 9 2" xfId="7167" xr:uid="{D74505CA-313E-4E65-8B71-5BEE89720B00}"/>
    <cellStyle name="טוב" xfId="4689" xr:uid="{CC4AD8F5-1DB4-4694-8F91-03079DFB0A1D}"/>
    <cellStyle name="טקסט אזהרה" xfId="4690" xr:uid="{50117F46-46C3-4A9B-995F-1CDDF017B47A}"/>
    <cellStyle name="טקסט הסברי" xfId="4691" xr:uid="{FDE94D4E-E89E-4512-826C-63D91B2E7A41}"/>
    <cellStyle name="כותרת" xfId="4692" xr:uid="{1F5DCCB9-B3BA-4C92-B988-A176F7113E51}"/>
    <cellStyle name="כותרת 1" xfId="4693" xr:uid="{75E4CDAA-5492-499B-9D07-48A0248DA35A}"/>
    <cellStyle name="כותרת 2" xfId="4694" xr:uid="{F6917FF2-42F6-449B-A706-D6C1012780C3}"/>
    <cellStyle name="כותרת 3" xfId="4695" xr:uid="{7834D344-06EC-4648-A3E7-D41F3912AAF3}"/>
    <cellStyle name="כותרת 4" xfId="4696" xr:uid="{E3F125AE-0057-4514-80E5-1BE06B87FCD6}"/>
    <cellStyle name="כותרת_Chengdu CF 2009-Aug-4 Bank View (7.15) 16pm" xfId="4697" xr:uid="{993C7D89-092A-4A3C-844D-6725A9815488}"/>
    <cellStyle name="ניטראלי" xfId="4698" xr:uid="{6E07BE59-73B2-4211-9703-DDAD6AD7235D}"/>
    <cellStyle name="סגנון 1" xfId="4699" xr:uid="{447C9F9E-D1A4-44F1-9EEE-9095FBE4CF17}"/>
    <cellStyle name="סה&quot;כ" xfId="4700" xr:uid="{AE7D7E4E-EA29-41A6-A8B5-97EA200E967C}"/>
    <cellStyle name="סה&quot;כ 2" xfId="4857" xr:uid="{6885E0A8-76E1-488C-972F-C48FB5FC9050}"/>
    <cellStyle name="סה&quot;כ 2 2" xfId="5850" xr:uid="{FBF77B49-1C95-43F1-93B7-942318662576}"/>
    <cellStyle name="סה&quot;כ 2 2 2" xfId="7503" xr:uid="{0C73FDE4-6456-47EE-BBC8-980BAE58F365}"/>
    <cellStyle name="סה&quot;כ 2 3" xfId="6047" xr:uid="{DA40A8CA-EEFC-44C8-9652-EB042B99381E}"/>
    <cellStyle name="סה&quot;כ 2 3 2" xfId="7699" xr:uid="{82DA52C2-EF98-423F-AE94-8F77B1A72DA9}"/>
    <cellStyle name="סה&quot;כ 2 4" xfId="5459" xr:uid="{EA2055CD-B04C-4A19-BBD7-6E7C0E33E7EB}"/>
    <cellStyle name="סה&quot;כ 2 4 2" xfId="7123" xr:uid="{B6F73736-CE9A-4D87-9F1D-84CE2C155220}"/>
    <cellStyle name="סה&quot;כ 2 5" xfId="6316" xr:uid="{84BFFB84-3F77-4987-8584-0DE0C4EB4FA1}"/>
    <cellStyle name="סה&quot;כ 2 5 2" xfId="7963" xr:uid="{F2631E94-DA1A-4D67-A44F-FF61AB84AE82}"/>
    <cellStyle name="סה&quot;כ 2 6" xfId="6543" xr:uid="{D987FB74-715F-453B-8DEC-E0BBE9D92214}"/>
    <cellStyle name="סה&quot;כ 3" xfId="4867" xr:uid="{AB702B47-D740-47D2-A16F-2ED282C9F22C}"/>
    <cellStyle name="סה&quot;כ 3 2" xfId="5859" xr:uid="{7777ECE0-55B4-455B-8CAB-16120760904D}"/>
    <cellStyle name="סה&quot;כ 3 2 2" xfId="7512" xr:uid="{29DCF58E-83F1-4D3A-9FC8-EB0959774C76}"/>
    <cellStyle name="סה&quot;כ 3 3" xfId="6056" xr:uid="{1B48B79C-C88B-41A7-B4F2-E9F900A104F6}"/>
    <cellStyle name="סה&quot;כ 3 3 2" xfId="7708" xr:uid="{8C1E1DFD-E82D-4C73-AF4F-53858198B3AB}"/>
    <cellStyle name="סה&quot;כ 3 4" xfId="5538" xr:uid="{B2FEB5EC-EFDE-49A0-A036-95B46AD48951}"/>
    <cellStyle name="סה&quot;כ 3 4 2" xfId="7201" xr:uid="{9074B5D5-D0F5-428A-8746-DA29525D23A3}"/>
    <cellStyle name="סה&quot;כ 3 5" xfId="6552" xr:uid="{F39AB56C-EE89-47B8-8249-6997D793C68D}"/>
    <cellStyle name="סה&quot;כ 4" xfId="5683" xr:uid="{AA72EDED-F886-42E0-AA9D-2FE3CCA3036C}"/>
    <cellStyle name="סה&quot;כ 4 2" xfId="7343" xr:uid="{F78718D9-2E01-4AEA-889B-184636BEBB06}"/>
    <cellStyle name="סה&quot;כ 5" xfId="5705" xr:uid="{DDE5B7DC-7017-4F70-8560-B24862A44950}"/>
    <cellStyle name="סה&quot;כ 5 2" xfId="7363" xr:uid="{C8803F4F-A61C-4DCF-8256-4F3642CF7AFB}"/>
    <cellStyle name="סה&quot;כ 6" xfId="5567" xr:uid="{39D40020-2587-424D-B2EF-377B3165096D}"/>
    <cellStyle name="סה&quot;כ 6 2" xfId="7230" xr:uid="{AC0BCB37-E386-4694-A589-97FF9B803F17}"/>
    <cellStyle name="סה&quot;כ 7" xfId="6420" xr:uid="{4A59148E-0904-4488-9B7D-3A5CEF567B12}"/>
    <cellStyle name="פלט" xfId="4701" xr:uid="{D77D9164-0097-480B-BCF9-86C2EB0D3D51}"/>
    <cellStyle name="פלט 10" xfId="5391" xr:uid="{3B2D0DCD-7C39-4463-822D-24BB04574FC2}"/>
    <cellStyle name="פלט 10 2" xfId="7055" xr:uid="{05AA31AE-E1F0-427C-817B-1D1EF4B1C54D}"/>
    <cellStyle name="פלט 11" xfId="5309" xr:uid="{7079ECB9-5FB1-4EE9-BD36-FAC0C039C939}"/>
    <cellStyle name="פלט 11 2" xfId="6975" xr:uid="{3E608668-C348-4A51-B7A1-AA14869B0396}"/>
    <cellStyle name="פלט 2" xfId="4858" xr:uid="{06033F69-37D5-44C8-81BC-02FF96588848}"/>
    <cellStyle name="פלט 2 2" xfId="5851" xr:uid="{98449EAA-13DE-4741-8679-35E0A2239BFC}"/>
    <cellStyle name="פלט 2 2 2" xfId="7504" xr:uid="{82FA2B24-4F27-494A-9FD5-FE572E745E33}"/>
    <cellStyle name="פלט 2 3" xfId="6048" xr:uid="{BB733423-075E-461D-917D-998247AFF44A}"/>
    <cellStyle name="פלט 2 3 2" xfId="7700" xr:uid="{7B63D29E-C2B2-40BA-A033-84041A401F53}"/>
    <cellStyle name="פלט 2 4" xfId="5025" xr:uid="{E993AD10-D821-4111-964E-DBB6010B6AF0}"/>
    <cellStyle name="פלט 2 4 2" xfId="6703" xr:uid="{FB73404C-065E-47B5-97E4-E30A956ADA9D}"/>
    <cellStyle name="פלט 2 5" xfId="6167" xr:uid="{0A28E27D-9B1B-4BB4-A85B-7270E15A89B1}"/>
    <cellStyle name="פלט 2 5 2" xfId="7815" xr:uid="{3C151FE7-97A4-41A7-809C-0D8D1A4EA880}"/>
    <cellStyle name="פלט 2 6" xfId="5460" xr:uid="{483ACD83-16F6-434B-8F2B-50F094AF9D8F}"/>
    <cellStyle name="פלט 2 6 2" xfId="7124" xr:uid="{F8198552-E7F1-4B41-91B6-315539780BBA}"/>
    <cellStyle name="פלט 2 7" xfId="6317" xr:uid="{4111B113-3B25-48B3-BA88-E0E263A99BB6}"/>
    <cellStyle name="פלט 2 7 2" xfId="7964" xr:uid="{AA2FC2FF-6B8E-4916-9F67-54F405A4A222}"/>
    <cellStyle name="פלט 2 8" xfId="5106" xr:uid="{D31DE579-D8E9-4DF4-BA38-F8F9D8C7BA88}"/>
    <cellStyle name="פלט 2 8 2" xfId="6780" xr:uid="{C312C20D-405F-4958-AEBB-1456A1B59ADA}"/>
    <cellStyle name="פלט 2 9" xfId="6544" xr:uid="{1C5272C9-25BD-4419-A4E6-260CE52A4FEF}"/>
    <cellStyle name="פלט 3" xfId="4862" xr:uid="{8D7EAC91-BD31-44EF-9A9E-FB7BACA50408}"/>
    <cellStyle name="פלט 3 2" xfId="5855" xr:uid="{F9A71714-E70C-4C82-91DA-402701C938BE}"/>
    <cellStyle name="פלט 3 2 2" xfId="7508" xr:uid="{883799DF-6290-4709-9C5B-0BFE3DD8E453}"/>
    <cellStyle name="פלט 3 3" xfId="6052" xr:uid="{8EA6FEB0-8627-43C4-AA30-25642390DA22}"/>
    <cellStyle name="פלט 3 3 2" xfId="7704" xr:uid="{2419515D-91E4-4BF0-9697-9B395263C80D}"/>
    <cellStyle name="פלט 3 4" xfId="5023" xr:uid="{ABA390AC-EC62-40CA-865F-4ECC75218033}"/>
    <cellStyle name="פלט 3 4 2" xfId="6702" xr:uid="{4283B9DF-EF04-4406-8E6C-66F2382DB2A1}"/>
    <cellStyle name="פלט 3 5" xfId="5544" xr:uid="{F5402312-A223-4878-A621-B606EBCB684C}"/>
    <cellStyle name="פלט 3 5 2" xfId="7207" xr:uid="{C47D2C32-4B2A-4812-A3F7-09C900D0F148}"/>
    <cellStyle name="פלט 3 6" xfId="5463" xr:uid="{1C471481-3A23-4863-8CD9-7F162A207AD2}"/>
    <cellStyle name="פלט 3 6 2" xfId="7127" xr:uid="{A1DFFB0C-12DF-401C-9CA4-5C06A26458A2}"/>
    <cellStyle name="פלט 3 7" xfId="5376" xr:uid="{ACF664F5-6FB2-4EF1-9FCA-8D39DD932E63}"/>
    <cellStyle name="פלט 3 7 2" xfId="7041" xr:uid="{6F666FDC-F385-4C95-B3A1-8B3DB2BF7263}"/>
    <cellStyle name="פלט 3 8" xfId="6548" xr:uid="{CE426692-07D6-4C9B-AF7A-25729BAA68B6}"/>
    <cellStyle name="פלט 4" xfId="4866" xr:uid="{8DC4C63B-118A-477B-8220-554DE0DF019A}"/>
    <cellStyle name="פלט 4 2" xfId="5858" xr:uid="{8F4B91D3-1D21-44EB-92BD-ECADD5BA3A15}"/>
    <cellStyle name="פלט 4 2 2" xfId="7511" xr:uid="{6BF9B24B-CB00-4E72-A65E-531E25594BF1}"/>
    <cellStyle name="פלט 4 3" xfId="6055" xr:uid="{33BAAF30-32CC-4DBD-B557-AC6D1C3B4771}"/>
    <cellStyle name="פלט 4 3 2" xfId="7707" xr:uid="{A8776CEF-5101-4ABE-929D-5AD41BBF9BF4}"/>
    <cellStyle name="פלט 4 4" xfId="6160" xr:uid="{6490D29B-ECE3-4115-8FFB-5254374F5C43}"/>
    <cellStyle name="פלט 4 4 2" xfId="7810" xr:uid="{55281E36-2B16-4F53-B972-68F30B82462E}"/>
    <cellStyle name="פלט 4 5" xfId="5633" xr:uid="{4452D743-60B2-49CC-B230-9B9883352450}"/>
    <cellStyle name="פלט 4 5 2" xfId="7293" xr:uid="{B480930A-A1FD-44BD-A4C4-04188CD3D084}"/>
    <cellStyle name="פלט 4 6" xfId="5040" xr:uid="{BC8F4BBD-E38D-48BE-AE7A-DA6C9644F1BB}"/>
    <cellStyle name="פלט 4 6 2" xfId="6717" xr:uid="{75B6113B-45A3-4300-9FAD-14D60626245B}"/>
    <cellStyle name="פלט 4 7" xfId="6326" xr:uid="{011D5595-259F-45A6-AE07-656EB2C521ED}"/>
    <cellStyle name="פלט 4 7 2" xfId="7973" xr:uid="{0103AF90-8CEB-483C-9B80-2C02FD80AEAB}"/>
    <cellStyle name="פלט 4 8" xfId="6551" xr:uid="{A579A4DF-96AC-42A0-82D8-462F3D131F98}"/>
    <cellStyle name="פלט 5" xfId="5684" xr:uid="{295686A5-E79D-43B1-8CDD-62159910774D}"/>
    <cellStyle name="פלט 5 2" xfId="7344" xr:uid="{E5520AFA-96FC-4ED6-B152-356AB29981BC}"/>
    <cellStyle name="פלט 6" xfId="5706" xr:uid="{361988BF-344A-46E0-B227-8F951DA4172F}"/>
    <cellStyle name="פלט 6 2" xfId="7364" xr:uid="{33BE1B9F-5FDB-4A5F-9669-524454A1A2D8}"/>
    <cellStyle name="פלט 7" xfId="5722" xr:uid="{368B8FEC-E431-4A54-94BD-12BFCC158076}"/>
    <cellStyle name="פלט 7 2" xfId="7375" xr:uid="{40531F30-4400-4AE3-B76E-D1E32A396BAF}"/>
    <cellStyle name="פלט 8" xfId="5046" xr:uid="{CB45C782-2114-4138-8BFB-9CDB6F5B9E96}"/>
    <cellStyle name="פלט 8 2" xfId="6723" xr:uid="{3FACB387-D12C-4FF6-9C68-3AD663FEE87A}"/>
    <cellStyle name="פלט 9" xfId="5587" xr:uid="{F77F7976-9473-431F-841D-D88AF8F2830A}"/>
    <cellStyle name="פלט 9 2" xfId="7248" xr:uid="{C60C8616-65A1-48A7-81F3-26C9B8F96A87}"/>
    <cellStyle name="קלט" xfId="4702" xr:uid="{6E9882DB-E97B-4B78-82A1-B6CBD6AA7FA8}"/>
    <cellStyle name="קלט 10" xfId="5392" xr:uid="{ED17DA3E-CC01-4DD5-8DF4-832F47BB7B6A}"/>
    <cellStyle name="קלט 10 2" xfId="7056" xr:uid="{7B008435-FFCE-4A33-B06E-6C408DE3F8C2}"/>
    <cellStyle name="קלט 11" xfId="5310" xr:uid="{AE723764-E00F-4A6E-8512-446052696C1D}"/>
    <cellStyle name="קלט 11 2" xfId="6976" xr:uid="{AFFAFD8F-2832-4A65-AB1A-AAAAB58CE8C3}"/>
    <cellStyle name="קלט 2" xfId="4859" xr:uid="{E8615F16-40A7-45A1-A34A-C4D9A4245AFB}"/>
    <cellStyle name="קלט 2 2" xfId="5852" xr:uid="{CCA37E6C-05CD-46AC-BE6D-8E0E9AA5E424}"/>
    <cellStyle name="קלט 2 2 2" xfId="7505" xr:uid="{7442A642-3BAC-4A59-9259-4BEF2985C32B}"/>
    <cellStyle name="קלט 2 3" xfId="6049" xr:uid="{5263F976-E932-4403-8B27-33241DC99C0E}"/>
    <cellStyle name="קלט 2 3 2" xfId="7701" xr:uid="{C6185F75-485A-463C-A74A-E2B0E6CA9F34}"/>
    <cellStyle name="קלט 2 4" xfId="5461" xr:uid="{43AB83D6-FD54-4762-9AB1-B994FEBCB032}"/>
    <cellStyle name="קלט 2 4 2" xfId="7125" xr:uid="{B978023B-C8DE-4A80-9632-013F1CA8FB57}"/>
    <cellStyle name="קלט 2 5" xfId="6318" xr:uid="{0603B7B1-9195-47B4-BB10-F46CE9CC2642}"/>
    <cellStyle name="קלט 2 5 2" xfId="7965" xr:uid="{BDE6E1E5-E429-482A-9F6F-5F03C28BCB2C}"/>
    <cellStyle name="קלט 2 6" xfId="6545" xr:uid="{F53DE572-2B74-4099-88B1-FDF79CE69421}"/>
    <cellStyle name="קלט 3" xfId="4863" xr:uid="{131003AC-B7E8-4C84-965A-BC42212110F6}"/>
    <cellStyle name="קלט 3 2" xfId="5856" xr:uid="{2A023B37-13E0-46D8-81D7-0275AC89467D}"/>
    <cellStyle name="קלט 3 2 2" xfId="7509" xr:uid="{EBDD6E71-15F4-4DF5-8B54-027244DBCB34}"/>
    <cellStyle name="קלט 3 3" xfId="6053" xr:uid="{A135B6F0-42D5-45A4-B009-3A84B301D4C0}"/>
    <cellStyle name="קלט 3 3 2" xfId="7705" xr:uid="{D96334D0-65E4-4CB3-86AF-3613A6E417A3}"/>
    <cellStyle name="קלט 3 4" xfId="5464" xr:uid="{1E7BDEE2-00A3-459B-BC99-09E19CBBC8BF}"/>
    <cellStyle name="קלט 3 4 2" xfId="7128" xr:uid="{FD5EF0B8-55CC-4D94-B469-3CB05420F6F0}"/>
    <cellStyle name="קלט 3 5" xfId="6549" xr:uid="{81519943-1ADB-48B8-A64D-EEC1B1E83E36}"/>
    <cellStyle name="קלט 4" xfId="4865" xr:uid="{20D8B7C9-8C78-46A0-B46F-58797252ED4C}"/>
    <cellStyle name="קלט 4 2" xfId="5857" xr:uid="{8EA76730-0ADB-4A48-B595-DAC713688ADB}"/>
    <cellStyle name="קלט 4 2 2" xfId="7510" xr:uid="{8E648487-863A-45EE-8E84-A28FB6275089}"/>
    <cellStyle name="קלט 4 3" xfId="6054" xr:uid="{D22D60A8-7C9F-41AD-918A-98C68E222D1D}"/>
    <cellStyle name="קלט 4 3 2" xfId="7706" xr:uid="{F4C38703-AEE1-4081-895B-3B1DCBCC0003}"/>
    <cellStyle name="קלט 4 4" xfId="5034" xr:uid="{52963DF3-2550-4366-B369-AF7E7C96DC59}"/>
    <cellStyle name="קלט 4 4 2" xfId="6711" xr:uid="{7C696D18-521C-4BAF-84AA-0A8DEF9B9C74}"/>
    <cellStyle name="קלט 4 5" xfId="6550" xr:uid="{443573FD-1A01-4118-BEC8-BA42140EE9EA}"/>
    <cellStyle name="קלט 5" xfId="5685" xr:uid="{20B83B41-0BCC-4F1D-9814-B6DC121DF514}"/>
    <cellStyle name="קלט 5 2" xfId="7345" xr:uid="{0E7F251F-CB00-4B3D-AA40-CB95A56C3642}"/>
    <cellStyle name="קלט 6" xfId="5707" xr:uid="{7A11FFC6-A337-4568-AA1B-BE9010907D9D}"/>
    <cellStyle name="קלט 6 2" xfId="7365" xr:uid="{784C8583-593E-4351-BA5E-DEFE887402E2}"/>
    <cellStyle name="קלט 7" xfId="5723" xr:uid="{E8E697EA-69BC-4FCB-BDD8-C46A9B40EDAE}"/>
    <cellStyle name="קלט 7 2" xfId="7376" xr:uid="{99B05D6B-925B-40E2-8E63-6FAAB5974291}"/>
    <cellStyle name="קלט 8" xfId="5045" xr:uid="{CCB52FF1-ECEF-4BD8-92C4-203500D4440A}"/>
    <cellStyle name="קלט 8 2" xfId="6722" xr:uid="{BDCAA62E-B5A2-426A-B88F-96DFAD76A801}"/>
    <cellStyle name="קלט 9" xfId="5648" xr:uid="{CA18A7B1-D527-436B-97A6-EEC0F4C806A4}"/>
    <cellStyle name="קלט 9 2" xfId="7308" xr:uid="{95F2C93F-2ED7-4A9D-A748-9C98844F27DC}"/>
    <cellStyle name="רע" xfId="4703" xr:uid="{1B20F0B0-9CB9-4FF8-8B7D-92FB303360F9}"/>
    <cellStyle name="תא מסומן" xfId="4704" xr:uid="{BD8EBE7B-A268-4C4E-B986-3323300D9E6D}"/>
    <cellStyle name="תא מסומן 2" xfId="4705" xr:uid="{F11816A7-DFE1-449F-BC9E-F6116E7882FD}"/>
    <cellStyle name="תא מקושר" xfId="4706" xr:uid="{AF2AFE13-9672-42FC-9264-FEA7D431DB7D}"/>
    <cellStyle name="쉼표 [0]_Book2" xfId="4707" xr:uid="{8C8BD5BA-6379-466D-AF01-406BEA238A4F}"/>
    <cellStyle name="콤마 [0]_competitors" xfId="4708" xr:uid="{4F3F0438-C3E4-4168-9BFC-EB42F6F28788}"/>
    <cellStyle name="표준_Book1" xfId="4709" xr:uid="{A5785152-EFDD-4062-B2E6-940E01914DB7}"/>
    <cellStyle name="一般_01P&amp;L07" xfId="4710" xr:uid="{BE0CEC17-828D-4FC1-AA66-9205CB093676}"/>
    <cellStyle name="千位分隔 2" xfId="4711" xr:uid="{0AA3100F-B33F-434C-8B05-3605B1949938}"/>
    <cellStyle name="千位分隔_abc" xfId="4712" xr:uid="{CE8D8C8B-8A15-4098-9F2C-4FCCED184F7E}"/>
    <cellStyle name="千分位_BENA01 Benaim AU3 WPS - rw" xfId="4713" xr:uid="{D69E67D6-2671-4E47-B5A0-15B08178B8C5}"/>
    <cellStyle name="好_Chengdu CF 2009-Aug-13 with Zara v2.1" xfId="4714" xr:uid="{52CC3909-29DD-495D-921B-25EEA40CA9C9}"/>
    <cellStyle name="好_Chengdu_vsend" xfId="4715" xr:uid="{8C1752BA-66DD-4BA4-AD12-5398B2F0A513}"/>
    <cellStyle name="差_Chengdu CF 2009-Aug-13 with Zara v2.1" xfId="4716" xr:uid="{2F57695A-27FC-4DFD-85F4-FCBD19E2FA06}"/>
    <cellStyle name="差_Chengdu_vsend" xfId="4717" xr:uid="{A96EB688-E135-4D3A-9694-5B7832CF44F7}"/>
    <cellStyle name="常规 2" xfId="4718" xr:uid="{D5EFE207-11EC-4AE2-9D35-B1A6BE952D93}"/>
    <cellStyle name="常规_Accounts payable aging analysis" xfId="4719" xr:uid="{D9D64A32-6C8A-4CEC-A337-22474A0C933F}"/>
    <cellStyle name="样式 1" xfId="4720" xr:uid="{5E4AB1F9-528B-44C6-ADC0-A1EF281898EA}"/>
    <cellStyle name="桁区切り_TB C&amp;WAS 200811" xfId="4721" xr:uid="{74FF422F-8C5C-4FF7-887F-2DC909F1BAA8}"/>
    <cellStyle name="標準_~0041687" xfId="4722" xr:uid="{CE5EE7B3-6F16-48A1-A669-CEFDBB655433}"/>
    <cellStyle name="百分比 2" xfId="4723" xr:uid="{9F62EF87-8F9B-4479-BD41-A0AB5256D5C5}"/>
    <cellStyle name="货币 2" xfId="4724" xr:uid="{45D782BC-AD40-4565-86BC-F63A011ECCCE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1%20BAO%20CAO%20TONG%20HOP/B.%20Ke%20hoach%20tai%20chinh/B1.%20TCNV%20TONG%20HOP/2025.06_MasterFile%20QLVH_FS_Square%20City.xlsx" TargetMode="External"/><Relationship Id="rId2" Type="http://schemas.openxmlformats.org/officeDocument/2006/relationships/externalLinkPath" Target="https://fecon.sharepoint.com/sites/DR/FIV/TCNV/1%20BAO%20CAO%20TONG%20HOP/B.%20Ke%20hoach%20tai%20chinh/B1.%20TCNV%20TONG%20HOP/2025.06_MasterFile%20QLVH_FS_Square%20City.xlsx" TargetMode="External"/><Relationship Id="rId1" Type="http://schemas.openxmlformats.org/officeDocument/2006/relationships/externalLinkPath" Target="/sites/DR/FIV/TCNV/1%20BAO%20CAO%20TONG%20HOP/B.%20Ke%20hoach%20tai%20chinh/B1.%20TCNV%20TONG%20HOP/2025.06_MasterFile%20QLVH_FS_Square%20Cit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0. Tổng hợp"/>
      <sheetName val="1. Thông tin cơ bản dự án"/>
      <sheetName val="2. CPxaydung"/>
      <sheetName val="3. TMDT"/>
      <sheetName val="4. Vay"/>
      <sheetName val="Tiến độ thu tiền"/>
      <sheetName val="5. KHBH"/>
      <sheetName val="KHBH CÁC CĂN ĐÃ BÁN"/>
      <sheetName val="P&amp;L CÁC CĂN ĐÃ BÁN"/>
      <sheetName val="KHBH NGOẠI GIAO"/>
      <sheetName val="P&amp;L NGOẠI GIAO"/>
      <sheetName val="6. PBChiPhi"/>
      <sheetName val="7. P&amp;L TOÀN DỰ ÁN"/>
      <sheetName val="8. Hiệu quả dự án và CĐT"/>
      <sheetName val="10. PA dự phòng"/>
      <sheetName val="9. Cân đối dòng tiền (VCSH)"/>
      <sheetName val="10. Cân đối nguồn"/>
      <sheetName val="P&amp;L_KHU II "/>
      <sheetName val="P&amp;L AC"/>
      <sheetName val="P&amp;L_KHU II AC"/>
      <sheetName val="NGOẠI GIAO"/>
      <sheetName val="40 CĂN ĐỦ ĐK BH "/>
      <sheetName val="KHKD 12.2024 (BKD)"/>
      <sheetName val="BẢNG GIÁ CHI TIẾT_0103"/>
      <sheetName val="Dòng tiền bán hàng (D)"/>
      <sheetName val="PA bán lẻ_14032025"/>
      <sheetName val="BẢNG GIÁ THU GỌN_Update khu 2"/>
      <sheetName val="Cập nhật FS "/>
      <sheetName val="Giá bán lẻ PK2"/>
      <sheetName val="2205_BẢNG GIÁ CHI TIẾT"/>
      <sheetName val="Bảng giá DA-Phân khu II"/>
      <sheetName val="Bán buôn PK1"/>
      <sheetName val="CF bán hàng 12.2024"/>
    </sheetNames>
    <sheetDataSet>
      <sheetData sheetId="0"/>
      <sheetData sheetId="1"/>
      <sheetData sheetId="2"/>
      <sheetData sheetId="3">
        <row r="12">
          <cell r="B12" t="str">
            <v>Chi phí GPMB và tiền sử dụng đất</v>
          </cell>
        </row>
      </sheetData>
      <sheetData sheetId="4">
        <row r="6">
          <cell r="E6">
            <v>45291</v>
          </cell>
        </row>
        <row r="22">
          <cell r="B22" t="str">
            <v>Lãi vay trong giai đoạn xây dựng</v>
          </cell>
        </row>
        <row r="23">
          <cell r="B23" t="str">
            <v>Lãi vay trong kỳ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0">
          <cell r="B10" t="str">
            <v xml:space="preserve">Chi phí bán hàng </v>
          </cell>
        </row>
        <row r="11">
          <cell r="B11" t="str">
            <v>Chi phí quản lý doanh nghiệp</v>
          </cell>
        </row>
        <row r="12">
          <cell r="B12" t="str">
            <v>Thuế thu nhập doanh nghiệp</v>
          </cell>
        </row>
        <row r="13">
          <cell r="B13" t="str">
            <v>Thuế VAT phải nộp nhà nước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97181-6797-483E-A9C5-548A9BD93F5E}">
  <dimension ref="A1:Q59"/>
  <sheetViews>
    <sheetView topLeftCell="A24" workbookViewId="0">
      <selection activeCell="D7" sqref="D7"/>
    </sheetView>
  </sheetViews>
  <sheetFormatPr defaultColWidth="9.26953125" defaultRowHeight="15.5"/>
  <cols>
    <col min="1" max="1" width="6.7265625" style="75" bestFit="1" customWidth="1"/>
    <col min="2" max="2" width="39.26953125" style="75" bestFit="1" customWidth="1"/>
    <col min="3" max="3" width="24.26953125" style="75" bestFit="1" customWidth="1"/>
    <col min="4" max="4" width="18.7265625" style="75" bestFit="1" customWidth="1"/>
    <col min="5" max="6" width="16.26953125" style="75" bestFit="1" customWidth="1"/>
    <col min="7" max="16384" width="9.26953125" style="75"/>
  </cols>
  <sheetData>
    <row r="1" spans="1:6" ht="22.5">
      <c r="A1" s="618" t="s">
        <v>0</v>
      </c>
      <c r="B1" s="618"/>
      <c r="C1" s="618"/>
      <c r="D1" s="618"/>
      <c r="E1" s="618"/>
      <c r="F1" s="618"/>
    </row>
    <row r="3" spans="1:6" ht="17.5">
      <c r="A3" s="508" t="s">
        <v>1</v>
      </c>
      <c r="B3" s="508" t="s">
        <v>2</v>
      </c>
      <c r="C3" s="508" t="s">
        <v>3</v>
      </c>
      <c r="D3" s="508" t="s">
        <v>4</v>
      </c>
    </row>
    <row r="4" spans="1:6">
      <c r="A4" s="509">
        <v>1</v>
      </c>
      <c r="B4" s="509" t="s">
        <v>5</v>
      </c>
      <c r="C4" s="509"/>
      <c r="D4" s="509"/>
    </row>
    <row r="5" spans="1:6">
      <c r="A5" s="462"/>
      <c r="B5" s="462" t="s">
        <v>6</v>
      </c>
      <c r="C5" s="462" t="s">
        <v>7</v>
      </c>
      <c r="D5" s="510">
        <f>'8. Hiệu quả dự án và CĐT'!C21</f>
        <v>0.11584593877997662</v>
      </c>
    </row>
    <row r="6" spans="1:6">
      <c r="A6" s="462"/>
      <c r="B6" s="462" t="s">
        <v>8</v>
      </c>
      <c r="C6" s="462" t="s">
        <v>9</v>
      </c>
      <c r="D6" s="463">
        <f>'8. Hiệu quả dự án và CĐT'!C20</f>
        <v>76848969398.29364</v>
      </c>
    </row>
    <row r="7" spans="1:6">
      <c r="A7" s="462"/>
      <c r="B7" s="462" t="s">
        <v>10</v>
      </c>
      <c r="C7" s="462" t="s">
        <v>7</v>
      </c>
      <c r="D7" s="464">
        <f>'8. Hiệu quả dự án và CĐT'!C49</f>
        <v>0.17607408222806331</v>
      </c>
    </row>
    <row r="8" spans="1:6">
      <c r="A8" s="462"/>
      <c r="B8" s="462" t="s">
        <v>11</v>
      </c>
      <c r="C8" s="462" t="s">
        <v>9</v>
      </c>
      <c r="D8" s="463">
        <f>'8. Hiệu quả dự án và CĐT'!C48</f>
        <v>16125998381.937307</v>
      </c>
    </row>
    <row r="9" spans="1:6">
      <c r="A9" s="462"/>
      <c r="B9" s="462" t="s">
        <v>12</v>
      </c>
      <c r="C9" s="462" t="s">
        <v>7</v>
      </c>
      <c r="D9" s="464">
        <f>'7. P&amp;L TOÀN DỰ ÁN'!C24/('3. TMDT'!G15-'4. Vay'!C9)</f>
        <v>0.45114229053182103</v>
      </c>
    </row>
    <row r="10" spans="1:6">
      <c r="A10" s="509">
        <v>2</v>
      </c>
      <c r="B10" s="509" t="s">
        <v>13</v>
      </c>
      <c r="C10" s="509"/>
      <c r="D10" s="511"/>
    </row>
    <row r="11" spans="1:6">
      <c r="A11" s="462"/>
      <c r="B11" s="462" t="s">
        <v>14</v>
      </c>
      <c r="C11" s="462" t="s">
        <v>9</v>
      </c>
      <c r="D11" s="512">
        <f>'4. Vay'!C9</f>
        <v>799474340209.46802</v>
      </c>
    </row>
    <row r="12" spans="1:6">
      <c r="A12" s="462"/>
      <c r="B12" s="462" t="s">
        <v>15</v>
      </c>
      <c r="C12" s="462" t="s">
        <v>16</v>
      </c>
      <c r="D12" s="462">
        <f>(COUNTIF('4. Vay'!E11:AS11,"&gt;1")+1)/4</f>
        <v>4</v>
      </c>
    </row>
    <row r="13" spans="1:6">
      <c r="A13" s="462"/>
      <c r="B13" s="462" t="s">
        <v>17</v>
      </c>
      <c r="C13" s="462" t="s">
        <v>16</v>
      </c>
      <c r="D13" s="462">
        <f>COUNTBLANK('4. Vay'!N10:AG10)/4</f>
        <v>2</v>
      </c>
    </row>
    <row r="15" spans="1:6" ht="17.5">
      <c r="A15" s="508" t="s">
        <v>18</v>
      </c>
      <c r="B15" s="508" t="s">
        <v>19</v>
      </c>
      <c r="C15" s="508" t="s">
        <v>3</v>
      </c>
      <c r="D15" s="508" t="s">
        <v>20</v>
      </c>
      <c r="E15" s="508" t="s">
        <v>21</v>
      </c>
      <c r="F15" s="508" t="s">
        <v>22</v>
      </c>
    </row>
    <row r="16" spans="1:6" ht="17.5">
      <c r="A16" s="513"/>
      <c r="B16" s="462" t="s">
        <v>23</v>
      </c>
      <c r="C16" s="514">
        <v>0</v>
      </c>
      <c r="D16" s="513"/>
      <c r="E16" s="513"/>
      <c r="F16" s="513"/>
    </row>
    <row r="17" spans="1:5">
      <c r="D17" s="76"/>
    </row>
    <row r="18" spans="1:5" ht="17.5">
      <c r="A18" s="508" t="s">
        <v>24</v>
      </c>
      <c r="B18" s="508" t="s">
        <v>25</v>
      </c>
      <c r="C18" s="508"/>
      <c r="D18" s="508"/>
    </row>
    <row r="19" spans="1:5">
      <c r="A19" s="509">
        <v>1</v>
      </c>
      <c r="B19" s="509" t="s">
        <v>26</v>
      </c>
      <c r="C19" s="509" t="s">
        <v>27</v>
      </c>
      <c r="D19" s="515">
        <f>D20+D21</f>
        <v>0.02</v>
      </c>
    </row>
    <row r="20" spans="1:5" ht="17.5">
      <c r="A20" s="513"/>
      <c r="B20" s="516" t="s">
        <v>28</v>
      </c>
      <c r="C20" s="516" t="s">
        <v>27</v>
      </c>
      <c r="D20" s="517">
        <v>0</v>
      </c>
    </row>
    <row r="21" spans="1:5" ht="17.5">
      <c r="A21" s="513"/>
      <c r="B21" s="516" t="s">
        <v>29</v>
      </c>
      <c r="C21" s="516" t="s">
        <v>27</v>
      </c>
      <c r="D21" s="517">
        <v>0.02</v>
      </c>
    </row>
    <row r="22" spans="1:5">
      <c r="A22" s="509">
        <v>2</v>
      </c>
      <c r="B22" s="509" t="s">
        <v>30</v>
      </c>
      <c r="C22" s="509" t="s">
        <v>27</v>
      </c>
      <c r="D22" s="515">
        <v>0</v>
      </c>
    </row>
    <row r="23" spans="1:5">
      <c r="A23" s="509">
        <v>3</v>
      </c>
      <c r="B23" s="509" t="s">
        <v>31</v>
      </c>
      <c r="C23" s="509" t="s">
        <v>27</v>
      </c>
      <c r="D23" s="515">
        <v>0.02</v>
      </c>
    </row>
    <row r="24" spans="1:5">
      <c r="A24" s="509">
        <v>4</v>
      </c>
      <c r="B24" s="509" t="s">
        <v>32</v>
      </c>
      <c r="C24" s="509"/>
      <c r="D24" s="515">
        <v>0.1</v>
      </c>
    </row>
    <row r="25" spans="1:5">
      <c r="A25" s="509">
        <v>5</v>
      </c>
      <c r="B25" s="509" t="s">
        <v>33</v>
      </c>
      <c r="C25" s="509"/>
      <c r="D25" s="515">
        <v>0.2</v>
      </c>
    </row>
    <row r="26" spans="1:5">
      <c r="A26" s="509">
        <v>6</v>
      </c>
      <c r="B26" s="509" t="s">
        <v>34</v>
      </c>
      <c r="C26" s="509" t="s">
        <v>35</v>
      </c>
      <c r="D26" s="515">
        <f>'4. Vay'!E7*2/5+'4. Vay'!U7*3/5</f>
        <v>6.5000000000000002E-2</v>
      </c>
    </row>
    <row r="29" spans="1:5" ht="17.5">
      <c r="A29" s="508" t="s">
        <v>36</v>
      </c>
      <c r="B29" s="508" t="s">
        <v>37</v>
      </c>
      <c r="C29" s="508" t="s">
        <v>4</v>
      </c>
      <c r="D29" s="508" t="s">
        <v>38</v>
      </c>
      <c r="E29" s="508" t="s">
        <v>39</v>
      </c>
    </row>
    <row r="30" spans="1:5">
      <c r="A30" s="462">
        <v>1</v>
      </c>
      <c r="B30" s="462" t="s">
        <v>40</v>
      </c>
      <c r="C30" s="518">
        <f>'9. Cân đối dòng tiền (VCSH)'!C9</f>
        <v>249000000000</v>
      </c>
      <c r="D30" s="510">
        <f>C30/$C$33</f>
        <v>0.20975070015887995</v>
      </c>
      <c r="E30" s="510">
        <v>0.15</v>
      </c>
    </row>
    <row r="31" spans="1:5">
      <c r="A31" s="462">
        <v>3</v>
      </c>
      <c r="B31" s="462" t="s">
        <v>41</v>
      </c>
      <c r="C31" s="518">
        <f>'9. Cân đối dòng tiền (VCSH)'!C8</f>
        <v>799474340209.46802</v>
      </c>
      <c r="D31" s="510">
        <f>C31/$C$33</f>
        <v>0.67345503059435541</v>
      </c>
      <c r="E31" s="510">
        <f>D26</f>
        <v>6.5000000000000002E-2</v>
      </c>
    </row>
    <row r="32" spans="1:5">
      <c r="A32" s="462">
        <v>4</v>
      </c>
      <c r="B32" s="462" t="s">
        <v>42</v>
      </c>
      <c r="C32" s="518">
        <f>C33-C31-C30</f>
        <v>138649229873.44409</v>
      </c>
      <c r="D32" s="510">
        <f>C32/$C$33</f>
        <v>0.11679426924676463</v>
      </c>
      <c r="E32" s="510">
        <v>0.05</v>
      </c>
    </row>
    <row r="33" spans="1:17">
      <c r="A33" s="519"/>
      <c r="B33" s="519" t="s">
        <v>43</v>
      </c>
      <c r="C33" s="520">
        <f>'3. TMDT'!G15</f>
        <v>1187123570082.9121</v>
      </c>
      <c r="D33" s="521">
        <f>SUM(D30:D32)</f>
        <v>1</v>
      </c>
      <c r="E33" s="521">
        <f>D30*E30+D31*E31*(1-D25)+D32*E32</f>
        <v>7.23219800770767E-2</v>
      </c>
    </row>
    <row r="34" spans="1:17">
      <c r="A34" s="465"/>
      <c r="B34" s="465"/>
      <c r="C34" s="466"/>
      <c r="D34" s="467"/>
      <c r="E34" s="467"/>
    </row>
    <row r="35" spans="1:17">
      <c r="A35" s="465"/>
      <c r="B35" s="465"/>
      <c r="C35" s="466"/>
      <c r="D35" s="467"/>
      <c r="E35" s="478"/>
      <c r="F35" s="619" t="s">
        <v>6</v>
      </c>
      <c r="G35" s="619"/>
      <c r="H35" s="619"/>
      <c r="I35" s="619"/>
      <c r="J35" s="619"/>
      <c r="K35" s="619"/>
      <c r="L35" s="619"/>
      <c r="M35" s="619"/>
      <c r="N35" s="619"/>
      <c r="O35" s="619"/>
      <c r="P35" s="619"/>
      <c r="Q35" s="479"/>
    </row>
    <row r="36" spans="1:17">
      <c r="E36" s="462"/>
      <c r="F36" s="472"/>
      <c r="G36" s="614" t="s">
        <v>44</v>
      </c>
      <c r="H36" s="614"/>
      <c r="I36" s="614"/>
      <c r="J36" s="614"/>
      <c r="K36" s="614"/>
      <c r="L36" s="614"/>
      <c r="M36" s="614"/>
      <c r="N36" s="614"/>
      <c r="O36" s="614"/>
      <c r="P36" s="614"/>
      <c r="Q36" s="615"/>
    </row>
    <row r="37" spans="1:17">
      <c r="B37" s="482" t="s">
        <v>45</v>
      </c>
      <c r="C37" s="480">
        <f>0%</f>
        <v>0</v>
      </c>
      <c r="E37" s="616" t="s">
        <v>45</v>
      </c>
      <c r="F37" s="477">
        <f>D5</f>
        <v>0.11584593877997662</v>
      </c>
      <c r="G37" s="473">
        <v>-0.05</v>
      </c>
      <c r="H37" s="473">
        <v>-0.04</v>
      </c>
      <c r="I37" s="473">
        <v>-0.03</v>
      </c>
      <c r="J37" s="473">
        <v>-0.02</v>
      </c>
      <c r="K37" s="473">
        <v>-0.01</v>
      </c>
      <c r="L37" s="473">
        <v>0</v>
      </c>
      <c r="M37" s="473">
        <v>0.01</v>
      </c>
      <c r="N37" s="473">
        <v>0.02</v>
      </c>
      <c r="O37" s="473">
        <v>0.03</v>
      </c>
      <c r="P37" s="473">
        <v>0.04</v>
      </c>
      <c r="Q37" s="474">
        <v>0.05</v>
      </c>
    </row>
    <row r="38" spans="1:17">
      <c r="B38" s="483" t="s">
        <v>44</v>
      </c>
      <c r="C38" s="481">
        <f>0%</f>
        <v>0</v>
      </c>
      <c r="E38" s="616"/>
      <c r="F38" s="475">
        <v>-0.2</v>
      </c>
      <c r="G38" s="468">
        <f t="dataTable" ref="G38:Q46" dt2D="1" dtr="1" r1="C38" r2="C37"/>
        <v>0.14242527952355899</v>
      </c>
      <c r="H38" s="468">
        <v>0.13686421745016242</v>
      </c>
      <c r="I38" s="468">
        <v>0.13142962587152507</v>
      </c>
      <c r="J38" s="468">
        <v>0.12611755379560896</v>
      </c>
      <c r="K38" s="468">
        <v>0.12092420666709214</v>
      </c>
      <c r="L38" s="468">
        <v>0.11584593877997662</v>
      </c>
      <c r="M38" s="468">
        <v>0.11087924613121936</v>
      </c>
      <c r="N38" s="468">
        <v>0.10602075968635383</v>
      </c>
      <c r="O38" s="468">
        <v>0.10126723902820967</v>
      </c>
      <c r="P38" s="468">
        <v>9.6615566363831951E-2</v>
      </c>
      <c r="Q38" s="469">
        <v>9.2062740865274773E-2</v>
      </c>
    </row>
    <row r="39" spans="1:17">
      <c r="E39" s="616"/>
      <c r="F39" s="475">
        <v>-0.15</v>
      </c>
      <c r="G39" s="468">
        <v>0.14242527952355899</v>
      </c>
      <c r="H39" s="468">
        <v>0.13686421745016242</v>
      </c>
      <c r="I39" s="468">
        <v>0.13142962587152507</v>
      </c>
      <c r="J39" s="468">
        <v>0.12611755379560896</v>
      </c>
      <c r="K39" s="468">
        <v>0.12092420666709214</v>
      </c>
      <c r="L39" s="468">
        <v>0.11584593877997662</v>
      </c>
      <c r="M39" s="468">
        <v>0.11087924613121936</v>
      </c>
      <c r="N39" s="468">
        <v>0.10602075968635383</v>
      </c>
      <c r="O39" s="468">
        <v>0.10126723902820967</v>
      </c>
      <c r="P39" s="468">
        <v>9.6615566363831951E-2</v>
      </c>
      <c r="Q39" s="469">
        <v>9.2062740865274773E-2</v>
      </c>
    </row>
    <row r="40" spans="1:17">
      <c r="E40" s="616"/>
      <c r="F40" s="475">
        <v>-0.1</v>
      </c>
      <c r="G40" s="468">
        <v>0.14242527952355899</v>
      </c>
      <c r="H40" s="468">
        <v>0.13686421745016242</v>
      </c>
      <c r="I40" s="468">
        <v>0.13142962587152507</v>
      </c>
      <c r="J40" s="468">
        <v>0.12611755379560896</v>
      </c>
      <c r="K40" s="468">
        <v>0.12092420666709214</v>
      </c>
      <c r="L40" s="468">
        <v>0.11584593877997662</v>
      </c>
      <c r="M40" s="468">
        <v>0.11087924613121936</v>
      </c>
      <c r="N40" s="468">
        <v>0.10602075968635383</v>
      </c>
      <c r="O40" s="468">
        <v>0.10126723902820967</v>
      </c>
      <c r="P40" s="468">
        <v>9.6615566363831951E-2</v>
      </c>
      <c r="Q40" s="469">
        <v>9.2062740865274773E-2</v>
      </c>
    </row>
    <row r="41" spans="1:17">
      <c r="E41" s="616"/>
      <c r="F41" s="475">
        <v>-0.05</v>
      </c>
      <c r="G41" s="468">
        <v>0.14242527952355899</v>
      </c>
      <c r="H41" s="468">
        <v>0.13686421745016242</v>
      </c>
      <c r="I41" s="468">
        <v>0.13142962587152507</v>
      </c>
      <c r="J41" s="468">
        <v>0.12611755379560896</v>
      </c>
      <c r="K41" s="468">
        <v>0.12092420666709214</v>
      </c>
      <c r="L41" s="468">
        <v>0.11584593877997662</v>
      </c>
      <c r="M41" s="468">
        <v>0.11087924613121936</v>
      </c>
      <c r="N41" s="468">
        <v>0.10602075968635383</v>
      </c>
      <c r="O41" s="468">
        <v>0.10126723902820967</v>
      </c>
      <c r="P41" s="468">
        <v>9.6615566363831951E-2</v>
      </c>
      <c r="Q41" s="469">
        <v>9.2062740865274773E-2</v>
      </c>
    </row>
    <row r="42" spans="1:17">
      <c r="E42" s="616"/>
      <c r="F42" s="475">
        <v>0</v>
      </c>
      <c r="G42" s="468">
        <v>0.14242527952355899</v>
      </c>
      <c r="H42" s="468">
        <v>0.13686421745016242</v>
      </c>
      <c r="I42" s="468">
        <v>0.13142962587152507</v>
      </c>
      <c r="J42" s="468">
        <v>0.12611755379560896</v>
      </c>
      <c r="K42" s="468">
        <v>0.12092420666709214</v>
      </c>
      <c r="L42" s="468">
        <v>0.11584593877997662</v>
      </c>
      <c r="M42" s="468">
        <v>0.11087924613121936</v>
      </c>
      <c r="N42" s="468">
        <v>0.10602075968635383</v>
      </c>
      <c r="O42" s="468">
        <v>0.10126723902820967</v>
      </c>
      <c r="P42" s="468">
        <v>9.6615566363831951E-2</v>
      </c>
      <c r="Q42" s="469">
        <v>9.2062740865274773E-2</v>
      </c>
    </row>
    <row r="43" spans="1:17">
      <c r="E43" s="616"/>
      <c r="F43" s="475">
        <v>0.05</v>
      </c>
      <c r="G43" s="468">
        <v>0.14242527952355899</v>
      </c>
      <c r="H43" s="468">
        <v>0.13686421745016242</v>
      </c>
      <c r="I43" s="468">
        <v>0.13142962587152507</v>
      </c>
      <c r="J43" s="468">
        <v>0.12611755379560896</v>
      </c>
      <c r="K43" s="468">
        <v>0.12092420666709214</v>
      </c>
      <c r="L43" s="468">
        <v>0.11584593877997662</v>
      </c>
      <c r="M43" s="468">
        <v>0.11087924613121936</v>
      </c>
      <c r="N43" s="468">
        <v>0.10602075968635383</v>
      </c>
      <c r="O43" s="468">
        <v>0.10126723902820967</v>
      </c>
      <c r="P43" s="468">
        <v>9.6615566363831951E-2</v>
      </c>
      <c r="Q43" s="469">
        <v>9.2062740865274773E-2</v>
      </c>
    </row>
    <row r="44" spans="1:17">
      <c r="E44" s="616"/>
      <c r="F44" s="475">
        <v>0.1</v>
      </c>
      <c r="G44" s="468">
        <v>0.14242527952355899</v>
      </c>
      <c r="H44" s="468">
        <v>0.13686421745016242</v>
      </c>
      <c r="I44" s="468">
        <v>0.13142962587152507</v>
      </c>
      <c r="J44" s="468">
        <v>0.12611755379560896</v>
      </c>
      <c r="K44" s="468">
        <v>0.12092420666709214</v>
      </c>
      <c r="L44" s="468">
        <v>0.11584593877997662</v>
      </c>
      <c r="M44" s="468">
        <v>0.11087924613121936</v>
      </c>
      <c r="N44" s="468">
        <v>0.10602075968635383</v>
      </c>
      <c r="O44" s="468">
        <v>0.10126723902820967</v>
      </c>
      <c r="P44" s="468">
        <v>9.6615566363831951E-2</v>
      </c>
      <c r="Q44" s="469">
        <v>9.2062740865274773E-2</v>
      </c>
    </row>
    <row r="45" spans="1:17">
      <c r="E45" s="616"/>
      <c r="F45" s="475">
        <v>0.15</v>
      </c>
      <c r="G45" s="468">
        <v>0.14242527952355899</v>
      </c>
      <c r="H45" s="468">
        <v>0.13686421745016242</v>
      </c>
      <c r="I45" s="468">
        <v>0.13142962587152507</v>
      </c>
      <c r="J45" s="468">
        <v>0.12611755379560896</v>
      </c>
      <c r="K45" s="468">
        <v>0.12092420666709214</v>
      </c>
      <c r="L45" s="468">
        <v>0.11584593877997662</v>
      </c>
      <c r="M45" s="468">
        <v>0.11087924613121936</v>
      </c>
      <c r="N45" s="468">
        <v>0.10602075968635383</v>
      </c>
      <c r="O45" s="468">
        <v>0.10126723902820967</v>
      </c>
      <c r="P45" s="468">
        <v>9.6615566363831951E-2</v>
      </c>
      <c r="Q45" s="469">
        <v>9.2062740865274773E-2</v>
      </c>
    </row>
    <row r="46" spans="1:17">
      <c r="E46" s="617"/>
      <c r="F46" s="476">
        <v>0.2</v>
      </c>
      <c r="G46" s="470">
        <v>0.14242527952355899</v>
      </c>
      <c r="H46" s="470">
        <v>0.13686421745016242</v>
      </c>
      <c r="I46" s="470">
        <v>0.13142962587152507</v>
      </c>
      <c r="J46" s="470">
        <v>0.12611755379560896</v>
      </c>
      <c r="K46" s="470">
        <v>0.12092420666709214</v>
      </c>
      <c r="L46" s="470">
        <v>0.11584593877997662</v>
      </c>
      <c r="M46" s="470">
        <v>0.11087924613121936</v>
      </c>
      <c r="N46" s="470">
        <v>0.10602075968635383</v>
      </c>
      <c r="O46" s="470">
        <v>0.10126723902820967</v>
      </c>
      <c r="P46" s="470">
        <v>9.6615566363831951E-2</v>
      </c>
      <c r="Q46" s="471">
        <v>9.2062740865274773E-2</v>
      </c>
    </row>
    <row r="48" spans="1:17">
      <c r="E48" s="478"/>
      <c r="F48" s="619" t="s">
        <v>10</v>
      </c>
      <c r="G48" s="619"/>
      <c r="H48" s="619"/>
      <c r="I48" s="619"/>
      <c r="J48" s="619"/>
      <c r="K48" s="619"/>
      <c r="L48" s="619"/>
      <c r="M48" s="619"/>
      <c r="N48" s="619"/>
      <c r="O48" s="619"/>
      <c r="P48" s="619"/>
      <c r="Q48" s="479"/>
    </row>
    <row r="49" spans="5:17">
      <c r="E49" s="462"/>
      <c r="F49" s="472"/>
      <c r="G49" s="614" t="s">
        <v>44</v>
      </c>
      <c r="H49" s="614"/>
      <c r="I49" s="614"/>
      <c r="J49" s="614"/>
      <c r="K49" s="614"/>
      <c r="L49" s="614"/>
      <c r="M49" s="614"/>
      <c r="N49" s="614"/>
      <c r="O49" s="614"/>
      <c r="P49" s="614"/>
      <c r="Q49" s="615"/>
    </row>
    <row r="50" spans="5:17">
      <c r="E50" s="616" t="s">
        <v>45</v>
      </c>
      <c r="F50" s="477">
        <f>D7</f>
        <v>0.17607408222806331</v>
      </c>
      <c r="G50" s="473">
        <v>-0.05</v>
      </c>
      <c r="H50" s="473">
        <v>-0.04</v>
      </c>
      <c r="I50" s="473">
        <v>-0.03</v>
      </c>
      <c r="J50" s="473">
        <v>-0.02</v>
      </c>
      <c r="K50" s="473">
        <v>-0.01</v>
      </c>
      <c r="L50" s="473">
        <v>0</v>
      </c>
      <c r="M50" s="473">
        <v>0.01</v>
      </c>
      <c r="N50" s="473">
        <v>0.02</v>
      </c>
      <c r="O50" s="473">
        <v>0.03</v>
      </c>
      <c r="P50" s="473">
        <v>0.04</v>
      </c>
      <c r="Q50" s="474">
        <v>0.05</v>
      </c>
    </row>
    <row r="51" spans="5:17">
      <c r="E51" s="616"/>
      <c r="F51" s="475">
        <v>-0.2</v>
      </c>
      <c r="G51" s="468">
        <f t="dataTable" ref="G51:Q59" dt2D="1" dtr="1" r1="C38" r2="C37" ca="1"/>
        <v>0.23693705035459889</v>
      </c>
      <c r="H51" s="468">
        <v>0.22401895940374672</v>
      </c>
      <c r="I51" s="468">
        <v>0.21148662375221172</v>
      </c>
      <c r="J51" s="468">
        <v>0.19932680138648928</v>
      </c>
      <c r="K51" s="468">
        <v>0.18752672482112143</v>
      </c>
      <c r="L51" s="468">
        <v>0.17607408222806331</v>
      </c>
      <c r="M51" s="468">
        <v>0.16495699972546563</v>
      </c>
      <c r="N51" s="468">
        <v>0.15416402471266233</v>
      </c>
      <c r="O51" s="468">
        <v>0.14368411014605753</v>
      </c>
      <c r="P51" s="468">
        <v>0.13350659966376699</v>
      </c>
      <c r="Q51" s="469">
        <v>0.12362121347562383</v>
      </c>
    </row>
    <row r="52" spans="5:17">
      <c r="E52" s="616"/>
      <c r="F52" s="475">
        <v>-0.15</v>
      </c>
      <c r="G52" s="468">
        <v>0.23693705035459889</v>
      </c>
      <c r="H52" s="468">
        <v>0.22401895940374672</v>
      </c>
      <c r="I52" s="468">
        <v>0.21148662375221172</v>
      </c>
      <c r="J52" s="468">
        <v>0.19932680138648928</v>
      </c>
      <c r="K52" s="468">
        <v>0.18752672482112143</v>
      </c>
      <c r="L52" s="468">
        <v>0.17607408222806331</v>
      </c>
      <c r="M52" s="468">
        <v>0.16495699972546563</v>
      </c>
      <c r="N52" s="468">
        <v>0.15416402471266233</v>
      </c>
      <c r="O52" s="468">
        <v>0.14368411014605753</v>
      </c>
      <c r="P52" s="468">
        <v>0.13350659966376699</v>
      </c>
      <c r="Q52" s="469">
        <v>0.12362121347562383</v>
      </c>
    </row>
    <row r="53" spans="5:17">
      <c r="E53" s="616"/>
      <c r="F53" s="475">
        <v>-0.1</v>
      </c>
      <c r="G53" s="468">
        <v>0.23693705035459889</v>
      </c>
      <c r="H53" s="468">
        <v>0.22401895940374672</v>
      </c>
      <c r="I53" s="468">
        <v>0.21148662375221172</v>
      </c>
      <c r="J53" s="468">
        <v>0.19932680138648928</v>
      </c>
      <c r="K53" s="468">
        <v>0.18752672482112143</v>
      </c>
      <c r="L53" s="468">
        <v>0.17607408222806331</v>
      </c>
      <c r="M53" s="468">
        <v>0.16495699972546563</v>
      </c>
      <c r="N53" s="468">
        <v>0.15416402471266233</v>
      </c>
      <c r="O53" s="468">
        <v>0.14368411014605753</v>
      </c>
      <c r="P53" s="468">
        <v>0.13350659966376699</v>
      </c>
      <c r="Q53" s="469">
        <v>0.12362121347562383</v>
      </c>
    </row>
    <row r="54" spans="5:17">
      <c r="E54" s="616"/>
      <c r="F54" s="475">
        <v>-0.05</v>
      </c>
      <c r="G54" s="468">
        <v>0.23693705035459889</v>
      </c>
      <c r="H54" s="468">
        <v>0.22401895940374672</v>
      </c>
      <c r="I54" s="468">
        <v>0.21148662375221172</v>
      </c>
      <c r="J54" s="468">
        <v>0.19932680138648928</v>
      </c>
      <c r="K54" s="468">
        <v>0.18752672482112143</v>
      </c>
      <c r="L54" s="468">
        <v>0.17607408222806331</v>
      </c>
      <c r="M54" s="468">
        <v>0.16495699972546563</v>
      </c>
      <c r="N54" s="468">
        <v>0.15416402471266233</v>
      </c>
      <c r="O54" s="468">
        <v>0.14368411014605753</v>
      </c>
      <c r="P54" s="468">
        <v>0.13350659966376699</v>
      </c>
      <c r="Q54" s="469">
        <v>0.12362121347562383</v>
      </c>
    </row>
    <row r="55" spans="5:17">
      <c r="E55" s="616"/>
      <c r="F55" s="475">
        <v>0</v>
      </c>
      <c r="G55" s="468">
        <v>0.23693705035459889</v>
      </c>
      <c r="H55" s="468">
        <v>0.22401895940374672</v>
      </c>
      <c r="I55" s="468">
        <v>0.21148662375221172</v>
      </c>
      <c r="J55" s="468">
        <v>0.19932680138648928</v>
      </c>
      <c r="K55" s="468">
        <v>0.18752672482112143</v>
      </c>
      <c r="L55" s="468">
        <v>0.17607408222806331</v>
      </c>
      <c r="M55" s="468">
        <v>0.16495699972546563</v>
      </c>
      <c r="N55" s="468">
        <v>0.15416402471266233</v>
      </c>
      <c r="O55" s="468">
        <v>0.14368411014605753</v>
      </c>
      <c r="P55" s="468">
        <v>0.13350659966376699</v>
      </c>
      <c r="Q55" s="469">
        <v>0.12362121347562383</v>
      </c>
    </row>
    <row r="56" spans="5:17">
      <c r="E56" s="616"/>
      <c r="F56" s="475">
        <v>0.05</v>
      </c>
      <c r="G56" s="468">
        <v>0.23693705035459889</v>
      </c>
      <c r="H56" s="468">
        <v>0.22401895940374672</v>
      </c>
      <c r="I56" s="468">
        <v>0.21148662375221172</v>
      </c>
      <c r="J56" s="468">
        <v>0.19932680138648928</v>
      </c>
      <c r="K56" s="468">
        <v>0.18752672482112143</v>
      </c>
      <c r="L56" s="468">
        <v>0.17607408222806331</v>
      </c>
      <c r="M56" s="468">
        <v>0.16495699972546563</v>
      </c>
      <c r="N56" s="468">
        <v>0.15416402471266233</v>
      </c>
      <c r="O56" s="468">
        <v>0.14368411014605753</v>
      </c>
      <c r="P56" s="468">
        <v>0.13350659966376699</v>
      </c>
      <c r="Q56" s="469">
        <v>0.12362121347562383</v>
      </c>
    </row>
    <row r="57" spans="5:17">
      <c r="E57" s="616"/>
      <c r="F57" s="475">
        <v>0.1</v>
      </c>
      <c r="G57" s="468">
        <v>0.23693705035459889</v>
      </c>
      <c r="H57" s="468">
        <v>0.22401895940374672</v>
      </c>
      <c r="I57" s="468">
        <v>0.21148662375221172</v>
      </c>
      <c r="J57" s="468">
        <v>0.19932680138648928</v>
      </c>
      <c r="K57" s="468">
        <v>0.18752672482112143</v>
      </c>
      <c r="L57" s="468">
        <v>0.17607408222806331</v>
      </c>
      <c r="M57" s="468">
        <v>0.16495699972546563</v>
      </c>
      <c r="N57" s="468">
        <v>0.15416402471266233</v>
      </c>
      <c r="O57" s="468">
        <v>0.14368411014605753</v>
      </c>
      <c r="P57" s="468">
        <v>0.13350659966376699</v>
      </c>
      <c r="Q57" s="469">
        <v>0.12362121347562383</v>
      </c>
    </row>
    <row r="58" spans="5:17">
      <c r="E58" s="616"/>
      <c r="F58" s="475">
        <v>0.15</v>
      </c>
      <c r="G58" s="468">
        <v>0.23693705035459889</v>
      </c>
      <c r="H58" s="468">
        <v>0.22401895940374672</v>
      </c>
      <c r="I58" s="468">
        <v>0.21148662375221172</v>
      </c>
      <c r="J58" s="468">
        <v>0.19932680138648928</v>
      </c>
      <c r="K58" s="468">
        <v>0.18752672482112143</v>
      </c>
      <c r="L58" s="468">
        <v>0.17607408222806331</v>
      </c>
      <c r="M58" s="468">
        <v>0.16495699972546563</v>
      </c>
      <c r="N58" s="468">
        <v>0.15416402471266233</v>
      </c>
      <c r="O58" s="468">
        <v>0.14368411014605753</v>
      </c>
      <c r="P58" s="468">
        <v>0.13350659966376699</v>
      </c>
      <c r="Q58" s="469">
        <v>0.12362121347562383</v>
      </c>
    </row>
    <row r="59" spans="5:17">
      <c r="E59" s="617"/>
      <c r="F59" s="476">
        <v>0.2</v>
      </c>
      <c r="G59" s="470">
        <v>0.23693705035459889</v>
      </c>
      <c r="H59" s="470">
        <v>0.22401895940374672</v>
      </c>
      <c r="I59" s="470">
        <v>0.21148662375221172</v>
      </c>
      <c r="J59" s="470">
        <v>0.19932680138648928</v>
      </c>
      <c r="K59" s="470">
        <v>0.18752672482112143</v>
      </c>
      <c r="L59" s="470">
        <v>0.17607408222806331</v>
      </c>
      <c r="M59" s="470">
        <v>0.16495699972546563</v>
      </c>
      <c r="N59" s="470">
        <v>0.15416402471266233</v>
      </c>
      <c r="O59" s="470">
        <v>0.14368411014605753</v>
      </c>
      <c r="P59" s="470">
        <v>0.13350659966376699</v>
      </c>
      <c r="Q59" s="471">
        <v>0.12362121347562383</v>
      </c>
    </row>
  </sheetData>
  <mergeCells count="7">
    <mergeCell ref="G49:Q49"/>
    <mergeCell ref="E50:E59"/>
    <mergeCell ref="A1:F1"/>
    <mergeCell ref="G36:Q36"/>
    <mergeCell ref="E37:E46"/>
    <mergeCell ref="F35:P35"/>
    <mergeCell ref="F48:P48"/>
  </mergeCells>
  <conditionalFormatting sqref="G38:Q4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51:Q5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A98"/>
  <sheetViews>
    <sheetView showGridLines="0" tabSelected="1" zoomScaleNormal="100" zoomScaleSheetLayoutView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B8" sqref="B8"/>
    </sheetView>
  </sheetViews>
  <sheetFormatPr defaultColWidth="8.7265625" defaultRowHeight="14" outlineLevelRow="1"/>
  <cols>
    <col min="1" max="1" width="6.7265625" style="88" bestFit="1" customWidth="1"/>
    <col min="2" max="2" width="66.26953125" style="88" customWidth="1"/>
    <col min="3" max="3" width="7.26953125" style="88" bestFit="1" customWidth="1"/>
    <col min="4" max="4" width="9.26953125" style="88" hidden="1" customWidth="1"/>
    <col min="5" max="5" width="13.26953125" style="88" hidden="1" customWidth="1"/>
    <col min="6" max="6" width="6.453125" style="88" hidden="1" customWidth="1"/>
    <col min="7" max="7" width="19.54296875" style="88" bestFit="1" customWidth="1"/>
    <col min="8" max="8" width="17.7265625" style="87" bestFit="1" customWidth="1"/>
    <col min="9" max="9" width="22.26953125" style="88" bestFit="1" customWidth="1"/>
    <col min="10" max="10" width="19.7265625" style="108" bestFit="1" customWidth="1"/>
    <col min="11" max="11" width="13.26953125" style="108" bestFit="1" customWidth="1"/>
    <col min="12" max="12" width="21.54296875" style="111" bestFit="1" customWidth="1"/>
    <col min="13" max="13" width="20.1796875" style="111" bestFit="1" customWidth="1"/>
    <col min="14" max="14" width="20" style="111" bestFit="1" customWidth="1"/>
    <col min="15" max="17" width="19" style="111" bestFit="1" customWidth="1"/>
    <col min="18" max="18" width="21" style="111" bestFit="1" customWidth="1"/>
    <col min="19" max="21" width="21.1796875" style="111" bestFit="1" customWidth="1"/>
    <col min="22" max="25" width="20.453125" style="111" bestFit="1" customWidth="1"/>
    <col min="26" max="29" width="19" style="111" bestFit="1" customWidth="1"/>
    <col min="30" max="31" width="16.7265625" style="111" bestFit="1" customWidth="1"/>
    <col min="32" max="32" width="15.7265625" style="111" bestFit="1" customWidth="1"/>
    <col min="33" max="33" width="13" style="111" bestFit="1" customWidth="1"/>
    <col min="34" max="35" width="16.7265625" style="111" bestFit="1" customWidth="1"/>
    <col min="36" max="36" width="15.7265625" style="111" bestFit="1" customWidth="1"/>
    <col min="37" max="37" width="13" style="111" bestFit="1" customWidth="1"/>
    <col min="38" max="39" width="16.7265625" style="111" bestFit="1" customWidth="1"/>
    <col min="40" max="40" width="15.7265625" style="111" bestFit="1" customWidth="1"/>
    <col min="41" max="41" width="13" style="111" bestFit="1" customWidth="1"/>
    <col min="42" max="53" width="11.7265625" style="108" bestFit="1" customWidth="1"/>
    <col min="54" max="249" width="9.26953125" style="108"/>
    <col min="250" max="250" width="5.453125" style="108" customWidth="1"/>
    <col min="251" max="251" width="35.453125" style="108" bestFit="1" customWidth="1"/>
    <col min="252" max="252" width="9.453125" style="108" customWidth="1"/>
    <col min="253" max="253" width="11.26953125" style="108" customWidth="1"/>
    <col min="254" max="254" width="17.453125" style="108" bestFit="1" customWidth="1"/>
    <col min="255" max="255" width="6.453125" style="108" customWidth="1"/>
    <col min="256" max="256" width="17.453125" style="108" customWidth="1"/>
    <col min="257" max="257" width="16.453125" style="108" bestFit="1" customWidth="1"/>
    <col min="258" max="258" width="18" style="108" bestFit="1" customWidth="1"/>
    <col min="259" max="259" width="27.7265625" style="108" bestFit="1" customWidth="1"/>
    <col min="260" max="260" width="16.7265625" style="108" bestFit="1" customWidth="1"/>
    <col min="261" max="261" width="15.7265625" style="108" customWidth="1"/>
    <col min="262" max="271" width="9.26953125" style="108" customWidth="1"/>
    <col min="272" max="273" width="9.26953125" style="108"/>
    <col min="274" max="274" width="18" style="108" bestFit="1" customWidth="1"/>
    <col min="275" max="275" width="14" style="108" bestFit="1" customWidth="1"/>
    <col min="276" max="276" width="15.453125" style="108" bestFit="1" customWidth="1"/>
    <col min="277" max="505" width="9.26953125" style="108"/>
    <col min="506" max="506" width="5.453125" style="108" customWidth="1"/>
    <col min="507" max="507" width="35.453125" style="108" bestFit="1" customWidth="1"/>
    <col min="508" max="508" width="9.453125" style="108" customWidth="1"/>
    <col min="509" max="509" width="11.26953125" style="108" customWidth="1"/>
    <col min="510" max="510" width="17.453125" style="108" bestFit="1" customWidth="1"/>
    <col min="511" max="511" width="6.453125" style="108" customWidth="1"/>
    <col min="512" max="512" width="17.453125" style="108" customWidth="1"/>
    <col min="513" max="513" width="16.453125" style="108" bestFit="1" customWidth="1"/>
    <col min="514" max="514" width="18" style="108" bestFit="1" customWidth="1"/>
    <col min="515" max="515" width="27.7265625" style="108" bestFit="1" customWidth="1"/>
    <col min="516" max="516" width="16.7265625" style="108" bestFit="1" customWidth="1"/>
    <col min="517" max="517" width="15.7265625" style="108" customWidth="1"/>
    <col min="518" max="527" width="9.26953125" style="108" customWidth="1"/>
    <col min="528" max="529" width="9.26953125" style="108"/>
    <col min="530" max="530" width="18" style="108" bestFit="1" customWidth="1"/>
    <col min="531" max="531" width="14" style="108" bestFit="1" customWidth="1"/>
    <col min="532" max="532" width="15.453125" style="108" bestFit="1" customWidth="1"/>
    <col min="533" max="761" width="9.26953125" style="108"/>
    <col min="762" max="762" width="5.453125" style="108" customWidth="1"/>
    <col min="763" max="763" width="35.453125" style="108" bestFit="1" customWidth="1"/>
    <col min="764" max="764" width="9.453125" style="108" customWidth="1"/>
    <col min="765" max="765" width="11.26953125" style="108" customWidth="1"/>
    <col min="766" max="766" width="17.453125" style="108" bestFit="1" customWidth="1"/>
    <col min="767" max="767" width="6.453125" style="108" customWidth="1"/>
    <col min="768" max="768" width="17.453125" style="108" customWidth="1"/>
    <col min="769" max="769" width="16.453125" style="108" bestFit="1" customWidth="1"/>
    <col min="770" max="770" width="18" style="108" bestFit="1" customWidth="1"/>
    <col min="771" max="771" width="27.7265625" style="108" bestFit="1" customWidth="1"/>
    <col min="772" max="772" width="16.7265625" style="108" bestFit="1" customWidth="1"/>
    <col min="773" max="773" width="15.7265625" style="108" customWidth="1"/>
    <col min="774" max="783" width="9.26953125" style="108" customWidth="1"/>
    <col min="784" max="785" width="9.26953125" style="108"/>
    <col min="786" max="786" width="18" style="108" bestFit="1" customWidth="1"/>
    <col min="787" max="787" width="14" style="108" bestFit="1" customWidth="1"/>
    <col min="788" max="788" width="15.453125" style="108" bestFit="1" customWidth="1"/>
    <col min="789" max="1017" width="9.26953125" style="108"/>
    <col min="1018" max="1018" width="5.453125" style="108" customWidth="1"/>
    <col min="1019" max="1019" width="35.453125" style="108" bestFit="1" customWidth="1"/>
    <col min="1020" max="1020" width="9.453125" style="108" customWidth="1"/>
    <col min="1021" max="1021" width="11.26953125" style="108" customWidth="1"/>
    <col min="1022" max="1022" width="17.453125" style="108" bestFit="1" customWidth="1"/>
    <col min="1023" max="1023" width="6.453125" style="108" customWidth="1"/>
    <col min="1024" max="1024" width="17.453125" style="108" customWidth="1"/>
    <col min="1025" max="1025" width="16.453125" style="108" bestFit="1" customWidth="1"/>
    <col min="1026" max="1026" width="18" style="108" bestFit="1" customWidth="1"/>
    <col min="1027" max="1027" width="27.7265625" style="108" bestFit="1" customWidth="1"/>
    <col min="1028" max="1028" width="16.7265625" style="108" bestFit="1" customWidth="1"/>
    <col min="1029" max="1029" width="15.7265625" style="108" customWidth="1"/>
    <col min="1030" max="1039" width="9.26953125" style="108" customWidth="1"/>
    <col min="1040" max="1041" width="9.26953125" style="108"/>
    <col min="1042" max="1042" width="18" style="108" bestFit="1" customWidth="1"/>
    <col min="1043" max="1043" width="14" style="108" bestFit="1" customWidth="1"/>
    <col min="1044" max="1044" width="15.453125" style="108" bestFit="1" customWidth="1"/>
    <col min="1045" max="1273" width="9.26953125" style="108"/>
    <col min="1274" max="1274" width="5.453125" style="108" customWidth="1"/>
    <col min="1275" max="1275" width="35.453125" style="108" bestFit="1" customWidth="1"/>
    <col min="1276" max="1276" width="9.453125" style="108" customWidth="1"/>
    <col min="1277" max="1277" width="11.26953125" style="108" customWidth="1"/>
    <col min="1278" max="1278" width="17.453125" style="108" bestFit="1" customWidth="1"/>
    <col min="1279" max="1279" width="6.453125" style="108" customWidth="1"/>
    <col min="1280" max="1280" width="17.453125" style="108" customWidth="1"/>
    <col min="1281" max="1281" width="16.453125" style="108" bestFit="1" customWidth="1"/>
    <col min="1282" max="1282" width="18" style="108" bestFit="1" customWidth="1"/>
    <col min="1283" max="1283" width="27.7265625" style="108" bestFit="1" customWidth="1"/>
    <col min="1284" max="1284" width="16.7265625" style="108" bestFit="1" customWidth="1"/>
    <col min="1285" max="1285" width="15.7265625" style="108" customWidth="1"/>
    <col min="1286" max="1295" width="9.26953125" style="108" customWidth="1"/>
    <col min="1296" max="1297" width="9.26953125" style="108"/>
    <col min="1298" max="1298" width="18" style="108" bestFit="1" customWidth="1"/>
    <col min="1299" max="1299" width="14" style="108" bestFit="1" customWidth="1"/>
    <col min="1300" max="1300" width="15.453125" style="108" bestFit="1" customWidth="1"/>
    <col min="1301" max="1529" width="9.26953125" style="108"/>
    <col min="1530" max="1530" width="5.453125" style="108" customWidth="1"/>
    <col min="1531" max="1531" width="35.453125" style="108" bestFit="1" customWidth="1"/>
    <col min="1532" max="1532" width="9.453125" style="108" customWidth="1"/>
    <col min="1533" max="1533" width="11.26953125" style="108" customWidth="1"/>
    <col min="1534" max="1534" width="17.453125" style="108" bestFit="1" customWidth="1"/>
    <col min="1535" max="1535" width="6.453125" style="108" customWidth="1"/>
    <col min="1536" max="1536" width="17.453125" style="108" customWidth="1"/>
    <col min="1537" max="1537" width="16.453125" style="108" bestFit="1" customWidth="1"/>
    <col min="1538" max="1538" width="18" style="108" bestFit="1" customWidth="1"/>
    <col min="1539" max="1539" width="27.7265625" style="108" bestFit="1" customWidth="1"/>
    <col min="1540" max="1540" width="16.7265625" style="108" bestFit="1" customWidth="1"/>
    <col min="1541" max="1541" width="15.7265625" style="108" customWidth="1"/>
    <col min="1542" max="1551" width="9.26953125" style="108" customWidth="1"/>
    <col min="1552" max="1553" width="9.26953125" style="108"/>
    <col min="1554" max="1554" width="18" style="108" bestFit="1" customWidth="1"/>
    <col min="1555" max="1555" width="14" style="108" bestFit="1" customWidth="1"/>
    <col min="1556" max="1556" width="15.453125" style="108" bestFit="1" customWidth="1"/>
    <col min="1557" max="1785" width="9.26953125" style="108"/>
    <col min="1786" max="1786" width="5.453125" style="108" customWidth="1"/>
    <col min="1787" max="1787" width="35.453125" style="108" bestFit="1" customWidth="1"/>
    <col min="1788" max="1788" width="9.453125" style="108" customWidth="1"/>
    <col min="1789" max="1789" width="11.26953125" style="108" customWidth="1"/>
    <col min="1790" max="1790" width="17.453125" style="108" bestFit="1" customWidth="1"/>
    <col min="1791" max="1791" width="6.453125" style="108" customWidth="1"/>
    <col min="1792" max="1792" width="17.453125" style="108" customWidth="1"/>
    <col min="1793" max="1793" width="16.453125" style="108" bestFit="1" customWidth="1"/>
    <col min="1794" max="1794" width="18" style="108" bestFit="1" customWidth="1"/>
    <col min="1795" max="1795" width="27.7265625" style="108" bestFit="1" customWidth="1"/>
    <col min="1796" max="1796" width="16.7265625" style="108" bestFit="1" customWidth="1"/>
    <col min="1797" max="1797" width="15.7265625" style="108" customWidth="1"/>
    <col min="1798" max="1807" width="9.26953125" style="108" customWidth="1"/>
    <col min="1808" max="1809" width="9.26953125" style="108"/>
    <col min="1810" max="1810" width="18" style="108" bestFit="1" customWidth="1"/>
    <col min="1811" max="1811" width="14" style="108" bestFit="1" customWidth="1"/>
    <col min="1812" max="1812" width="15.453125" style="108" bestFit="1" customWidth="1"/>
    <col min="1813" max="2041" width="9.26953125" style="108"/>
    <col min="2042" max="2042" width="5.453125" style="108" customWidth="1"/>
    <col min="2043" max="2043" width="35.453125" style="108" bestFit="1" customWidth="1"/>
    <col min="2044" max="2044" width="9.453125" style="108" customWidth="1"/>
    <col min="2045" max="2045" width="11.26953125" style="108" customWidth="1"/>
    <col min="2046" max="2046" width="17.453125" style="108" bestFit="1" customWidth="1"/>
    <col min="2047" max="2047" width="6.453125" style="108" customWidth="1"/>
    <col min="2048" max="2048" width="17.453125" style="108" customWidth="1"/>
    <col min="2049" max="2049" width="16.453125" style="108" bestFit="1" customWidth="1"/>
    <col min="2050" max="2050" width="18" style="108" bestFit="1" customWidth="1"/>
    <col min="2051" max="2051" width="27.7265625" style="108" bestFit="1" customWidth="1"/>
    <col min="2052" max="2052" width="16.7265625" style="108" bestFit="1" customWidth="1"/>
    <col min="2053" max="2053" width="15.7265625" style="108" customWidth="1"/>
    <col min="2054" max="2063" width="9.26953125" style="108" customWidth="1"/>
    <col min="2064" max="2065" width="9.26953125" style="108"/>
    <col min="2066" max="2066" width="18" style="108" bestFit="1" customWidth="1"/>
    <col min="2067" max="2067" width="14" style="108" bestFit="1" customWidth="1"/>
    <col min="2068" max="2068" width="15.453125" style="108" bestFit="1" customWidth="1"/>
    <col min="2069" max="2297" width="9.26953125" style="108"/>
    <col min="2298" max="2298" width="5.453125" style="108" customWidth="1"/>
    <col min="2299" max="2299" width="35.453125" style="108" bestFit="1" customWidth="1"/>
    <col min="2300" max="2300" width="9.453125" style="108" customWidth="1"/>
    <col min="2301" max="2301" width="11.26953125" style="108" customWidth="1"/>
    <col min="2302" max="2302" width="17.453125" style="108" bestFit="1" customWidth="1"/>
    <col min="2303" max="2303" width="6.453125" style="108" customWidth="1"/>
    <col min="2304" max="2304" width="17.453125" style="108" customWidth="1"/>
    <col min="2305" max="2305" width="16.453125" style="108" bestFit="1" customWidth="1"/>
    <col min="2306" max="2306" width="18" style="108" bestFit="1" customWidth="1"/>
    <col min="2307" max="2307" width="27.7265625" style="108" bestFit="1" customWidth="1"/>
    <col min="2308" max="2308" width="16.7265625" style="108" bestFit="1" customWidth="1"/>
    <col min="2309" max="2309" width="15.7265625" style="108" customWidth="1"/>
    <col min="2310" max="2319" width="9.26953125" style="108" customWidth="1"/>
    <col min="2320" max="2321" width="9.26953125" style="108"/>
    <col min="2322" max="2322" width="18" style="108" bestFit="1" customWidth="1"/>
    <col min="2323" max="2323" width="14" style="108" bestFit="1" customWidth="1"/>
    <col min="2324" max="2324" width="15.453125" style="108" bestFit="1" customWidth="1"/>
    <col min="2325" max="2553" width="9.26953125" style="108"/>
    <col min="2554" max="2554" width="5.453125" style="108" customWidth="1"/>
    <col min="2555" max="2555" width="35.453125" style="108" bestFit="1" customWidth="1"/>
    <col min="2556" max="2556" width="9.453125" style="108" customWidth="1"/>
    <col min="2557" max="2557" width="11.26953125" style="108" customWidth="1"/>
    <col min="2558" max="2558" width="17.453125" style="108" bestFit="1" customWidth="1"/>
    <col min="2559" max="2559" width="6.453125" style="108" customWidth="1"/>
    <col min="2560" max="2560" width="17.453125" style="108" customWidth="1"/>
    <col min="2561" max="2561" width="16.453125" style="108" bestFit="1" customWidth="1"/>
    <col min="2562" max="2562" width="18" style="108" bestFit="1" customWidth="1"/>
    <col min="2563" max="2563" width="27.7265625" style="108" bestFit="1" customWidth="1"/>
    <col min="2564" max="2564" width="16.7265625" style="108" bestFit="1" customWidth="1"/>
    <col min="2565" max="2565" width="15.7265625" style="108" customWidth="1"/>
    <col min="2566" max="2575" width="9.26953125" style="108" customWidth="1"/>
    <col min="2576" max="2577" width="9.26953125" style="108"/>
    <col min="2578" max="2578" width="18" style="108" bestFit="1" customWidth="1"/>
    <col min="2579" max="2579" width="14" style="108" bestFit="1" customWidth="1"/>
    <col min="2580" max="2580" width="15.453125" style="108" bestFit="1" customWidth="1"/>
    <col min="2581" max="2809" width="9.26953125" style="108"/>
    <col min="2810" max="2810" width="5.453125" style="108" customWidth="1"/>
    <col min="2811" max="2811" width="35.453125" style="108" bestFit="1" customWidth="1"/>
    <col min="2812" max="2812" width="9.453125" style="108" customWidth="1"/>
    <col min="2813" max="2813" width="11.26953125" style="108" customWidth="1"/>
    <col min="2814" max="2814" width="17.453125" style="108" bestFit="1" customWidth="1"/>
    <col min="2815" max="2815" width="6.453125" style="108" customWidth="1"/>
    <col min="2816" max="2816" width="17.453125" style="108" customWidth="1"/>
    <col min="2817" max="2817" width="16.453125" style="108" bestFit="1" customWidth="1"/>
    <col min="2818" max="2818" width="18" style="108" bestFit="1" customWidth="1"/>
    <col min="2819" max="2819" width="27.7265625" style="108" bestFit="1" customWidth="1"/>
    <col min="2820" max="2820" width="16.7265625" style="108" bestFit="1" customWidth="1"/>
    <col min="2821" max="2821" width="15.7265625" style="108" customWidth="1"/>
    <col min="2822" max="2831" width="9.26953125" style="108" customWidth="1"/>
    <col min="2832" max="2833" width="9.26953125" style="108"/>
    <col min="2834" max="2834" width="18" style="108" bestFit="1" customWidth="1"/>
    <col min="2835" max="2835" width="14" style="108" bestFit="1" customWidth="1"/>
    <col min="2836" max="2836" width="15.453125" style="108" bestFit="1" customWidth="1"/>
    <col min="2837" max="3065" width="9.26953125" style="108"/>
    <col min="3066" max="3066" width="5.453125" style="108" customWidth="1"/>
    <col min="3067" max="3067" width="35.453125" style="108" bestFit="1" customWidth="1"/>
    <col min="3068" max="3068" width="9.453125" style="108" customWidth="1"/>
    <col min="3069" max="3069" width="11.26953125" style="108" customWidth="1"/>
    <col min="3070" max="3070" width="17.453125" style="108" bestFit="1" customWidth="1"/>
    <col min="3071" max="3071" width="6.453125" style="108" customWidth="1"/>
    <col min="3072" max="3072" width="17.453125" style="108" customWidth="1"/>
    <col min="3073" max="3073" width="16.453125" style="108" bestFit="1" customWidth="1"/>
    <col min="3074" max="3074" width="18" style="108" bestFit="1" customWidth="1"/>
    <col min="3075" max="3075" width="27.7265625" style="108" bestFit="1" customWidth="1"/>
    <col min="3076" max="3076" width="16.7265625" style="108" bestFit="1" customWidth="1"/>
    <col min="3077" max="3077" width="15.7265625" style="108" customWidth="1"/>
    <col min="3078" max="3087" width="9.26953125" style="108" customWidth="1"/>
    <col min="3088" max="3089" width="9.26953125" style="108"/>
    <col min="3090" max="3090" width="18" style="108" bestFit="1" customWidth="1"/>
    <col min="3091" max="3091" width="14" style="108" bestFit="1" customWidth="1"/>
    <col min="3092" max="3092" width="15.453125" style="108" bestFit="1" customWidth="1"/>
    <col min="3093" max="3321" width="9.26953125" style="108"/>
    <col min="3322" max="3322" width="5.453125" style="108" customWidth="1"/>
    <col min="3323" max="3323" width="35.453125" style="108" bestFit="1" customWidth="1"/>
    <col min="3324" max="3324" width="9.453125" style="108" customWidth="1"/>
    <col min="3325" max="3325" width="11.26953125" style="108" customWidth="1"/>
    <col min="3326" max="3326" width="17.453125" style="108" bestFit="1" customWidth="1"/>
    <col min="3327" max="3327" width="6.453125" style="108" customWidth="1"/>
    <col min="3328" max="3328" width="17.453125" style="108" customWidth="1"/>
    <col min="3329" max="3329" width="16.453125" style="108" bestFit="1" customWidth="1"/>
    <col min="3330" max="3330" width="18" style="108" bestFit="1" customWidth="1"/>
    <col min="3331" max="3331" width="27.7265625" style="108" bestFit="1" customWidth="1"/>
    <col min="3332" max="3332" width="16.7265625" style="108" bestFit="1" customWidth="1"/>
    <col min="3333" max="3333" width="15.7265625" style="108" customWidth="1"/>
    <col min="3334" max="3343" width="9.26953125" style="108" customWidth="1"/>
    <col min="3344" max="3345" width="9.26953125" style="108"/>
    <col min="3346" max="3346" width="18" style="108" bestFit="1" customWidth="1"/>
    <col min="3347" max="3347" width="14" style="108" bestFit="1" customWidth="1"/>
    <col min="3348" max="3348" width="15.453125" style="108" bestFit="1" customWidth="1"/>
    <col min="3349" max="3577" width="9.26953125" style="108"/>
    <col min="3578" max="3578" width="5.453125" style="108" customWidth="1"/>
    <col min="3579" max="3579" width="35.453125" style="108" bestFit="1" customWidth="1"/>
    <col min="3580" max="3580" width="9.453125" style="108" customWidth="1"/>
    <col min="3581" max="3581" width="11.26953125" style="108" customWidth="1"/>
    <col min="3582" max="3582" width="17.453125" style="108" bestFit="1" customWidth="1"/>
    <col min="3583" max="3583" width="6.453125" style="108" customWidth="1"/>
    <col min="3584" max="3584" width="17.453125" style="108" customWidth="1"/>
    <col min="3585" max="3585" width="16.453125" style="108" bestFit="1" customWidth="1"/>
    <col min="3586" max="3586" width="18" style="108" bestFit="1" customWidth="1"/>
    <col min="3587" max="3587" width="27.7265625" style="108" bestFit="1" customWidth="1"/>
    <col min="3588" max="3588" width="16.7265625" style="108" bestFit="1" customWidth="1"/>
    <col min="3589" max="3589" width="15.7265625" style="108" customWidth="1"/>
    <col min="3590" max="3599" width="9.26953125" style="108" customWidth="1"/>
    <col min="3600" max="3601" width="9.26953125" style="108"/>
    <col min="3602" max="3602" width="18" style="108" bestFit="1" customWidth="1"/>
    <col min="3603" max="3603" width="14" style="108" bestFit="1" customWidth="1"/>
    <col min="3604" max="3604" width="15.453125" style="108" bestFit="1" customWidth="1"/>
    <col min="3605" max="3833" width="9.26953125" style="108"/>
    <col min="3834" max="3834" width="5.453125" style="108" customWidth="1"/>
    <col min="3835" max="3835" width="35.453125" style="108" bestFit="1" customWidth="1"/>
    <col min="3836" max="3836" width="9.453125" style="108" customWidth="1"/>
    <col min="3837" max="3837" width="11.26953125" style="108" customWidth="1"/>
    <col min="3838" max="3838" width="17.453125" style="108" bestFit="1" customWidth="1"/>
    <col min="3839" max="3839" width="6.453125" style="108" customWidth="1"/>
    <col min="3840" max="3840" width="17.453125" style="108" customWidth="1"/>
    <col min="3841" max="3841" width="16.453125" style="108" bestFit="1" customWidth="1"/>
    <col min="3842" max="3842" width="18" style="108" bestFit="1" customWidth="1"/>
    <col min="3843" max="3843" width="27.7265625" style="108" bestFit="1" customWidth="1"/>
    <col min="3844" max="3844" width="16.7265625" style="108" bestFit="1" customWidth="1"/>
    <col min="3845" max="3845" width="15.7265625" style="108" customWidth="1"/>
    <col min="3846" max="3855" width="9.26953125" style="108" customWidth="1"/>
    <col min="3856" max="3857" width="9.26953125" style="108"/>
    <col min="3858" max="3858" width="18" style="108" bestFit="1" customWidth="1"/>
    <col min="3859" max="3859" width="14" style="108" bestFit="1" customWidth="1"/>
    <col min="3860" max="3860" width="15.453125" style="108" bestFit="1" customWidth="1"/>
    <col min="3861" max="4089" width="9.26953125" style="108"/>
    <col min="4090" max="4090" width="5.453125" style="108" customWidth="1"/>
    <col min="4091" max="4091" width="35.453125" style="108" bestFit="1" customWidth="1"/>
    <col min="4092" max="4092" width="9.453125" style="108" customWidth="1"/>
    <col min="4093" max="4093" width="11.26953125" style="108" customWidth="1"/>
    <col min="4094" max="4094" width="17.453125" style="108" bestFit="1" customWidth="1"/>
    <col min="4095" max="4095" width="6.453125" style="108" customWidth="1"/>
    <col min="4096" max="4096" width="17.453125" style="108" customWidth="1"/>
    <col min="4097" max="4097" width="16.453125" style="108" bestFit="1" customWidth="1"/>
    <col min="4098" max="4098" width="18" style="108" bestFit="1" customWidth="1"/>
    <col min="4099" max="4099" width="27.7265625" style="108" bestFit="1" customWidth="1"/>
    <col min="4100" max="4100" width="16.7265625" style="108" bestFit="1" customWidth="1"/>
    <col min="4101" max="4101" width="15.7265625" style="108" customWidth="1"/>
    <col min="4102" max="4111" width="9.26953125" style="108" customWidth="1"/>
    <col min="4112" max="4113" width="9.26953125" style="108"/>
    <col min="4114" max="4114" width="18" style="108" bestFit="1" customWidth="1"/>
    <col min="4115" max="4115" width="14" style="108" bestFit="1" customWidth="1"/>
    <col min="4116" max="4116" width="15.453125" style="108" bestFit="1" customWidth="1"/>
    <col min="4117" max="4345" width="9.26953125" style="108"/>
    <col min="4346" max="4346" width="5.453125" style="108" customWidth="1"/>
    <col min="4347" max="4347" width="35.453125" style="108" bestFit="1" customWidth="1"/>
    <col min="4348" max="4348" width="9.453125" style="108" customWidth="1"/>
    <col min="4349" max="4349" width="11.26953125" style="108" customWidth="1"/>
    <col min="4350" max="4350" width="17.453125" style="108" bestFit="1" customWidth="1"/>
    <col min="4351" max="4351" width="6.453125" style="108" customWidth="1"/>
    <col min="4352" max="4352" width="17.453125" style="108" customWidth="1"/>
    <col min="4353" max="4353" width="16.453125" style="108" bestFit="1" customWidth="1"/>
    <col min="4354" max="4354" width="18" style="108" bestFit="1" customWidth="1"/>
    <col min="4355" max="4355" width="27.7265625" style="108" bestFit="1" customWidth="1"/>
    <col min="4356" max="4356" width="16.7265625" style="108" bestFit="1" customWidth="1"/>
    <col min="4357" max="4357" width="15.7265625" style="108" customWidth="1"/>
    <col min="4358" max="4367" width="9.26953125" style="108" customWidth="1"/>
    <col min="4368" max="4369" width="9.26953125" style="108"/>
    <col min="4370" max="4370" width="18" style="108" bestFit="1" customWidth="1"/>
    <col min="4371" max="4371" width="14" style="108" bestFit="1" customWidth="1"/>
    <col min="4372" max="4372" width="15.453125" style="108" bestFit="1" customWidth="1"/>
    <col min="4373" max="4601" width="9.26953125" style="108"/>
    <col min="4602" max="4602" width="5.453125" style="108" customWidth="1"/>
    <col min="4603" max="4603" width="35.453125" style="108" bestFit="1" customWidth="1"/>
    <col min="4604" max="4604" width="9.453125" style="108" customWidth="1"/>
    <col min="4605" max="4605" width="11.26953125" style="108" customWidth="1"/>
    <col min="4606" max="4606" width="17.453125" style="108" bestFit="1" customWidth="1"/>
    <col min="4607" max="4607" width="6.453125" style="108" customWidth="1"/>
    <col min="4608" max="4608" width="17.453125" style="108" customWidth="1"/>
    <col min="4609" max="4609" width="16.453125" style="108" bestFit="1" customWidth="1"/>
    <col min="4610" max="4610" width="18" style="108" bestFit="1" customWidth="1"/>
    <col min="4611" max="4611" width="27.7265625" style="108" bestFit="1" customWidth="1"/>
    <col min="4612" max="4612" width="16.7265625" style="108" bestFit="1" customWidth="1"/>
    <col min="4613" max="4613" width="15.7265625" style="108" customWidth="1"/>
    <col min="4614" max="4623" width="9.26953125" style="108" customWidth="1"/>
    <col min="4624" max="4625" width="9.26953125" style="108"/>
    <col min="4626" max="4626" width="18" style="108" bestFit="1" customWidth="1"/>
    <col min="4627" max="4627" width="14" style="108" bestFit="1" customWidth="1"/>
    <col min="4628" max="4628" width="15.453125" style="108" bestFit="1" customWidth="1"/>
    <col min="4629" max="4857" width="9.26953125" style="108"/>
    <col min="4858" max="4858" width="5.453125" style="108" customWidth="1"/>
    <col min="4859" max="4859" width="35.453125" style="108" bestFit="1" customWidth="1"/>
    <col min="4860" max="4860" width="9.453125" style="108" customWidth="1"/>
    <col min="4861" max="4861" width="11.26953125" style="108" customWidth="1"/>
    <col min="4862" max="4862" width="17.453125" style="108" bestFit="1" customWidth="1"/>
    <col min="4863" max="4863" width="6.453125" style="108" customWidth="1"/>
    <col min="4864" max="4864" width="17.453125" style="108" customWidth="1"/>
    <col min="4865" max="4865" width="16.453125" style="108" bestFit="1" customWidth="1"/>
    <col min="4866" max="4866" width="18" style="108" bestFit="1" customWidth="1"/>
    <col min="4867" max="4867" width="27.7265625" style="108" bestFit="1" customWidth="1"/>
    <col min="4868" max="4868" width="16.7265625" style="108" bestFit="1" customWidth="1"/>
    <col min="4869" max="4869" width="15.7265625" style="108" customWidth="1"/>
    <col min="4870" max="4879" width="9.26953125" style="108" customWidth="1"/>
    <col min="4880" max="4881" width="9.26953125" style="108"/>
    <col min="4882" max="4882" width="18" style="108" bestFit="1" customWidth="1"/>
    <col min="4883" max="4883" width="14" style="108" bestFit="1" customWidth="1"/>
    <col min="4884" max="4884" width="15.453125" style="108" bestFit="1" customWidth="1"/>
    <col min="4885" max="5113" width="9.26953125" style="108"/>
    <col min="5114" max="5114" width="5.453125" style="108" customWidth="1"/>
    <col min="5115" max="5115" width="35.453125" style="108" bestFit="1" customWidth="1"/>
    <col min="5116" max="5116" width="9.453125" style="108" customWidth="1"/>
    <col min="5117" max="5117" width="11.26953125" style="108" customWidth="1"/>
    <col min="5118" max="5118" width="17.453125" style="108" bestFit="1" customWidth="1"/>
    <col min="5119" max="5119" width="6.453125" style="108" customWidth="1"/>
    <col min="5120" max="5120" width="17.453125" style="108" customWidth="1"/>
    <col min="5121" max="5121" width="16.453125" style="108" bestFit="1" customWidth="1"/>
    <col min="5122" max="5122" width="18" style="108" bestFit="1" customWidth="1"/>
    <col min="5123" max="5123" width="27.7265625" style="108" bestFit="1" customWidth="1"/>
    <col min="5124" max="5124" width="16.7265625" style="108" bestFit="1" customWidth="1"/>
    <col min="5125" max="5125" width="15.7265625" style="108" customWidth="1"/>
    <col min="5126" max="5135" width="9.26953125" style="108" customWidth="1"/>
    <col min="5136" max="5137" width="9.26953125" style="108"/>
    <col min="5138" max="5138" width="18" style="108" bestFit="1" customWidth="1"/>
    <col min="5139" max="5139" width="14" style="108" bestFit="1" customWidth="1"/>
    <col min="5140" max="5140" width="15.453125" style="108" bestFit="1" customWidth="1"/>
    <col min="5141" max="5369" width="9.26953125" style="108"/>
    <col min="5370" max="5370" width="5.453125" style="108" customWidth="1"/>
    <col min="5371" max="5371" width="35.453125" style="108" bestFit="1" customWidth="1"/>
    <col min="5372" max="5372" width="9.453125" style="108" customWidth="1"/>
    <col min="5373" max="5373" width="11.26953125" style="108" customWidth="1"/>
    <col min="5374" max="5374" width="17.453125" style="108" bestFit="1" customWidth="1"/>
    <col min="5375" max="5375" width="6.453125" style="108" customWidth="1"/>
    <col min="5376" max="5376" width="17.453125" style="108" customWidth="1"/>
    <col min="5377" max="5377" width="16.453125" style="108" bestFit="1" customWidth="1"/>
    <col min="5378" max="5378" width="18" style="108" bestFit="1" customWidth="1"/>
    <col min="5379" max="5379" width="27.7265625" style="108" bestFit="1" customWidth="1"/>
    <col min="5380" max="5380" width="16.7265625" style="108" bestFit="1" customWidth="1"/>
    <col min="5381" max="5381" width="15.7265625" style="108" customWidth="1"/>
    <col min="5382" max="5391" width="9.26953125" style="108" customWidth="1"/>
    <col min="5392" max="5393" width="9.26953125" style="108"/>
    <col min="5394" max="5394" width="18" style="108" bestFit="1" customWidth="1"/>
    <col min="5395" max="5395" width="14" style="108" bestFit="1" customWidth="1"/>
    <col min="5396" max="5396" width="15.453125" style="108" bestFit="1" customWidth="1"/>
    <col min="5397" max="5625" width="9.26953125" style="108"/>
    <col min="5626" max="5626" width="5.453125" style="108" customWidth="1"/>
    <col min="5627" max="5627" width="35.453125" style="108" bestFit="1" customWidth="1"/>
    <col min="5628" max="5628" width="9.453125" style="108" customWidth="1"/>
    <col min="5629" max="5629" width="11.26953125" style="108" customWidth="1"/>
    <col min="5630" max="5630" width="17.453125" style="108" bestFit="1" customWidth="1"/>
    <col min="5631" max="5631" width="6.453125" style="108" customWidth="1"/>
    <col min="5632" max="5632" width="17.453125" style="108" customWidth="1"/>
    <col min="5633" max="5633" width="16.453125" style="108" bestFit="1" customWidth="1"/>
    <col min="5634" max="5634" width="18" style="108" bestFit="1" customWidth="1"/>
    <col min="5635" max="5635" width="27.7265625" style="108" bestFit="1" customWidth="1"/>
    <col min="5636" max="5636" width="16.7265625" style="108" bestFit="1" customWidth="1"/>
    <col min="5637" max="5637" width="15.7265625" style="108" customWidth="1"/>
    <col min="5638" max="5647" width="9.26953125" style="108" customWidth="1"/>
    <col min="5648" max="5649" width="9.26953125" style="108"/>
    <col min="5650" max="5650" width="18" style="108" bestFit="1" customWidth="1"/>
    <col min="5651" max="5651" width="14" style="108" bestFit="1" customWidth="1"/>
    <col min="5652" max="5652" width="15.453125" style="108" bestFit="1" customWidth="1"/>
    <col min="5653" max="5881" width="9.26953125" style="108"/>
    <col min="5882" max="5882" width="5.453125" style="108" customWidth="1"/>
    <col min="5883" max="5883" width="35.453125" style="108" bestFit="1" customWidth="1"/>
    <col min="5884" max="5884" width="9.453125" style="108" customWidth="1"/>
    <col min="5885" max="5885" width="11.26953125" style="108" customWidth="1"/>
    <col min="5886" max="5886" width="17.453125" style="108" bestFit="1" customWidth="1"/>
    <col min="5887" max="5887" width="6.453125" style="108" customWidth="1"/>
    <col min="5888" max="5888" width="17.453125" style="108" customWidth="1"/>
    <col min="5889" max="5889" width="16.453125" style="108" bestFit="1" customWidth="1"/>
    <col min="5890" max="5890" width="18" style="108" bestFit="1" customWidth="1"/>
    <col min="5891" max="5891" width="27.7265625" style="108" bestFit="1" customWidth="1"/>
    <col min="5892" max="5892" width="16.7265625" style="108" bestFit="1" customWidth="1"/>
    <col min="5893" max="5893" width="15.7265625" style="108" customWidth="1"/>
    <col min="5894" max="5903" width="9.26953125" style="108" customWidth="1"/>
    <col min="5904" max="5905" width="9.26953125" style="108"/>
    <col min="5906" max="5906" width="18" style="108" bestFit="1" customWidth="1"/>
    <col min="5907" max="5907" width="14" style="108" bestFit="1" customWidth="1"/>
    <col min="5908" max="5908" width="15.453125" style="108" bestFit="1" customWidth="1"/>
    <col min="5909" max="6137" width="9.26953125" style="108"/>
    <col min="6138" max="6138" width="5.453125" style="108" customWidth="1"/>
    <col min="6139" max="6139" width="35.453125" style="108" bestFit="1" customWidth="1"/>
    <col min="6140" max="6140" width="9.453125" style="108" customWidth="1"/>
    <col min="6141" max="6141" width="11.26953125" style="108" customWidth="1"/>
    <col min="6142" max="6142" width="17.453125" style="108" bestFit="1" customWidth="1"/>
    <col min="6143" max="6143" width="6.453125" style="108" customWidth="1"/>
    <col min="6144" max="6144" width="17.453125" style="108" customWidth="1"/>
    <col min="6145" max="6145" width="16.453125" style="108" bestFit="1" customWidth="1"/>
    <col min="6146" max="6146" width="18" style="108" bestFit="1" customWidth="1"/>
    <col min="6147" max="6147" width="27.7265625" style="108" bestFit="1" customWidth="1"/>
    <col min="6148" max="6148" width="16.7265625" style="108" bestFit="1" customWidth="1"/>
    <col min="6149" max="6149" width="15.7265625" style="108" customWidth="1"/>
    <col min="6150" max="6159" width="9.26953125" style="108" customWidth="1"/>
    <col min="6160" max="6161" width="9.26953125" style="108"/>
    <col min="6162" max="6162" width="18" style="108" bestFit="1" customWidth="1"/>
    <col min="6163" max="6163" width="14" style="108" bestFit="1" customWidth="1"/>
    <col min="6164" max="6164" width="15.453125" style="108" bestFit="1" customWidth="1"/>
    <col min="6165" max="6393" width="9.26953125" style="108"/>
    <col min="6394" max="6394" width="5.453125" style="108" customWidth="1"/>
    <col min="6395" max="6395" width="35.453125" style="108" bestFit="1" customWidth="1"/>
    <col min="6396" max="6396" width="9.453125" style="108" customWidth="1"/>
    <col min="6397" max="6397" width="11.26953125" style="108" customWidth="1"/>
    <col min="6398" max="6398" width="17.453125" style="108" bestFit="1" customWidth="1"/>
    <col min="6399" max="6399" width="6.453125" style="108" customWidth="1"/>
    <col min="6400" max="6400" width="17.453125" style="108" customWidth="1"/>
    <col min="6401" max="6401" width="16.453125" style="108" bestFit="1" customWidth="1"/>
    <col min="6402" max="6402" width="18" style="108" bestFit="1" customWidth="1"/>
    <col min="6403" max="6403" width="27.7265625" style="108" bestFit="1" customWidth="1"/>
    <col min="6404" max="6404" width="16.7265625" style="108" bestFit="1" customWidth="1"/>
    <col min="6405" max="6405" width="15.7265625" style="108" customWidth="1"/>
    <col min="6406" max="6415" width="9.26953125" style="108" customWidth="1"/>
    <col min="6416" max="6417" width="9.26953125" style="108"/>
    <col min="6418" max="6418" width="18" style="108" bestFit="1" customWidth="1"/>
    <col min="6419" max="6419" width="14" style="108" bestFit="1" customWidth="1"/>
    <col min="6420" max="6420" width="15.453125" style="108" bestFit="1" customWidth="1"/>
    <col min="6421" max="6649" width="9.26953125" style="108"/>
    <col min="6650" max="6650" width="5.453125" style="108" customWidth="1"/>
    <col min="6651" max="6651" width="35.453125" style="108" bestFit="1" customWidth="1"/>
    <col min="6652" max="6652" width="9.453125" style="108" customWidth="1"/>
    <col min="6653" max="6653" width="11.26953125" style="108" customWidth="1"/>
    <col min="6654" max="6654" width="17.453125" style="108" bestFit="1" customWidth="1"/>
    <col min="6655" max="6655" width="6.453125" style="108" customWidth="1"/>
    <col min="6656" max="6656" width="17.453125" style="108" customWidth="1"/>
    <col min="6657" max="6657" width="16.453125" style="108" bestFit="1" customWidth="1"/>
    <col min="6658" max="6658" width="18" style="108" bestFit="1" customWidth="1"/>
    <col min="6659" max="6659" width="27.7265625" style="108" bestFit="1" customWidth="1"/>
    <col min="6660" max="6660" width="16.7265625" style="108" bestFit="1" customWidth="1"/>
    <col min="6661" max="6661" width="15.7265625" style="108" customWidth="1"/>
    <col min="6662" max="6671" width="9.26953125" style="108" customWidth="1"/>
    <col min="6672" max="6673" width="9.26953125" style="108"/>
    <col min="6674" max="6674" width="18" style="108" bestFit="1" customWidth="1"/>
    <col min="6675" max="6675" width="14" style="108" bestFit="1" customWidth="1"/>
    <col min="6676" max="6676" width="15.453125" style="108" bestFit="1" customWidth="1"/>
    <col min="6677" max="6905" width="9.26953125" style="108"/>
    <col min="6906" max="6906" width="5.453125" style="108" customWidth="1"/>
    <col min="6907" max="6907" width="35.453125" style="108" bestFit="1" customWidth="1"/>
    <col min="6908" max="6908" width="9.453125" style="108" customWidth="1"/>
    <col min="6909" max="6909" width="11.26953125" style="108" customWidth="1"/>
    <col min="6910" max="6910" width="17.453125" style="108" bestFit="1" customWidth="1"/>
    <col min="6911" max="6911" width="6.453125" style="108" customWidth="1"/>
    <col min="6912" max="6912" width="17.453125" style="108" customWidth="1"/>
    <col min="6913" max="6913" width="16.453125" style="108" bestFit="1" customWidth="1"/>
    <col min="6914" max="6914" width="18" style="108" bestFit="1" customWidth="1"/>
    <col min="6915" max="6915" width="27.7265625" style="108" bestFit="1" customWidth="1"/>
    <col min="6916" max="6916" width="16.7265625" style="108" bestFit="1" customWidth="1"/>
    <col min="6917" max="6917" width="15.7265625" style="108" customWidth="1"/>
    <col min="6918" max="6927" width="9.26953125" style="108" customWidth="1"/>
    <col min="6928" max="6929" width="9.26953125" style="108"/>
    <col min="6930" max="6930" width="18" style="108" bestFit="1" customWidth="1"/>
    <col min="6931" max="6931" width="14" style="108" bestFit="1" customWidth="1"/>
    <col min="6932" max="6932" width="15.453125" style="108" bestFit="1" customWidth="1"/>
    <col min="6933" max="7161" width="9.26953125" style="108"/>
    <col min="7162" max="7162" width="5.453125" style="108" customWidth="1"/>
    <col min="7163" max="7163" width="35.453125" style="108" bestFit="1" customWidth="1"/>
    <col min="7164" max="7164" width="9.453125" style="108" customWidth="1"/>
    <col min="7165" max="7165" width="11.26953125" style="108" customWidth="1"/>
    <col min="7166" max="7166" width="17.453125" style="108" bestFit="1" customWidth="1"/>
    <col min="7167" max="7167" width="6.453125" style="108" customWidth="1"/>
    <col min="7168" max="7168" width="17.453125" style="108" customWidth="1"/>
    <col min="7169" max="7169" width="16.453125" style="108" bestFit="1" customWidth="1"/>
    <col min="7170" max="7170" width="18" style="108" bestFit="1" customWidth="1"/>
    <col min="7171" max="7171" width="27.7265625" style="108" bestFit="1" customWidth="1"/>
    <col min="7172" max="7172" width="16.7265625" style="108" bestFit="1" customWidth="1"/>
    <col min="7173" max="7173" width="15.7265625" style="108" customWidth="1"/>
    <col min="7174" max="7183" width="9.26953125" style="108" customWidth="1"/>
    <col min="7184" max="7185" width="9.26953125" style="108"/>
    <col min="7186" max="7186" width="18" style="108" bestFit="1" customWidth="1"/>
    <col min="7187" max="7187" width="14" style="108" bestFit="1" customWidth="1"/>
    <col min="7188" max="7188" width="15.453125" style="108" bestFit="1" customWidth="1"/>
    <col min="7189" max="7417" width="9.26953125" style="108"/>
    <col min="7418" max="7418" width="5.453125" style="108" customWidth="1"/>
    <col min="7419" max="7419" width="35.453125" style="108" bestFit="1" customWidth="1"/>
    <col min="7420" max="7420" width="9.453125" style="108" customWidth="1"/>
    <col min="7421" max="7421" width="11.26953125" style="108" customWidth="1"/>
    <col min="7422" max="7422" width="17.453125" style="108" bestFit="1" customWidth="1"/>
    <col min="7423" max="7423" width="6.453125" style="108" customWidth="1"/>
    <col min="7424" max="7424" width="17.453125" style="108" customWidth="1"/>
    <col min="7425" max="7425" width="16.453125" style="108" bestFit="1" customWidth="1"/>
    <col min="7426" max="7426" width="18" style="108" bestFit="1" customWidth="1"/>
    <col min="7427" max="7427" width="27.7265625" style="108" bestFit="1" customWidth="1"/>
    <col min="7428" max="7428" width="16.7265625" style="108" bestFit="1" customWidth="1"/>
    <col min="7429" max="7429" width="15.7265625" style="108" customWidth="1"/>
    <col min="7430" max="7439" width="9.26953125" style="108" customWidth="1"/>
    <col min="7440" max="7441" width="9.26953125" style="108"/>
    <col min="7442" max="7442" width="18" style="108" bestFit="1" customWidth="1"/>
    <col min="7443" max="7443" width="14" style="108" bestFit="1" customWidth="1"/>
    <col min="7444" max="7444" width="15.453125" style="108" bestFit="1" customWidth="1"/>
    <col min="7445" max="7673" width="9.26953125" style="108"/>
    <col min="7674" max="7674" width="5.453125" style="108" customWidth="1"/>
    <col min="7675" max="7675" width="35.453125" style="108" bestFit="1" customWidth="1"/>
    <col min="7676" max="7676" width="9.453125" style="108" customWidth="1"/>
    <col min="7677" max="7677" width="11.26953125" style="108" customWidth="1"/>
    <col min="7678" max="7678" width="17.453125" style="108" bestFit="1" customWidth="1"/>
    <col min="7679" max="7679" width="6.453125" style="108" customWidth="1"/>
    <col min="7680" max="7680" width="17.453125" style="108" customWidth="1"/>
    <col min="7681" max="7681" width="16.453125" style="108" bestFit="1" customWidth="1"/>
    <col min="7682" max="7682" width="18" style="108" bestFit="1" customWidth="1"/>
    <col min="7683" max="7683" width="27.7265625" style="108" bestFit="1" customWidth="1"/>
    <col min="7684" max="7684" width="16.7265625" style="108" bestFit="1" customWidth="1"/>
    <col min="7685" max="7685" width="15.7265625" style="108" customWidth="1"/>
    <col min="7686" max="7695" width="9.26953125" style="108" customWidth="1"/>
    <col min="7696" max="7697" width="9.26953125" style="108"/>
    <col min="7698" max="7698" width="18" style="108" bestFit="1" customWidth="1"/>
    <col min="7699" max="7699" width="14" style="108" bestFit="1" customWidth="1"/>
    <col min="7700" max="7700" width="15.453125" style="108" bestFit="1" customWidth="1"/>
    <col min="7701" max="7929" width="9.26953125" style="108"/>
    <col min="7930" max="7930" width="5.453125" style="108" customWidth="1"/>
    <col min="7931" max="7931" width="35.453125" style="108" bestFit="1" customWidth="1"/>
    <col min="7932" max="7932" width="9.453125" style="108" customWidth="1"/>
    <col min="7933" max="7933" width="11.26953125" style="108" customWidth="1"/>
    <col min="7934" max="7934" width="17.453125" style="108" bestFit="1" customWidth="1"/>
    <col min="7935" max="7935" width="6.453125" style="108" customWidth="1"/>
    <col min="7936" max="7936" width="17.453125" style="108" customWidth="1"/>
    <col min="7937" max="7937" width="16.453125" style="108" bestFit="1" customWidth="1"/>
    <col min="7938" max="7938" width="18" style="108" bestFit="1" customWidth="1"/>
    <col min="7939" max="7939" width="27.7265625" style="108" bestFit="1" customWidth="1"/>
    <col min="7940" max="7940" width="16.7265625" style="108" bestFit="1" customWidth="1"/>
    <col min="7941" max="7941" width="15.7265625" style="108" customWidth="1"/>
    <col min="7942" max="7951" width="9.26953125" style="108" customWidth="1"/>
    <col min="7952" max="7953" width="9.26953125" style="108"/>
    <col min="7954" max="7954" width="18" style="108" bestFit="1" customWidth="1"/>
    <col min="7955" max="7955" width="14" style="108" bestFit="1" customWidth="1"/>
    <col min="7956" max="7956" width="15.453125" style="108" bestFit="1" customWidth="1"/>
    <col min="7957" max="8185" width="9.26953125" style="108"/>
    <col min="8186" max="8186" width="5.453125" style="108" customWidth="1"/>
    <col min="8187" max="8187" width="35.453125" style="108" bestFit="1" customWidth="1"/>
    <col min="8188" max="8188" width="9.453125" style="108" customWidth="1"/>
    <col min="8189" max="8189" width="11.26953125" style="108" customWidth="1"/>
    <col min="8190" max="8190" width="17.453125" style="108" bestFit="1" customWidth="1"/>
    <col min="8191" max="8191" width="6.453125" style="108" customWidth="1"/>
    <col min="8192" max="8192" width="17.453125" style="108" customWidth="1"/>
    <col min="8193" max="8193" width="16.453125" style="108" bestFit="1" customWidth="1"/>
    <col min="8194" max="8194" width="18" style="108" bestFit="1" customWidth="1"/>
    <col min="8195" max="8195" width="27.7265625" style="108" bestFit="1" customWidth="1"/>
    <col min="8196" max="8196" width="16.7265625" style="108" bestFit="1" customWidth="1"/>
    <col min="8197" max="8197" width="15.7265625" style="108" customWidth="1"/>
    <col min="8198" max="8207" width="9.26953125" style="108" customWidth="1"/>
    <col min="8208" max="8209" width="9.26953125" style="108"/>
    <col min="8210" max="8210" width="18" style="108" bestFit="1" customWidth="1"/>
    <col min="8211" max="8211" width="14" style="108" bestFit="1" customWidth="1"/>
    <col min="8212" max="8212" width="15.453125" style="108" bestFit="1" customWidth="1"/>
    <col min="8213" max="8441" width="9.26953125" style="108"/>
    <col min="8442" max="8442" width="5.453125" style="108" customWidth="1"/>
    <col min="8443" max="8443" width="35.453125" style="108" bestFit="1" customWidth="1"/>
    <col min="8444" max="8444" width="9.453125" style="108" customWidth="1"/>
    <col min="8445" max="8445" width="11.26953125" style="108" customWidth="1"/>
    <col min="8446" max="8446" width="17.453125" style="108" bestFit="1" customWidth="1"/>
    <col min="8447" max="8447" width="6.453125" style="108" customWidth="1"/>
    <col min="8448" max="8448" width="17.453125" style="108" customWidth="1"/>
    <col min="8449" max="8449" width="16.453125" style="108" bestFit="1" customWidth="1"/>
    <col min="8450" max="8450" width="18" style="108" bestFit="1" customWidth="1"/>
    <col min="8451" max="8451" width="27.7265625" style="108" bestFit="1" customWidth="1"/>
    <col min="8452" max="8452" width="16.7265625" style="108" bestFit="1" customWidth="1"/>
    <col min="8453" max="8453" width="15.7265625" style="108" customWidth="1"/>
    <col min="8454" max="8463" width="9.26953125" style="108" customWidth="1"/>
    <col min="8464" max="8465" width="9.26953125" style="108"/>
    <col min="8466" max="8466" width="18" style="108" bestFit="1" customWidth="1"/>
    <col min="8467" max="8467" width="14" style="108" bestFit="1" customWidth="1"/>
    <col min="8468" max="8468" width="15.453125" style="108" bestFit="1" customWidth="1"/>
    <col min="8469" max="8697" width="9.26953125" style="108"/>
    <col min="8698" max="8698" width="5.453125" style="108" customWidth="1"/>
    <col min="8699" max="8699" width="35.453125" style="108" bestFit="1" customWidth="1"/>
    <col min="8700" max="8700" width="9.453125" style="108" customWidth="1"/>
    <col min="8701" max="8701" width="11.26953125" style="108" customWidth="1"/>
    <col min="8702" max="8702" width="17.453125" style="108" bestFit="1" customWidth="1"/>
    <col min="8703" max="8703" width="6.453125" style="108" customWidth="1"/>
    <col min="8704" max="8704" width="17.453125" style="108" customWidth="1"/>
    <col min="8705" max="8705" width="16.453125" style="108" bestFit="1" customWidth="1"/>
    <col min="8706" max="8706" width="18" style="108" bestFit="1" customWidth="1"/>
    <col min="8707" max="8707" width="27.7265625" style="108" bestFit="1" customWidth="1"/>
    <col min="8708" max="8708" width="16.7265625" style="108" bestFit="1" customWidth="1"/>
    <col min="8709" max="8709" width="15.7265625" style="108" customWidth="1"/>
    <col min="8710" max="8719" width="9.26953125" style="108" customWidth="1"/>
    <col min="8720" max="8721" width="9.26953125" style="108"/>
    <col min="8722" max="8722" width="18" style="108" bestFit="1" customWidth="1"/>
    <col min="8723" max="8723" width="14" style="108" bestFit="1" customWidth="1"/>
    <col min="8724" max="8724" width="15.453125" style="108" bestFit="1" customWidth="1"/>
    <col min="8725" max="8953" width="9.26953125" style="108"/>
    <col min="8954" max="8954" width="5.453125" style="108" customWidth="1"/>
    <col min="8955" max="8955" width="35.453125" style="108" bestFit="1" customWidth="1"/>
    <col min="8956" max="8956" width="9.453125" style="108" customWidth="1"/>
    <col min="8957" max="8957" width="11.26953125" style="108" customWidth="1"/>
    <col min="8958" max="8958" width="17.453125" style="108" bestFit="1" customWidth="1"/>
    <col min="8959" max="8959" width="6.453125" style="108" customWidth="1"/>
    <col min="8960" max="8960" width="17.453125" style="108" customWidth="1"/>
    <col min="8961" max="8961" width="16.453125" style="108" bestFit="1" customWidth="1"/>
    <col min="8962" max="8962" width="18" style="108" bestFit="1" customWidth="1"/>
    <col min="8963" max="8963" width="27.7265625" style="108" bestFit="1" customWidth="1"/>
    <col min="8964" max="8964" width="16.7265625" style="108" bestFit="1" customWidth="1"/>
    <col min="8965" max="8965" width="15.7265625" style="108" customWidth="1"/>
    <col min="8966" max="8975" width="9.26953125" style="108" customWidth="1"/>
    <col min="8976" max="8977" width="9.26953125" style="108"/>
    <col min="8978" max="8978" width="18" style="108" bestFit="1" customWidth="1"/>
    <col min="8979" max="8979" width="14" style="108" bestFit="1" customWidth="1"/>
    <col min="8980" max="8980" width="15.453125" style="108" bestFit="1" customWidth="1"/>
    <col min="8981" max="9209" width="9.26953125" style="108"/>
    <col min="9210" max="9210" width="5.453125" style="108" customWidth="1"/>
    <col min="9211" max="9211" width="35.453125" style="108" bestFit="1" customWidth="1"/>
    <col min="9212" max="9212" width="9.453125" style="108" customWidth="1"/>
    <col min="9213" max="9213" width="11.26953125" style="108" customWidth="1"/>
    <col min="9214" max="9214" width="17.453125" style="108" bestFit="1" customWidth="1"/>
    <col min="9215" max="9215" width="6.453125" style="108" customWidth="1"/>
    <col min="9216" max="9216" width="17.453125" style="108" customWidth="1"/>
    <col min="9217" max="9217" width="16.453125" style="108" bestFit="1" customWidth="1"/>
    <col min="9218" max="9218" width="18" style="108" bestFit="1" customWidth="1"/>
    <col min="9219" max="9219" width="27.7265625" style="108" bestFit="1" customWidth="1"/>
    <col min="9220" max="9220" width="16.7265625" style="108" bestFit="1" customWidth="1"/>
    <col min="9221" max="9221" width="15.7265625" style="108" customWidth="1"/>
    <col min="9222" max="9231" width="9.26953125" style="108" customWidth="1"/>
    <col min="9232" max="9233" width="9.26953125" style="108"/>
    <col min="9234" max="9234" width="18" style="108" bestFit="1" customWidth="1"/>
    <col min="9235" max="9235" width="14" style="108" bestFit="1" customWidth="1"/>
    <col min="9236" max="9236" width="15.453125" style="108" bestFit="1" customWidth="1"/>
    <col min="9237" max="9465" width="9.26953125" style="108"/>
    <col min="9466" max="9466" width="5.453125" style="108" customWidth="1"/>
    <col min="9467" max="9467" width="35.453125" style="108" bestFit="1" customWidth="1"/>
    <col min="9468" max="9468" width="9.453125" style="108" customWidth="1"/>
    <col min="9469" max="9469" width="11.26953125" style="108" customWidth="1"/>
    <col min="9470" max="9470" width="17.453125" style="108" bestFit="1" customWidth="1"/>
    <col min="9471" max="9471" width="6.453125" style="108" customWidth="1"/>
    <col min="9472" max="9472" width="17.453125" style="108" customWidth="1"/>
    <col min="9473" max="9473" width="16.453125" style="108" bestFit="1" customWidth="1"/>
    <col min="9474" max="9474" width="18" style="108" bestFit="1" customWidth="1"/>
    <col min="9475" max="9475" width="27.7265625" style="108" bestFit="1" customWidth="1"/>
    <col min="9476" max="9476" width="16.7265625" style="108" bestFit="1" customWidth="1"/>
    <col min="9477" max="9477" width="15.7265625" style="108" customWidth="1"/>
    <col min="9478" max="9487" width="9.26953125" style="108" customWidth="1"/>
    <col min="9488" max="9489" width="9.26953125" style="108"/>
    <col min="9490" max="9490" width="18" style="108" bestFit="1" customWidth="1"/>
    <col min="9491" max="9491" width="14" style="108" bestFit="1" customWidth="1"/>
    <col min="9492" max="9492" width="15.453125" style="108" bestFit="1" customWidth="1"/>
    <col min="9493" max="9721" width="9.26953125" style="108"/>
    <col min="9722" max="9722" width="5.453125" style="108" customWidth="1"/>
    <col min="9723" max="9723" width="35.453125" style="108" bestFit="1" customWidth="1"/>
    <col min="9724" max="9724" width="9.453125" style="108" customWidth="1"/>
    <col min="9725" max="9725" width="11.26953125" style="108" customWidth="1"/>
    <col min="9726" max="9726" width="17.453125" style="108" bestFit="1" customWidth="1"/>
    <col min="9727" max="9727" width="6.453125" style="108" customWidth="1"/>
    <col min="9728" max="9728" width="17.453125" style="108" customWidth="1"/>
    <col min="9729" max="9729" width="16.453125" style="108" bestFit="1" customWidth="1"/>
    <col min="9730" max="9730" width="18" style="108" bestFit="1" customWidth="1"/>
    <col min="9731" max="9731" width="27.7265625" style="108" bestFit="1" customWidth="1"/>
    <col min="9732" max="9732" width="16.7265625" style="108" bestFit="1" customWidth="1"/>
    <col min="9733" max="9733" width="15.7265625" style="108" customWidth="1"/>
    <col min="9734" max="9743" width="9.26953125" style="108" customWidth="1"/>
    <col min="9744" max="9745" width="9.26953125" style="108"/>
    <col min="9746" max="9746" width="18" style="108" bestFit="1" customWidth="1"/>
    <col min="9747" max="9747" width="14" style="108" bestFit="1" customWidth="1"/>
    <col min="9748" max="9748" width="15.453125" style="108" bestFit="1" customWidth="1"/>
    <col min="9749" max="9977" width="9.26953125" style="108"/>
    <col min="9978" max="9978" width="5.453125" style="108" customWidth="1"/>
    <col min="9979" max="9979" width="35.453125" style="108" bestFit="1" customWidth="1"/>
    <col min="9980" max="9980" width="9.453125" style="108" customWidth="1"/>
    <col min="9981" max="9981" width="11.26953125" style="108" customWidth="1"/>
    <col min="9982" max="9982" width="17.453125" style="108" bestFit="1" customWidth="1"/>
    <col min="9983" max="9983" width="6.453125" style="108" customWidth="1"/>
    <col min="9984" max="9984" width="17.453125" style="108" customWidth="1"/>
    <col min="9985" max="9985" width="16.453125" style="108" bestFit="1" customWidth="1"/>
    <col min="9986" max="9986" width="18" style="108" bestFit="1" customWidth="1"/>
    <col min="9987" max="9987" width="27.7265625" style="108" bestFit="1" customWidth="1"/>
    <col min="9988" max="9988" width="16.7265625" style="108" bestFit="1" customWidth="1"/>
    <col min="9989" max="9989" width="15.7265625" style="108" customWidth="1"/>
    <col min="9990" max="9999" width="9.26953125" style="108" customWidth="1"/>
    <col min="10000" max="10001" width="9.26953125" style="108"/>
    <col min="10002" max="10002" width="18" style="108" bestFit="1" customWidth="1"/>
    <col min="10003" max="10003" width="14" style="108" bestFit="1" customWidth="1"/>
    <col min="10004" max="10004" width="15.453125" style="108" bestFit="1" customWidth="1"/>
    <col min="10005" max="10233" width="9.26953125" style="108"/>
    <col min="10234" max="10234" width="5.453125" style="108" customWidth="1"/>
    <col min="10235" max="10235" width="35.453125" style="108" bestFit="1" customWidth="1"/>
    <col min="10236" max="10236" width="9.453125" style="108" customWidth="1"/>
    <col min="10237" max="10237" width="11.26953125" style="108" customWidth="1"/>
    <col min="10238" max="10238" width="17.453125" style="108" bestFit="1" customWidth="1"/>
    <col min="10239" max="10239" width="6.453125" style="108" customWidth="1"/>
    <col min="10240" max="10240" width="17.453125" style="108" customWidth="1"/>
    <col min="10241" max="10241" width="16.453125" style="108" bestFit="1" customWidth="1"/>
    <col min="10242" max="10242" width="18" style="108" bestFit="1" customWidth="1"/>
    <col min="10243" max="10243" width="27.7265625" style="108" bestFit="1" customWidth="1"/>
    <col min="10244" max="10244" width="16.7265625" style="108" bestFit="1" customWidth="1"/>
    <col min="10245" max="10245" width="15.7265625" style="108" customWidth="1"/>
    <col min="10246" max="10255" width="9.26953125" style="108" customWidth="1"/>
    <col min="10256" max="10257" width="9.26953125" style="108"/>
    <col min="10258" max="10258" width="18" style="108" bestFit="1" customWidth="1"/>
    <col min="10259" max="10259" width="14" style="108" bestFit="1" customWidth="1"/>
    <col min="10260" max="10260" width="15.453125" style="108" bestFit="1" customWidth="1"/>
    <col min="10261" max="10489" width="9.26953125" style="108"/>
    <col min="10490" max="10490" width="5.453125" style="108" customWidth="1"/>
    <col min="10491" max="10491" width="35.453125" style="108" bestFit="1" customWidth="1"/>
    <col min="10492" max="10492" width="9.453125" style="108" customWidth="1"/>
    <col min="10493" max="10493" width="11.26953125" style="108" customWidth="1"/>
    <col min="10494" max="10494" width="17.453125" style="108" bestFit="1" customWidth="1"/>
    <col min="10495" max="10495" width="6.453125" style="108" customWidth="1"/>
    <col min="10496" max="10496" width="17.453125" style="108" customWidth="1"/>
    <col min="10497" max="10497" width="16.453125" style="108" bestFit="1" customWidth="1"/>
    <col min="10498" max="10498" width="18" style="108" bestFit="1" customWidth="1"/>
    <col min="10499" max="10499" width="27.7265625" style="108" bestFit="1" customWidth="1"/>
    <col min="10500" max="10500" width="16.7265625" style="108" bestFit="1" customWidth="1"/>
    <col min="10501" max="10501" width="15.7265625" style="108" customWidth="1"/>
    <col min="10502" max="10511" width="9.26953125" style="108" customWidth="1"/>
    <col min="10512" max="10513" width="9.26953125" style="108"/>
    <col min="10514" max="10514" width="18" style="108" bestFit="1" customWidth="1"/>
    <col min="10515" max="10515" width="14" style="108" bestFit="1" customWidth="1"/>
    <col min="10516" max="10516" width="15.453125" style="108" bestFit="1" customWidth="1"/>
    <col min="10517" max="10745" width="9.26953125" style="108"/>
    <col min="10746" max="10746" width="5.453125" style="108" customWidth="1"/>
    <col min="10747" max="10747" width="35.453125" style="108" bestFit="1" customWidth="1"/>
    <col min="10748" max="10748" width="9.453125" style="108" customWidth="1"/>
    <col min="10749" max="10749" width="11.26953125" style="108" customWidth="1"/>
    <col min="10750" max="10750" width="17.453125" style="108" bestFit="1" customWidth="1"/>
    <col min="10751" max="10751" width="6.453125" style="108" customWidth="1"/>
    <col min="10752" max="10752" width="17.453125" style="108" customWidth="1"/>
    <col min="10753" max="10753" width="16.453125" style="108" bestFit="1" customWidth="1"/>
    <col min="10754" max="10754" width="18" style="108" bestFit="1" customWidth="1"/>
    <col min="10755" max="10755" width="27.7265625" style="108" bestFit="1" customWidth="1"/>
    <col min="10756" max="10756" width="16.7265625" style="108" bestFit="1" customWidth="1"/>
    <col min="10757" max="10757" width="15.7265625" style="108" customWidth="1"/>
    <col min="10758" max="10767" width="9.26953125" style="108" customWidth="1"/>
    <col min="10768" max="10769" width="9.26953125" style="108"/>
    <col min="10770" max="10770" width="18" style="108" bestFit="1" customWidth="1"/>
    <col min="10771" max="10771" width="14" style="108" bestFit="1" customWidth="1"/>
    <col min="10772" max="10772" width="15.453125" style="108" bestFit="1" customWidth="1"/>
    <col min="10773" max="11001" width="9.26953125" style="108"/>
    <col min="11002" max="11002" width="5.453125" style="108" customWidth="1"/>
    <col min="11003" max="11003" width="35.453125" style="108" bestFit="1" customWidth="1"/>
    <col min="11004" max="11004" width="9.453125" style="108" customWidth="1"/>
    <col min="11005" max="11005" width="11.26953125" style="108" customWidth="1"/>
    <col min="11006" max="11006" width="17.453125" style="108" bestFit="1" customWidth="1"/>
    <col min="11007" max="11007" width="6.453125" style="108" customWidth="1"/>
    <col min="11008" max="11008" width="17.453125" style="108" customWidth="1"/>
    <col min="11009" max="11009" width="16.453125" style="108" bestFit="1" customWidth="1"/>
    <col min="11010" max="11010" width="18" style="108" bestFit="1" customWidth="1"/>
    <col min="11011" max="11011" width="27.7265625" style="108" bestFit="1" customWidth="1"/>
    <col min="11012" max="11012" width="16.7265625" style="108" bestFit="1" customWidth="1"/>
    <col min="11013" max="11013" width="15.7265625" style="108" customWidth="1"/>
    <col min="11014" max="11023" width="9.26953125" style="108" customWidth="1"/>
    <col min="11024" max="11025" width="9.26953125" style="108"/>
    <col min="11026" max="11026" width="18" style="108" bestFit="1" customWidth="1"/>
    <col min="11027" max="11027" width="14" style="108" bestFit="1" customWidth="1"/>
    <col min="11028" max="11028" width="15.453125" style="108" bestFit="1" customWidth="1"/>
    <col min="11029" max="11257" width="9.26953125" style="108"/>
    <col min="11258" max="11258" width="5.453125" style="108" customWidth="1"/>
    <col min="11259" max="11259" width="35.453125" style="108" bestFit="1" customWidth="1"/>
    <col min="11260" max="11260" width="9.453125" style="108" customWidth="1"/>
    <col min="11261" max="11261" width="11.26953125" style="108" customWidth="1"/>
    <col min="11262" max="11262" width="17.453125" style="108" bestFit="1" customWidth="1"/>
    <col min="11263" max="11263" width="6.453125" style="108" customWidth="1"/>
    <col min="11264" max="11264" width="17.453125" style="108" customWidth="1"/>
    <col min="11265" max="11265" width="16.453125" style="108" bestFit="1" customWidth="1"/>
    <col min="11266" max="11266" width="18" style="108" bestFit="1" customWidth="1"/>
    <col min="11267" max="11267" width="27.7265625" style="108" bestFit="1" customWidth="1"/>
    <col min="11268" max="11268" width="16.7265625" style="108" bestFit="1" customWidth="1"/>
    <col min="11269" max="11269" width="15.7265625" style="108" customWidth="1"/>
    <col min="11270" max="11279" width="9.26953125" style="108" customWidth="1"/>
    <col min="11280" max="11281" width="9.26953125" style="108"/>
    <col min="11282" max="11282" width="18" style="108" bestFit="1" customWidth="1"/>
    <col min="11283" max="11283" width="14" style="108" bestFit="1" customWidth="1"/>
    <col min="11284" max="11284" width="15.453125" style="108" bestFit="1" customWidth="1"/>
    <col min="11285" max="11513" width="9.26953125" style="108"/>
    <col min="11514" max="11514" width="5.453125" style="108" customWidth="1"/>
    <col min="11515" max="11515" width="35.453125" style="108" bestFit="1" customWidth="1"/>
    <col min="11516" max="11516" width="9.453125" style="108" customWidth="1"/>
    <col min="11517" max="11517" width="11.26953125" style="108" customWidth="1"/>
    <col min="11518" max="11518" width="17.453125" style="108" bestFit="1" customWidth="1"/>
    <col min="11519" max="11519" width="6.453125" style="108" customWidth="1"/>
    <col min="11520" max="11520" width="17.453125" style="108" customWidth="1"/>
    <col min="11521" max="11521" width="16.453125" style="108" bestFit="1" customWidth="1"/>
    <col min="11522" max="11522" width="18" style="108" bestFit="1" customWidth="1"/>
    <col min="11523" max="11523" width="27.7265625" style="108" bestFit="1" customWidth="1"/>
    <col min="11524" max="11524" width="16.7265625" style="108" bestFit="1" customWidth="1"/>
    <col min="11525" max="11525" width="15.7265625" style="108" customWidth="1"/>
    <col min="11526" max="11535" width="9.26953125" style="108" customWidth="1"/>
    <col min="11536" max="11537" width="9.26953125" style="108"/>
    <col min="11538" max="11538" width="18" style="108" bestFit="1" customWidth="1"/>
    <col min="11539" max="11539" width="14" style="108" bestFit="1" customWidth="1"/>
    <col min="11540" max="11540" width="15.453125" style="108" bestFit="1" customWidth="1"/>
    <col min="11541" max="11769" width="9.26953125" style="108"/>
    <col min="11770" max="11770" width="5.453125" style="108" customWidth="1"/>
    <col min="11771" max="11771" width="35.453125" style="108" bestFit="1" customWidth="1"/>
    <col min="11772" max="11772" width="9.453125" style="108" customWidth="1"/>
    <col min="11773" max="11773" width="11.26953125" style="108" customWidth="1"/>
    <col min="11774" max="11774" width="17.453125" style="108" bestFit="1" customWidth="1"/>
    <col min="11775" max="11775" width="6.453125" style="108" customWidth="1"/>
    <col min="11776" max="11776" width="17.453125" style="108" customWidth="1"/>
    <col min="11777" max="11777" width="16.453125" style="108" bestFit="1" customWidth="1"/>
    <col min="11778" max="11778" width="18" style="108" bestFit="1" customWidth="1"/>
    <col min="11779" max="11779" width="27.7265625" style="108" bestFit="1" customWidth="1"/>
    <col min="11780" max="11780" width="16.7265625" style="108" bestFit="1" customWidth="1"/>
    <col min="11781" max="11781" width="15.7265625" style="108" customWidth="1"/>
    <col min="11782" max="11791" width="9.26953125" style="108" customWidth="1"/>
    <col min="11792" max="11793" width="9.26953125" style="108"/>
    <col min="11794" max="11794" width="18" style="108" bestFit="1" customWidth="1"/>
    <col min="11795" max="11795" width="14" style="108" bestFit="1" customWidth="1"/>
    <col min="11796" max="11796" width="15.453125" style="108" bestFit="1" customWidth="1"/>
    <col min="11797" max="12025" width="9.26953125" style="108"/>
    <col min="12026" max="12026" width="5.453125" style="108" customWidth="1"/>
    <col min="12027" max="12027" width="35.453125" style="108" bestFit="1" customWidth="1"/>
    <col min="12028" max="12028" width="9.453125" style="108" customWidth="1"/>
    <col min="12029" max="12029" width="11.26953125" style="108" customWidth="1"/>
    <col min="12030" max="12030" width="17.453125" style="108" bestFit="1" customWidth="1"/>
    <col min="12031" max="12031" width="6.453125" style="108" customWidth="1"/>
    <col min="12032" max="12032" width="17.453125" style="108" customWidth="1"/>
    <col min="12033" max="12033" width="16.453125" style="108" bestFit="1" customWidth="1"/>
    <col min="12034" max="12034" width="18" style="108" bestFit="1" customWidth="1"/>
    <col min="12035" max="12035" width="27.7265625" style="108" bestFit="1" customWidth="1"/>
    <col min="12036" max="12036" width="16.7265625" style="108" bestFit="1" customWidth="1"/>
    <col min="12037" max="12037" width="15.7265625" style="108" customWidth="1"/>
    <col min="12038" max="12047" width="9.26953125" style="108" customWidth="1"/>
    <col min="12048" max="12049" width="9.26953125" style="108"/>
    <col min="12050" max="12050" width="18" style="108" bestFit="1" customWidth="1"/>
    <col min="12051" max="12051" width="14" style="108" bestFit="1" customWidth="1"/>
    <col min="12052" max="12052" width="15.453125" style="108" bestFit="1" customWidth="1"/>
    <col min="12053" max="12281" width="9.26953125" style="108"/>
    <col min="12282" max="12282" width="5.453125" style="108" customWidth="1"/>
    <col min="12283" max="12283" width="35.453125" style="108" bestFit="1" customWidth="1"/>
    <col min="12284" max="12284" width="9.453125" style="108" customWidth="1"/>
    <col min="12285" max="12285" width="11.26953125" style="108" customWidth="1"/>
    <col min="12286" max="12286" width="17.453125" style="108" bestFit="1" customWidth="1"/>
    <col min="12287" max="12287" width="6.453125" style="108" customWidth="1"/>
    <col min="12288" max="12288" width="17.453125" style="108" customWidth="1"/>
    <col min="12289" max="12289" width="16.453125" style="108" bestFit="1" customWidth="1"/>
    <col min="12290" max="12290" width="18" style="108" bestFit="1" customWidth="1"/>
    <col min="12291" max="12291" width="27.7265625" style="108" bestFit="1" customWidth="1"/>
    <col min="12292" max="12292" width="16.7265625" style="108" bestFit="1" customWidth="1"/>
    <col min="12293" max="12293" width="15.7265625" style="108" customWidth="1"/>
    <col min="12294" max="12303" width="9.26953125" style="108" customWidth="1"/>
    <col min="12304" max="12305" width="9.26953125" style="108"/>
    <col min="12306" max="12306" width="18" style="108" bestFit="1" customWidth="1"/>
    <col min="12307" max="12307" width="14" style="108" bestFit="1" customWidth="1"/>
    <col min="12308" max="12308" width="15.453125" style="108" bestFit="1" customWidth="1"/>
    <col min="12309" max="12537" width="9.26953125" style="108"/>
    <col min="12538" max="12538" width="5.453125" style="108" customWidth="1"/>
    <col min="12539" max="12539" width="35.453125" style="108" bestFit="1" customWidth="1"/>
    <col min="12540" max="12540" width="9.453125" style="108" customWidth="1"/>
    <col min="12541" max="12541" width="11.26953125" style="108" customWidth="1"/>
    <col min="12542" max="12542" width="17.453125" style="108" bestFit="1" customWidth="1"/>
    <col min="12543" max="12543" width="6.453125" style="108" customWidth="1"/>
    <col min="12544" max="12544" width="17.453125" style="108" customWidth="1"/>
    <col min="12545" max="12545" width="16.453125" style="108" bestFit="1" customWidth="1"/>
    <col min="12546" max="12546" width="18" style="108" bestFit="1" customWidth="1"/>
    <col min="12547" max="12547" width="27.7265625" style="108" bestFit="1" customWidth="1"/>
    <col min="12548" max="12548" width="16.7265625" style="108" bestFit="1" customWidth="1"/>
    <col min="12549" max="12549" width="15.7265625" style="108" customWidth="1"/>
    <col min="12550" max="12559" width="9.26953125" style="108" customWidth="1"/>
    <col min="12560" max="12561" width="9.26953125" style="108"/>
    <col min="12562" max="12562" width="18" style="108" bestFit="1" customWidth="1"/>
    <col min="12563" max="12563" width="14" style="108" bestFit="1" customWidth="1"/>
    <col min="12564" max="12564" width="15.453125" style="108" bestFit="1" customWidth="1"/>
    <col min="12565" max="12793" width="9.26953125" style="108"/>
    <col min="12794" max="12794" width="5.453125" style="108" customWidth="1"/>
    <col min="12795" max="12795" width="35.453125" style="108" bestFit="1" customWidth="1"/>
    <col min="12796" max="12796" width="9.453125" style="108" customWidth="1"/>
    <col min="12797" max="12797" width="11.26953125" style="108" customWidth="1"/>
    <col min="12798" max="12798" width="17.453125" style="108" bestFit="1" customWidth="1"/>
    <col min="12799" max="12799" width="6.453125" style="108" customWidth="1"/>
    <col min="12800" max="12800" width="17.453125" style="108" customWidth="1"/>
    <col min="12801" max="12801" width="16.453125" style="108" bestFit="1" customWidth="1"/>
    <col min="12802" max="12802" width="18" style="108" bestFit="1" customWidth="1"/>
    <col min="12803" max="12803" width="27.7265625" style="108" bestFit="1" customWidth="1"/>
    <col min="12804" max="12804" width="16.7265625" style="108" bestFit="1" customWidth="1"/>
    <col min="12805" max="12805" width="15.7265625" style="108" customWidth="1"/>
    <col min="12806" max="12815" width="9.26953125" style="108" customWidth="1"/>
    <col min="12816" max="12817" width="9.26953125" style="108"/>
    <col min="12818" max="12818" width="18" style="108" bestFit="1" customWidth="1"/>
    <col min="12819" max="12819" width="14" style="108" bestFit="1" customWidth="1"/>
    <col min="12820" max="12820" width="15.453125" style="108" bestFit="1" customWidth="1"/>
    <col min="12821" max="13049" width="9.26953125" style="108"/>
    <col min="13050" max="13050" width="5.453125" style="108" customWidth="1"/>
    <col min="13051" max="13051" width="35.453125" style="108" bestFit="1" customWidth="1"/>
    <col min="13052" max="13052" width="9.453125" style="108" customWidth="1"/>
    <col min="13053" max="13053" width="11.26953125" style="108" customWidth="1"/>
    <col min="13054" max="13054" width="17.453125" style="108" bestFit="1" customWidth="1"/>
    <col min="13055" max="13055" width="6.453125" style="108" customWidth="1"/>
    <col min="13056" max="13056" width="17.453125" style="108" customWidth="1"/>
    <col min="13057" max="13057" width="16.453125" style="108" bestFit="1" customWidth="1"/>
    <col min="13058" max="13058" width="18" style="108" bestFit="1" customWidth="1"/>
    <col min="13059" max="13059" width="27.7265625" style="108" bestFit="1" customWidth="1"/>
    <col min="13060" max="13060" width="16.7265625" style="108" bestFit="1" customWidth="1"/>
    <col min="13061" max="13061" width="15.7265625" style="108" customWidth="1"/>
    <col min="13062" max="13071" width="9.26953125" style="108" customWidth="1"/>
    <col min="13072" max="13073" width="9.26953125" style="108"/>
    <col min="13074" max="13074" width="18" style="108" bestFit="1" customWidth="1"/>
    <col min="13075" max="13075" width="14" style="108" bestFit="1" customWidth="1"/>
    <col min="13076" max="13076" width="15.453125" style="108" bestFit="1" customWidth="1"/>
    <col min="13077" max="13305" width="9.26953125" style="108"/>
    <col min="13306" max="13306" width="5.453125" style="108" customWidth="1"/>
    <col min="13307" max="13307" width="35.453125" style="108" bestFit="1" customWidth="1"/>
    <col min="13308" max="13308" width="9.453125" style="108" customWidth="1"/>
    <col min="13309" max="13309" width="11.26953125" style="108" customWidth="1"/>
    <col min="13310" max="13310" width="17.453125" style="108" bestFit="1" customWidth="1"/>
    <col min="13311" max="13311" width="6.453125" style="108" customWidth="1"/>
    <col min="13312" max="13312" width="17.453125" style="108" customWidth="1"/>
    <col min="13313" max="13313" width="16.453125" style="108" bestFit="1" customWidth="1"/>
    <col min="13314" max="13314" width="18" style="108" bestFit="1" customWidth="1"/>
    <col min="13315" max="13315" width="27.7265625" style="108" bestFit="1" customWidth="1"/>
    <col min="13316" max="13316" width="16.7265625" style="108" bestFit="1" customWidth="1"/>
    <col min="13317" max="13317" width="15.7265625" style="108" customWidth="1"/>
    <col min="13318" max="13327" width="9.26953125" style="108" customWidth="1"/>
    <col min="13328" max="13329" width="9.26953125" style="108"/>
    <col min="13330" max="13330" width="18" style="108" bestFit="1" customWidth="1"/>
    <col min="13331" max="13331" width="14" style="108" bestFit="1" customWidth="1"/>
    <col min="13332" max="13332" width="15.453125" style="108" bestFit="1" customWidth="1"/>
    <col min="13333" max="13561" width="9.26953125" style="108"/>
    <col min="13562" max="13562" width="5.453125" style="108" customWidth="1"/>
    <col min="13563" max="13563" width="35.453125" style="108" bestFit="1" customWidth="1"/>
    <col min="13564" max="13564" width="9.453125" style="108" customWidth="1"/>
    <col min="13565" max="13565" width="11.26953125" style="108" customWidth="1"/>
    <col min="13566" max="13566" width="17.453125" style="108" bestFit="1" customWidth="1"/>
    <col min="13567" max="13567" width="6.453125" style="108" customWidth="1"/>
    <col min="13568" max="13568" width="17.453125" style="108" customWidth="1"/>
    <col min="13569" max="13569" width="16.453125" style="108" bestFit="1" customWidth="1"/>
    <col min="13570" max="13570" width="18" style="108" bestFit="1" customWidth="1"/>
    <col min="13571" max="13571" width="27.7265625" style="108" bestFit="1" customWidth="1"/>
    <col min="13572" max="13572" width="16.7265625" style="108" bestFit="1" customWidth="1"/>
    <col min="13573" max="13573" width="15.7265625" style="108" customWidth="1"/>
    <col min="13574" max="13583" width="9.26953125" style="108" customWidth="1"/>
    <col min="13584" max="13585" width="9.26953125" style="108"/>
    <col min="13586" max="13586" width="18" style="108" bestFit="1" customWidth="1"/>
    <col min="13587" max="13587" width="14" style="108" bestFit="1" customWidth="1"/>
    <col min="13588" max="13588" width="15.453125" style="108" bestFit="1" customWidth="1"/>
    <col min="13589" max="13817" width="9.26953125" style="108"/>
    <col min="13818" max="13818" width="5.453125" style="108" customWidth="1"/>
    <col min="13819" max="13819" width="35.453125" style="108" bestFit="1" customWidth="1"/>
    <col min="13820" max="13820" width="9.453125" style="108" customWidth="1"/>
    <col min="13821" max="13821" width="11.26953125" style="108" customWidth="1"/>
    <col min="13822" max="13822" width="17.453125" style="108" bestFit="1" customWidth="1"/>
    <col min="13823" max="13823" width="6.453125" style="108" customWidth="1"/>
    <col min="13824" max="13824" width="17.453125" style="108" customWidth="1"/>
    <col min="13825" max="13825" width="16.453125" style="108" bestFit="1" customWidth="1"/>
    <col min="13826" max="13826" width="18" style="108" bestFit="1" customWidth="1"/>
    <col min="13827" max="13827" width="27.7265625" style="108" bestFit="1" customWidth="1"/>
    <col min="13828" max="13828" width="16.7265625" style="108" bestFit="1" customWidth="1"/>
    <col min="13829" max="13829" width="15.7265625" style="108" customWidth="1"/>
    <col min="13830" max="13839" width="9.26953125" style="108" customWidth="1"/>
    <col min="13840" max="13841" width="9.26953125" style="108"/>
    <col min="13842" max="13842" width="18" style="108" bestFit="1" customWidth="1"/>
    <col min="13843" max="13843" width="14" style="108" bestFit="1" customWidth="1"/>
    <col min="13844" max="13844" width="15.453125" style="108" bestFit="1" customWidth="1"/>
    <col min="13845" max="14073" width="9.26953125" style="108"/>
    <col min="14074" max="14074" width="5.453125" style="108" customWidth="1"/>
    <col min="14075" max="14075" width="35.453125" style="108" bestFit="1" customWidth="1"/>
    <col min="14076" max="14076" width="9.453125" style="108" customWidth="1"/>
    <col min="14077" max="14077" width="11.26953125" style="108" customWidth="1"/>
    <col min="14078" max="14078" width="17.453125" style="108" bestFit="1" customWidth="1"/>
    <col min="14079" max="14079" width="6.453125" style="108" customWidth="1"/>
    <col min="14080" max="14080" width="17.453125" style="108" customWidth="1"/>
    <col min="14081" max="14081" width="16.453125" style="108" bestFit="1" customWidth="1"/>
    <col min="14082" max="14082" width="18" style="108" bestFit="1" customWidth="1"/>
    <col min="14083" max="14083" width="27.7265625" style="108" bestFit="1" customWidth="1"/>
    <col min="14084" max="14084" width="16.7265625" style="108" bestFit="1" customWidth="1"/>
    <col min="14085" max="14085" width="15.7265625" style="108" customWidth="1"/>
    <col min="14086" max="14095" width="9.26953125" style="108" customWidth="1"/>
    <col min="14096" max="14097" width="9.26953125" style="108"/>
    <col min="14098" max="14098" width="18" style="108" bestFit="1" customWidth="1"/>
    <col min="14099" max="14099" width="14" style="108" bestFit="1" customWidth="1"/>
    <col min="14100" max="14100" width="15.453125" style="108" bestFit="1" customWidth="1"/>
    <col min="14101" max="14329" width="9.26953125" style="108"/>
    <col min="14330" max="14330" width="5.453125" style="108" customWidth="1"/>
    <col min="14331" max="14331" width="35.453125" style="108" bestFit="1" customWidth="1"/>
    <col min="14332" max="14332" width="9.453125" style="108" customWidth="1"/>
    <col min="14333" max="14333" width="11.26953125" style="108" customWidth="1"/>
    <col min="14334" max="14334" width="17.453125" style="108" bestFit="1" customWidth="1"/>
    <col min="14335" max="14335" width="6.453125" style="108" customWidth="1"/>
    <col min="14336" max="14336" width="17.453125" style="108" customWidth="1"/>
    <col min="14337" max="14337" width="16.453125" style="108" bestFit="1" customWidth="1"/>
    <col min="14338" max="14338" width="18" style="108" bestFit="1" customWidth="1"/>
    <col min="14339" max="14339" width="27.7265625" style="108" bestFit="1" customWidth="1"/>
    <col min="14340" max="14340" width="16.7265625" style="108" bestFit="1" customWidth="1"/>
    <col min="14341" max="14341" width="15.7265625" style="108" customWidth="1"/>
    <col min="14342" max="14351" width="9.26953125" style="108" customWidth="1"/>
    <col min="14352" max="14353" width="9.26953125" style="108"/>
    <col min="14354" max="14354" width="18" style="108" bestFit="1" customWidth="1"/>
    <col min="14355" max="14355" width="14" style="108" bestFit="1" customWidth="1"/>
    <col min="14356" max="14356" width="15.453125" style="108" bestFit="1" customWidth="1"/>
    <col min="14357" max="14585" width="9.26953125" style="108"/>
    <col min="14586" max="14586" width="5.453125" style="108" customWidth="1"/>
    <col min="14587" max="14587" width="35.453125" style="108" bestFit="1" customWidth="1"/>
    <col min="14588" max="14588" width="9.453125" style="108" customWidth="1"/>
    <col min="14589" max="14589" width="11.26953125" style="108" customWidth="1"/>
    <col min="14590" max="14590" width="17.453125" style="108" bestFit="1" customWidth="1"/>
    <col min="14591" max="14591" width="6.453125" style="108" customWidth="1"/>
    <col min="14592" max="14592" width="17.453125" style="108" customWidth="1"/>
    <col min="14593" max="14593" width="16.453125" style="108" bestFit="1" customWidth="1"/>
    <col min="14594" max="14594" width="18" style="108" bestFit="1" customWidth="1"/>
    <col min="14595" max="14595" width="27.7265625" style="108" bestFit="1" customWidth="1"/>
    <col min="14596" max="14596" width="16.7265625" style="108" bestFit="1" customWidth="1"/>
    <col min="14597" max="14597" width="15.7265625" style="108" customWidth="1"/>
    <col min="14598" max="14607" width="9.26953125" style="108" customWidth="1"/>
    <col min="14608" max="14609" width="9.26953125" style="108"/>
    <col min="14610" max="14610" width="18" style="108" bestFit="1" customWidth="1"/>
    <col min="14611" max="14611" width="14" style="108" bestFit="1" customWidth="1"/>
    <col min="14612" max="14612" width="15.453125" style="108" bestFit="1" customWidth="1"/>
    <col min="14613" max="14841" width="9.26953125" style="108"/>
    <col min="14842" max="14842" width="5.453125" style="108" customWidth="1"/>
    <col min="14843" max="14843" width="35.453125" style="108" bestFit="1" customWidth="1"/>
    <col min="14844" max="14844" width="9.453125" style="108" customWidth="1"/>
    <col min="14845" max="14845" width="11.26953125" style="108" customWidth="1"/>
    <col min="14846" max="14846" width="17.453125" style="108" bestFit="1" customWidth="1"/>
    <col min="14847" max="14847" width="6.453125" style="108" customWidth="1"/>
    <col min="14848" max="14848" width="17.453125" style="108" customWidth="1"/>
    <col min="14849" max="14849" width="16.453125" style="108" bestFit="1" customWidth="1"/>
    <col min="14850" max="14850" width="18" style="108" bestFit="1" customWidth="1"/>
    <col min="14851" max="14851" width="27.7265625" style="108" bestFit="1" customWidth="1"/>
    <col min="14852" max="14852" width="16.7265625" style="108" bestFit="1" customWidth="1"/>
    <col min="14853" max="14853" width="15.7265625" style="108" customWidth="1"/>
    <col min="14854" max="14863" width="9.26953125" style="108" customWidth="1"/>
    <col min="14864" max="14865" width="9.26953125" style="108"/>
    <col min="14866" max="14866" width="18" style="108" bestFit="1" customWidth="1"/>
    <col min="14867" max="14867" width="14" style="108" bestFit="1" customWidth="1"/>
    <col min="14868" max="14868" width="15.453125" style="108" bestFit="1" customWidth="1"/>
    <col min="14869" max="15097" width="9.26953125" style="108"/>
    <col min="15098" max="15098" width="5.453125" style="108" customWidth="1"/>
    <col min="15099" max="15099" width="35.453125" style="108" bestFit="1" customWidth="1"/>
    <col min="15100" max="15100" width="9.453125" style="108" customWidth="1"/>
    <col min="15101" max="15101" width="11.26953125" style="108" customWidth="1"/>
    <col min="15102" max="15102" width="17.453125" style="108" bestFit="1" customWidth="1"/>
    <col min="15103" max="15103" width="6.453125" style="108" customWidth="1"/>
    <col min="15104" max="15104" width="17.453125" style="108" customWidth="1"/>
    <col min="15105" max="15105" width="16.453125" style="108" bestFit="1" customWidth="1"/>
    <col min="15106" max="15106" width="18" style="108" bestFit="1" customWidth="1"/>
    <col min="15107" max="15107" width="27.7265625" style="108" bestFit="1" customWidth="1"/>
    <col min="15108" max="15108" width="16.7265625" style="108" bestFit="1" customWidth="1"/>
    <col min="15109" max="15109" width="15.7265625" style="108" customWidth="1"/>
    <col min="15110" max="15119" width="9.26953125" style="108" customWidth="1"/>
    <col min="15120" max="15121" width="9.26953125" style="108"/>
    <col min="15122" max="15122" width="18" style="108" bestFit="1" customWidth="1"/>
    <col min="15123" max="15123" width="14" style="108" bestFit="1" customWidth="1"/>
    <col min="15124" max="15124" width="15.453125" style="108" bestFit="1" customWidth="1"/>
    <col min="15125" max="15353" width="9.26953125" style="108"/>
    <col min="15354" max="15354" width="5.453125" style="108" customWidth="1"/>
    <col min="15355" max="15355" width="35.453125" style="108" bestFit="1" customWidth="1"/>
    <col min="15356" max="15356" width="9.453125" style="108" customWidth="1"/>
    <col min="15357" max="15357" width="11.26953125" style="108" customWidth="1"/>
    <col min="15358" max="15358" width="17.453125" style="108" bestFit="1" customWidth="1"/>
    <col min="15359" max="15359" width="6.453125" style="108" customWidth="1"/>
    <col min="15360" max="15360" width="17.453125" style="108" customWidth="1"/>
    <col min="15361" max="15361" width="16.453125" style="108" bestFit="1" customWidth="1"/>
    <col min="15362" max="15362" width="18" style="108" bestFit="1" customWidth="1"/>
    <col min="15363" max="15363" width="27.7265625" style="108" bestFit="1" customWidth="1"/>
    <col min="15364" max="15364" width="16.7265625" style="108" bestFit="1" customWidth="1"/>
    <col min="15365" max="15365" width="15.7265625" style="108" customWidth="1"/>
    <col min="15366" max="15375" width="9.26953125" style="108" customWidth="1"/>
    <col min="15376" max="15377" width="9.26953125" style="108"/>
    <col min="15378" max="15378" width="18" style="108" bestFit="1" customWidth="1"/>
    <col min="15379" max="15379" width="14" style="108" bestFit="1" customWidth="1"/>
    <col min="15380" max="15380" width="15.453125" style="108" bestFit="1" customWidth="1"/>
    <col min="15381" max="15609" width="9.26953125" style="108"/>
    <col min="15610" max="15610" width="5.453125" style="108" customWidth="1"/>
    <col min="15611" max="15611" width="35.453125" style="108" bestFit="1" customWidth="1"/>
    <col min="15612" max="15612" width="9.453125" style="108" customWidth="1"/>
    <col min="15613" max="15613" width="11.26953125" style="108" customWidth="1"/>
    <col min="15614" max="15614" width="17.453125" style="108" bestFit="1" customWidth="1"/>
    <col min="15615" max="15615" width="6.453125" style="108" customWidth="1"/>
    <col min="15616" max="15616" width="17.453125" style="108" customWidth="1"/>
    <col min="15617" max="15617" width="16.453125" style="108" bestFit="1" customWidth="1"/>
    <col min="15618" max="15618" width="18" style="108" bestFit="1" customWidth="1"/>
    <col min="15619" max="15619" width="27.7265625" style="108" bestFit="1" customWidth="1"/>
    <col min="15620" max="15620" width="16.7265625" style="108" bestFit="1" customWidth="1"/>
    <col min="15621" max="15621" width="15.7265625" style="108" customWidth="1"/>
    <col min="15622" max="15631" width="9.26953125" style="108" customWidth="1"/>
    <col min="15632" max="15633" width="9.26953125" style="108"/>
    <col min="15634" max="15634" width="18" style="108" bestFit="1" customWidth="1"/>
    <col min="15635" max="15635" width="14" style="108" bestFit="1" customWidth="1"/>
    <col min="15636" max="15636" width="15.453125" style="108" bestFit="1" customWidth="1"/>
    <col min="15637" max="15865" width="9.26953125" style="108"/>
    <col min="15866" max="15866" width="5.453125" style="108" customWidth="1"/>
    <col min="15867" max="15867" width="35.453125" style="108" bestFit="1" customWidth="1"/>
    <col min="15868" max="15868" width="9.453125" style="108" customWidth="1"/>
    <col min="15869" max="15869" width="11.26953125" style="108" customWidth="1"/>
    <col min="15870" max="15870" width="17.453125" style="108" bestFit="1" customWidth="1"/>
    <col min="15871" max="15871" width="6.453125" style="108" customWidth="1"/>
    <col min="15872" max="15872" width="17.453125" style="108" customWidth="1"/>
    <col min="15873" max="15873" width="16.453125" style="108" bestFit="1" customWidth="1"/>
    <col min="15874" max="15874" width="18" style="108" bestFit="1" customWidth="1"/>
    <col min="15875" max="15875" width="27.7265625" style="108" bestFit="1" customWidth="1"/>
    <col min="15876" max="15876" width="16.7265625" style="108" bestFit="1" customWidth="1"/>
    <col min="15877" max="15877" width="15.7265625" style="108" customWidth="1"/>
    <col min="15878" max="15887" width="9.26953125" style="108" customWidth="1"/>
    <col min="15888" max="15889" width="9.26953125" style="108"/>
    <col min="15890" max="15890" width="18" style="108" bestFit="1" customWidth="1"/>
    <col min="15891" max="15891" width="14" style="108" bestFit="1" customWidth="1"/>
    <col min="15892" max="15892" width="15.453125" style="108" bestFit="1" customWidth="1"/>
    <col min="15893" max="16121" width="9.26953125" style="108"/>
    <col min="16122" max="16122" width="5.453125" style="108" customWidth="1"/>
    <col min="16123" max="16123" width="35.453125" style="108" bestFit="1" customWidth="1"/>
    <col min="16124" max="16124" width="9.453125" style="108" customWidth="1"/>
    <col min="16125" max="16125" width="11.26953125" style="108" customWidth="1"/>
    <col min="16126" max="16126" width="17.453125" style="108" bestFit="1" customWidth="1"/>
    <col min="16127" max="16127" width="6.453125" style="108" customWidth="1"/>
    <col min="16128" max="16128" width="17.453125" style="108" customWidth="1"/>
    <col min="16129" max="16129" width="16.453125" style="108" bestFit="1" customWidth="1"/>
    <col min="16130" max="16130" width="18" style="108" bestFit="1" customWidth="1"/>
    <col min="16131" max="16131" width="27.7265625" style="108" bestFit="1" customWidth="1"/>
    <col min="16132" max="16132" width="16.7265625" style="108" bestFit="1" customWidth="1"/>
    <col min="16133" max="16133" width="15.7265625" style="108" customWidth="1"/>
    <col min="16134" max="16143" width="9.26953125" style="108" customWidth="1"/>
    <col min="16144" max="16145" width="9.26953125" style="108"/>
    <col min="16146" max="16146" width="18" style="108" bestFit="1" customWidth="1"/>
    <col min="16147" max="16147" width="14" style="108" bestFit="1" customWidth="1"/>
    <col min="16148" max="16148" width="15.453125" style="108" bestFit="1" customWidth="1"/>
    <col min="16149" max="16384" width="9.26953125" style="108"/>
  </cols>
  <sheetData>
    <row r="1" spans="1:53" s="89" customFormat="1" ht="20">
      <c r="A1" s="609" t="s">
        <v>46</v>
      </c>
      <c r="B1" s="609"/>
      <c r="C1" s="609"/>
      <c r="D1" s="609"/>
      <c r="E1" s="609"/>
      <c r="F1" s="609"/>
      <c r="G1" s="609"/>
      <c r="H1" s="609"/>
      <c r="I1" s="609"/>
      <c r="J1" s="609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</row>
    <row r="2" spans="1:53" s="89" customFormat="1" ht="18" customHeight="1">
      <c r="A2" s="602"/>
      <c r="B2" s="602"/>
      <c r="C2" s="602"/>
      <c r="D2" s="602"/>
      <c r="E2" s="602"/>
      <c r="F2" s="602"/>
      <c r="G2" s="602"/>
      <c r="H2" s="602"/>
      <c r="I2" s="602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  <c r="AJ2" s="90"/>
      <c r="AK2" s="90"/>
      <c r="AL2" s="90"/>
      <c r="AM2" s="90"/>
      <c r="AN2" s="90"/>
      <c r="AO2" s="90"/>
    </row>
    <row r="3" spans="1:53" s="89" customFormat="1" ht="18" customHeight="1">
      <c r="A3" s="603"/>
      <c r="B3" s="603"/>
      <c r="C3" s="603"/>
      <c r="D3" s="603"/>
      <c r="E3" s="603"/>
      <c r="F3" s="603"/>
      <c r="G3" s="603"/>
      <c r="H3" s="603"/>
      <c r="I3" s="603"/>
      <c r="J3" s="91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0"/>
      <c r="AK3" s="90"/>
      <c r="AL3" s="90"/>
      <c r="AM3" s="90"/>
      <c r="AN3" s="90"/>
      <c r="AO3" s="90"/>
    </row>
    <row r="4" spans="1:53" s="93" customFormat="1" ht="17.25" customHeight="1">
      <c r="A4" s="77"/>
      <c r="B4" s="77"/>
      <c r="C4" s="77"/>
      <c r="D4" s="77"/>
      <c r="E4" s="77"/>
      <c r="F4" s="77"/>
      <c r="G4" s="77"/>
      <c r="H4" s="78" t="s">
        <v>47</v>
      </c>
      <c r="I4" s="77"/>
      <c r="J4" s="92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  <c r="AH4" s="94"/>
      <c r="AI4" s="94"/>
      <c r="AJ4" s="94"/>
      <c r="AK4" s="94"/>
      <c r="AL4" s="94"/>
      <c r="AM4" s="94"/>
      <c r="AN4" s="94"/>
      <c r="AO4" s="94"/>
    </row>
    <row r="5" spans="1:53" s="117" customFormat="1" ht="33.65" customHeight="1">
      <c r="A5" s="522" t="s">
        <v>48</v>
      </c>
      <c r="B5" s="522" t="s">
        <v>49</v>
      </c>
      <c r="C5" s="405" t="s">
        <v>50</v>
      </c>
      <c r="D5" s="604" t="s">
        <v>51</v>
      </c>
      <c r="E5" s="605"/>
      <c r="F5" s="606"/>
      <c r="G5" s="522" t="s">
        <v>52</v>
      </c>
      <c r="H5" s="522" t="s">
        <v>21</v>
      </c>
      <c r="I5" s="522" t="s">
        <v>53</v>
      </c>
      <c r="J5" s="522" t="s">
        <v>54</v>
      </c>
      <c r="L5" s="523" t="s">
        <v>55</v>
      </c>
      <c r="M5" s="524">
        <v>45291</v>
      </c>
      <c r="N5" s="524">
        <f>EOMONTH(M5,3)</f>
        <v>45382</v>
      </c>
      <c r="O5" s="524">
        <f t="shared" ref="O5:AH5" si="0">EOMONTH(N5,3)</f>
        <v>45473</v>
      </c>
      <c r="P5" s="524">
        <f t="shared" si="0"/>
        <v>45565</v>
      </c>
      <c r="Q5" s="524">
        <f t="shared" si="0"/>
        <v>45657</v>
      </c>
      <c r="R5" s="524">
        <f t="shared" si="0"/>
        <v>45747</v>
      </c>
      <c r="S5" s="524">
        <f t="shared" si="0"/>
        <v>45838</v>
      </c>
      <c r="T5" s="524">
        <f t="shared" si="0"/>
        <v>45930</v>
      </c>
      <c r="U5" s="524">
        <f t="shared" si="0"/>
        <v>46022</v>
      </c>
      <c r="V5" s="524">
        <f t="shared" si="0"/>
        <v>46112</v>
      </c>
      <c r="W5" s="524">
        <f t="shared" si="0"/>
        <v>46203</v>
      </c>
      <c r="X5" s="524">
        <f t="shared" si="0"/>
        <v>46295</v>
      </c>
      <c r="Y5" s="524">
        <f t="shared" si="0"/>
        <v>46387</v>
      </c>
      <c r="Z5" s="524">
        <f t="shared" si="0"/>
        <v>46477</v>
      </c>
      <c r="AA5" s="524">
        <f t="shared" si="0"/>
        <v>46568</v>
      </c>
      <c r="AB5" s="524">
        <f t="shared" si="0"/>
        <v>46660</v>
      </c>
      <c r="AC5" s="524">
        <f t="shared" si="0"/>
        <v>46752</v>
      </c>
      <c r="AD5" s="524">
        <f t="shared" si="0"/>
        <v>46843</v>
      </c>
      <c r="AE5" s="524">
        <f t="shared" si="0"/>
        <v>46934</v>
      </c>
      <c r="AF5" s="524">
        <f t="shared" si="0"/>
        <v>47026</v>
      </c>
      <c r="AG5" s="524">
        <f t="shared" si="0"/>
        <v>47118</v>
      </c>
      <c r="AH5" s="524">
        <f t="shared" si="0"/>
        <v>47208</v>
      </c>
      <c r="AI5" s="524">
        <f t="shared" ref="AI5" si="1">EOMONTH(AH5,3)</f>
        <v>47299</v>
      </c>
      <c r="AJ5" s="524">
        <f t="shared" ref="AJ5" si="2">EOMONTH(AI5,3)</f>
        <v>47391</v>
      </c>
      <c r="AK5" s="524">
        <f t="shared" ref="AK5:AL5" si="3">EOMONTH(AJ5,3)</f>
        <v>47483</v>
      </c>
      <c r="AL5" s="524">
        <f t="shared" si="3"/>
        <v>47573</v>
      </c>
      <c r="AM5" s="524">
        <f t="shared" ref="AM5" si="4">EOMONTH(AL5,3)</f>
        <v>47664</v>
      </c>
      <c r="AN5" s="524">
        <f t="shared" ref="AN5" si="5">EOMONTH(AM5,3)</f>
        <v>47756</v>
      </c>
      <c r="AO5" s="524">
        <f t="shared" ref="AO5:AP5" si="6">EOMONTH(AN5,3)</f>
        <v>47848</v>
      </c>
      <c r="AP5" s="524">
        <f t="shared" si="6"/>
        <v>47938</v>
      </c>
      <c r="AQ5" s="524">
        <f t="shared" ref="AQ5" si="7">EOMONTH(AP5,3)</f>
        <v>48029</v>
      </c>
      <c r="AR5" s="524">
        <f t="shared" ref="AR5" si="8">EOMONTH(AQ5,3)</f>
        <v>48121</v>
      </c>
      <c r="AS5" s="524">
        <f t="shared" ref="AS5:AT5" si="9">EOMONTH(AR5,3)</f>
        <v>48213</v>
      </c>
      <c r="AT5" s="524">
        <f t="shared" si="9"/>
        <v>48304</v>
      </c>
      <c r="AU5" s="524">
        <f t="shared" ref="AU5" si="10">EOMONTH(AT5,3)</f>
        <v>48395</v>
      </c>
      <c r="AV5" s="524">
        <f t="shared" ref="AV5" si="11">EOMONTH(AU5,3)</f>
        <v>48487</v>
      </c>
      <c r="AW5" s="524">
        <f t="shared" ref="AW5:AX5" si="12">EOMONTH(AV5,3)</f>
        <v>48579</v>
      </c>
      <c r="AX5" s="524">
        <f t="shared" si="12"/>
        <v>48669</v>
      </c>
      <c r="AY5" s="524">
        <f t="shared" ref="AY5" si="13">EOMONTH(AX5,3)</f>
        <v>48760</v>
      </c>
      <c r="AZ5" s="524">
        <f t="shared" ref="AZ5" si="14">EOMONTH(AY5,3)</f>
        <v>48852</v>
      </c>
      <c r="BA5" s="524">
        <f t="shared" ref="BA5" si="15">EOMONTH(AZ5,3)</f>
        <v>48944</v>
      </c>
    </row>
    <row r="6" spans="1:53" s="106" customFormat="1" ht="13.9" customHeight="1">
      <c r="A6" s="113" t="s">
        <v>56</v>
      </c>
      <c r="B6" s="114" t="s">
        <v>57</v>
      </c>
      <c r="C6" s="114" t="s">
        <v>58</v>
      </c>
      <c r="D6" s="607"/>
      <c r="E6" s="608"/>
      <c r="F6" s="115"/>
      <c r="G6" s="116">
        <f>SUM(G7:G9)</f>
        <v>868240281818.18188</v>
      </c>
      <c r="H6" s="116">
        <f>SUM(H7:H9)</f>
        <v>86824028181.818176</v>
      </c>
      <c r="I6" s="116">
        <f>SUM(I7:I9)</f>
        <v>955064310000</v>
      </c>
      <c r="J6" s="114"/>
      <c r="K6" s="260">
        <f>I6-L6</f>
        <v>0</v>
      </c>
      <c r="L6" s="116">
        <f>SUM(L7:L9)</f>
        <v>955064310000</v>
      </c>
      <c r="M6" s="116">
        <f>SUM(M7:M9)</f>
        <v>0</v>
      </c>
      <c r="N6" s="116">
        <f t="shared" ref="N6:BA6" si="16">SUM(N7:N9)</f>
        <v>0</v>
      </c>
      <c r="O6" s="116">
        <f t="shared" si="16"/>
        <v>0</v>
      </c>
      <c r="P6" s="116">
        <f t="shared" si="16"/>
        <v>0</v>
      </c>
      <c r="Q6" s="116">
        <f t="shared" si="16"/>
        <v>0</v>
      </c>
      <c r="R6" s="116">
        <f t="shared" si="16"/>
        <v>0</v>
      </c>
      <c r="S6" s="116">
        <f t="shared" si="16"/>
        <v>0</v>
      </c>
      <c r="T6" s="116">
        <f t="shared" si="16"/>
        <v>0</v>
      </c>
      <c r="U6" s="116">
        <f t="shared" si="16"/>
        <v>0</v>
      </c>
      <c r="V6" s="116">
        <f t="shared" si="16"/>
        <v>119383038750</v>
      </c>
      <c r="W6" s="116">
        <f t="shared" si="16"/>
        <v>119383038750</v>
      </c>
      <c r="X6" s="116">
        <f t="shared" si="16"/>
        <v>119383038750</v>
      </c>
      <c r="Y6" s="116">
        <f t="shared" si="16"/>
        <v>119383038750</v>
      </c>
      <c r="Z6" s="116">
        <f t="shared" si="16"/>
        <v>119383038750</v>
      </c>
      <c r="AA6" s="116">
        <f t="shared" si="16"/>
        <v>119383038750</v>
      </c>
      <c r="AB6" s="116">
        <f t="shared" si="16"/>
        <v>119383038750</v>
      </c>
      <c r="AC6" s="116">
        <f t="shared" si="16"/>
        <v>119383038750</v>
      </c>
      <c r="AD6" s="116">
        <f t="shared" si="16"/>
        <v>0</v>
      </c>
      <c r="AE6" s="116">
        <f t="shared" si="16"/>
        <v>0</v>
      </c>
      <c r="AF6" s="116">
        <f t="shared" si="16"/>
        <v>0</v>
      </c>
      <c r="AG6" s="116">
        <f t="shared" si="16"/>
        <v>0</v>
      </c>
      <c r="AH6" s="116">
        <f t="shared" si="16"/>
        <v>0</v>
      </c>
      <c r="AI6" s="116">
        <f t="shared" si="16"/>
        <v>0</v>
      </c>
      <c r="AJ6" s="116">
        <f t="shared" si="16"/>
        <v>0</v>
      </c>
      <c r="AK6" s="116">
        <f t="shared" si="16"/>
        <v>0</v>
      </c>
      <c r="AL6" s="116">
        <f t="shared" ref="AL6:AO6" si="17">SUM(AL7:AL9)</f>
        <v>0</v>
      </c>
      <c r="AM6" s="116">
        <f t="shared" si="17"/>
        <v>0</v>
      </c>
      <c r="AN6" s="116">
        <f t="shared" si="17"/>
        <v>0</v>
      </c>
      <c r="AO6" s="116">
        <f t="shared" si="17"/>
        <v>0</v>
      </c>
      <c r="AP6" s="116">
        <f t="shared" si="16"/>
        <v>0</v>
      </c>
      <c r="AQ6" s="116">
        <f t="shared" si="16"/>
        <v>0</v>
      </c>
      <c r="AR6" s="116">
        <f t="shared" si="16"/>
        <v>0</v>
      </c>
      <c r="AS6" s="116">
        <f t="shared" si="16"/>
        <v>0</v>
      </c>
      <c r="AT6" s="116">
        <f t="shared" ref="AT6:AW6" si="18">SUM(AT7:AT9)</f>
        <v>0</v>
      </c>
      <c r="AU6" s="116">
        <f t="shared" si="18"/>
        <v>0</v>
      </c>
      <c r="AV6" s="116">
        <f t="shared" si="18"/>
        <v>0</v>
      </c>
      <c r="AW6" s="116">
        <f t="shared" si="18"/>
        <v>0</v>
      </c>
      <c r="AX6" s="116">
        <f t="shared" si="16"/>
        <v>0</v>
      </c>
      <c r="AY6" s="116">
        <f t="shared" si="16"/>
        <v>0</v>
      </c>
      <c r="AZ6" s="116">
        <f t="shared" si="16"/>
        <v>0</v>
      </c>
      <c r="BA6" s="116">
        <f t="shared" si="16"/>
        <v>0</v>
      </c>
    </row>
    <row r="7" spans="1:53" s="486" customFormat="1" ht="13.5" outlineLevel="1">
      <c r="A7" s="271">
        <v>1</v>
      </c>
      <c r="B7" s="484" t="s">
        <v>59</v>
      </c>
      <c r="C7" s="265"/>
      <c r="D7" s="266"/>
      <c r="E7" s="267"/>
      <c r="F7" s="268"/>
      <c r="G7" s="276">
        <f>I7/(1+'1. Tổng hợp'!$D$24)</f>
        <v>28275454545.454544</v>
      </c>
      <c r="H7" s="276">
        <f>+G7*0.1</f>
        <v>2827545454.5454545</v>
      </c>
      <c r="I7" s="276">
        <f>31103000000*(1+'1. Tổng hợp'!$C$38)</f>
        <v>31103000000</v>
      </c>
      <c r="J7" s="269"/>
      <c r="K7" s="485">
        <f t="shared" ref="K7:K12" si="19">I7-L7</f>
        <v>0</v>
      </c>
      <c r="L7" s="270">
        <f>SUM(M7:BA7)</f>
        <v>31103000000</v>
      </c>
      <c r="M7" s="270">
        <v>0</v>
      </c>
      <c r="N7" s="270"/>
      <c r="O7" s="270"/>
      <c r="P7" s="270"/>
      <c r="Q7" s="270"/>
      <c r="R7" s="270"/>
      <c r="S7" s="270"/>
      <c r="T7" s="270"/>
      <c r="U7" s="270"/>
      <c r="V7" s="270">
        <f>I7/8</f>
        <v>3887875000</v>
      </c>
      <c r="W7" s="270">
        <f t="shared" ref="W7:AC9" si="20">V7</f>
        <v>3887875000</v>
      </c>
      <c r="X7" s="270">
        <f t="shared" si="20"/>
        <v>3887875000</v>
      </c>
      <c r="Y7" s="270">
        <f t="shared" si="20"/>
        <v>3887875000</v>
      </c>
      <c r="Z7" s="270">
        <f t="shared" si="20"/>
        <v>3887875000</v>
      </c>
      <c r="AA7" s="270">
        <f t="shared" si="20"/>
        <v>3887875000</v>
      </c>
      <c r="AB7" s="270">
        <f t="shared" si="20"/>
        <v>3887875000</v>
      </c>
      <c r="AC7" s="270">
        <f t="shared" si="20"/>
        <v>3887875000</v>
      </c>
      <c r="AD7" s="270"/>
      <c r="AE7" s="270"/>
      <c r="AF7" s="270"/>
      <c r="AG7" s="270"/>
      <c r="AH7" s="270"/>
      <c r="AI7" s="270"/>
      <c r="AJ7" s="270"/>
      <c r="AK7" s="270"/>
      <c r="AL7" s="270"/>
      <c r="AM7" s="270"/>
      <c r="AN7" s="270"/>
      <c r="AO7" s="270"/>
      <c r="AP7" s="270"/>
      <c r="AQ7" s="270"/>
      <c r="AR7" s="270"/>
      <c r="AS7" s="270"/>
      <c r="AT7" s="270"/>
      <c r="AU7" s="270"/>
      <c r="AV7" s="270"/>
      <c r="AW7" s="270"/>
      <c r="AX7" s="270"/>
      <c r="AY7" s="270"/>
      <c r="AZ7" s="270"/>
      <c r="BA7" s="270"/>
    </row>
    <row r="8" spans="1:53" s="87" customFormat="1" ht="26" outlineLevel="1">
      <c r="A8" s="271">
        <v>2</v>
      </c>
      <c r="B8" s="484" t="s">
        <v>60</v>
      </c>
      <c r="C8" s="272"/>
      <c r="D8" s="273"/>
      <c r="E8" s="274"/>
      <c r="F8" s="275"/>
      <c r="G8" s="276">
        <f>I8/(1+'1. Tổng hợp'!$D$24)</f>
        <v>786973636363.63635</v>
      </c>
      <c r="H8" s="276">
        <f>+G8*0.1</f>
        <v>78697363636.363632</v>
      </c>
      <c r="I8" s="276">
        <f>865671000000*(1+'1. Tổng hợp'!$C$38)</f>
        <v>865671000000</v>
      </c>
      <c r="J8" s="277"/>
      <c r="K8" s="485">
        <f t="shared" si="19"/>
        <v>0</v>
      </c>
      <c r="L8" s="278">
        <f>SUM(M8:AC8)</f>
        <v>865671000000</v>
      </c>
      <c r="M8" s="278"/>
      <c r="N8" s="278"/>
      <c r="O8" s="278"/>
      <c r="P8" s="278"/>
      <c r="Q8" s="278"/>
      <c r="R8" s="278"/>
      <c r="S8" s="278"/>
      <c r="T8" s="278"/>
      <c r="U8" s="278"/>
      <c r="V8" s="270">
        <f>I8/8</f>
        <v>108208875000</v>
      </c>
      <c r="W8" s="270">
        <f t="shared" si="20"/>
        <v>108208875000</v>
      </c>
      <c r="X8" s="270">
        <f t="shared" si="20"/>
        <v>108208875000</v>
      </c>
      <c r="Y8" s="270">
        <f t="shared" si="20"/>
        <v>108208875000</v>
      </c>
      <c r="Z8" s="270">
        <f t="shared" si="20"/>
        <v>108208875000</v>
      </c>
      <c r="AA8" s="270">
        <f t="shared" si="20"/>
        <v>108208875000</v>
      </c>
      <c r="AB8" s="270">
        <f t="shared" si="20"/>
        <v>108208875000</v>
      </c>
      <c r="AC8" s="270">
        <f t="shared" si="20"/>
        <v>108208875000</v>
      </c>
      <c r="AD8" s="278"/>
      <c r="AE8" s="278"/>
      <c r="AF8" s="278"/>
      <c r="AG8" s="278"/>
      <c r="AH8" s="278"/>
      <c r="AI8" s="278"/>
      <c r="AJ8" s="278"/>
      <c r="AK8" s="278"/>
      <c r="AL8" s="278"/>
      <c r="AM8" s="278"/>
      <c r="AN8" s="278"/>
      <c r="AO8" s="278"/>
      <c r="AP8" s="278"/>
      <c r="AQ8" s="278"/>
      <c r="AR8" s="278"/>
      <c r="AS8" s="278"/>
      <c r="AT8" s="278"/>
      <c r="AU8" s="278"/>
      <c r="AV8" s="278"/>
      <c r="AW8" s="278"/>
      <c r="AX8" s="278"/>
      <c r="AY8" s="278"/>
      <c r="AZ8" s="278"/>
      <c r="BA8" s="278"/>
    </row>
    <row r="9" spans="1:53" s="87" customFormat="1" ht="13" outlineLevel="1">
      <c r="A9" s="271">
        <v>3</v>
      </c>
      <c r="B9" s="484" t="s">
        <v>61</v>
      </c>
      <c r="C9" s="272"/>
      <c r="D9" s="273"/>
      <c r="E9" s="274"/>
      <c r="F9" s="275"/>
      <c r="G9" s="276">
        <f>I9/(1+'1. Tổng hợp'!$D$24)</f>
        <v>52991190909.090904</v>
      </c>
      <c r="H9" s="276">
        <f>+G9*0.1</f>
        <v>5299119090.909091</v>
      </c>
      <c r="I9" s="276">
        <f>58290310000*(1+'1. Tổng hợp'!$C$38)</f>
        <v>58290310000</v>
      </c>
      <c r="J9" s="277"/>
      <c r="K9" s="485">
        <f t="shared" si="19"/>
        <v>0</v>
      </c>
      <c r="L9" s="278">
        <f>SUM(M9:AC9)</f>
        <v>58290310000</v>
      </c>
      <c r="M9" s="278"/>
      <c r="N9" s="278"/>
      <c r="O9" s="278"/>
      <c r="P9" s="278"/>
      <c r="Q9" s="278"/>
      <c r="R9" s="278"/>
      <c r="S9" s="278"/>
      <c r="T9" s="278"/>
      <c r="U9" s="278"/>
      <c r="V9" s="270">
        <f>I9/8</f>
        <v>7286288750</v>
      </c>
      <c r="W9" s="270">
        <f t="shared" si="20"/>
        <v>7286288750</v>
      </c>
      <c r="X9" s="270">
        <f t="shared" si="20"/>
        <v>7286288750</v>
      </c>
      <c r="Y9" s="270">
        <f t="shared" si="20"/>
        <v>7286288750</v>
      </c>
      <c r="Z9" s="270">
        <f t="shared" si="20"/>
        <v>7286288750</v>
      </c>
      <c r="AA9" s="270">
        <f t="shared" si="20"/>
        <v>7286288750</v>
      </c>
      <c r="AB9" s="270">
        <f t="shared" si="20"/>
        <v>7286288750</v>
      </c>
      <c r="AC9" s="270">
        <f t="shared" si="20"/>
        <v>7286288750</v>
      </c>
      <c r="AD9" s="278"/>
      <c r="AE9" s="278"/>
      <c r="AF9" s="278"/>
      <c r="AG9" s="278"/>
      <c r="AH9" s="278"/>
      <c r="AI9" s="278"/>
      <c r="AJ9" s="278"/>
      <c r="AK9" s="278"/>
      <c r="AL9" s="278"/>
      <c r="AM9" s="278"/>
      <c r="AN9" s="278"/>
      <c r="AO9" s="278"/>
      <c r="AP9" s="278"/>
      <c r="AQ9" s="278"/>
      <c r="AR9" s="278"/>
      <c r="AS9" s="278"/>
      <c r="AT9" s="278"/>
      <c r="AU9" s="278"/>
      <c r="AV9" s="278"/>
      <c r="AW9" s="278"/>
      <c r="AX9" s="278"/>
      <c r="AY9" s="278"/>
      <c r="AZ9" s="278"/>
      <c r="BA9" s="278"/>
    </row>
    <row r="10" spans="1:53" s="79" customFormat="1" ht="15.65" customHeight="1">
      <c r="A10" s="279" t="s">
        <v>62</v>
      </c>
      <c r="B10" s="280" t="s">
        <v>63</v>
      </c>
      <c r="C10" s="281" t="s">
        <v>64</v>
      </c>
      <c r="D10" s="282"/>
      <c r="E10" s="403"/>
      <c r="F10" s="283"/>
      <c r="G10" s="284">
        <f>I10/(1+'1. Tổng hợp'!$D$24)</f>
        <v>0</v>
      </c>
      <c r="H10" s="284">
        <f>+G10*0.1</f>
        <v>0</v>
      </c>
      <c r="I10" s="284">
        <f>0*(1+'1. Tổng hợp'!$C$38)</f>
        <v>0</v>
      </c>
      <c r="J10" s="281"/>
      <c r="K10" s="260">
        <f t="shared" si="19"/>
        <v>0</v>
      </c>
      <c r="L10" s="285">
        <f>SUM(M10:AC10)</f>
        <v>0</v>
      </c>
      <c r="M10" s="285"/>
      <c r="N10" s="285"/>
      <c r="O10" s="285"/>
      <c r="P10" s="285"/>
      <c r="Q10" s="285"/>
      <c r="R10" s="285"/>
      <c r="S10" s="285"/>
      <c r="T10" s="285"/>
      <c r="U10" s="285"/>
      <c r="V10" s="285"/>
      <c r="W10" s="285"/>
      <c r="X10" s="285"/>
      <c r="Y10" s="285"/>
      <c r="Z10" s="285"/>
      <c r="AA10" s="285"/>
      <c r="AB10" s="285"/>
      <c r="AC10" s="285"/>
      <c r="AD10" s="285"/>
      <c r="AE10" s="285"/>
      <c r="AF10" s="285"/>
      <c r="AG10" s="285"/>
      <c r="AH10" s="285"/>
      <c r="AI10" s="285"/>
      <c r="AJ10" s="285"/>
      <c r="AK10" s="285"/>
      <c r="AL10" s="285"/>
      <c r="AM10" s="285"/>
      <c r="AN10" s="285"/>
      <c r="AO10" s="285"/>
      <c r="AP10" s="285"/>
      <c r="AQ10" s="285"/>
      <c r="AR10" s="285"/>
      <c r="AS10" s="285"/>
      <c r="AT10" s="285"/>
      <c r="AU10" s="285"/>
      <c r="AV10" s="285"/>
      <c r="AW10" s="285"/>
      <c r="AX10" s="285"/>
      <c r="AY10" s="285"/>
      <c r="AZ10" s="285"/>
      <c r="BA10" s="285"/>
    </row>
    <row r="11" spans="1:53" s="118" customFormat="1" ht="41.65" customHeight="1">
      <c r="A11" s="286" t="s">
        <v>65</v>
      </c>
      <c r="B11" s="280" t="s">
        <v>66</v>
      </c>
      <c r="C11" s="280" t="s">
        <v>67</v>
      </c>
      <c r="D11" s="288">
        <v>0.05</v>
      </c>
      <c r="E11" s="404" t="s">
        <v>68</v>
      </c>
      <c r="F11" s="280"/>
      <c r="G11" s="284">
        <f>I11/(1+'1. Tổng hợp'!$D$24)</f>
        <v>130934107459.30907</v>
      </c>
      <c r="H11" s="284">
        <f>+G11*0.1</f>
        <v>13093410745.930908</v>
      </c>
      <c r="I11" s="289">
        <f>144027518205.24*(1+'1. Tổng hợp'!$C$38)</f>
        <v>144027518205.23999</v>
      </c>
      <c r="J11" s="280"/>
      <c r="K11" s="260">
        <f t="shared" si="19"/>
        <v>0</v>
      </c>
      <c r="L11" s="285">
        <f>SUM(M11:AC11)</f>
        <v>144027518205.23999</v>
      </c>
      <c r="M11" s="289"/>
      <c r="N11" s="289"/>
      <c r="O11" s="289"/>
      <c r="P11" s="289"/>
      <c r="Q11" s="289"/>
      <c r="R11" s="289"/>
      <c r="S11" s="289"/>
      <c r="T11" s="289"/>
      <c r="U11" s="289"/>
      <c r="V11" s="289">
        <f>I11/8</f>
        <v>18003439775.654999</v>
      </c>
      <c r="W11" s="289">
        <f t="shared" ref="W11:AC11" si="21">V11</f>
        <v>18003439775.654999</v>
      </c>
      <c r="X11" s="289">
        <f t="shared" si="21"/>
        <v>18003439775.654999</v>
      </c>
      <c r="Y11" s="289">
        <f t="shared" si="21"/>
        <v>18003439775.654999</v>
      </c>
      <c r="Z11" s="289">
        <f t="shared" si="21"/>
        <v>18003439775.654999</v>
      </c>
      <c r="AA11" s="289">
        <f t="shared" si="21"/>
        <v>18003439775.654999</v>
      </c>
      <c r="AB11" s="289">
        <f t="shared" si="21"/>
        <v>18003439775.654999</v>
      </c>
      <c r="AC11" s="289">
        <f t="shared" si="21"/>
        <v>18003439775.654999</v>
      </c>
      <c r="AD11" s="289"/>
      <c r="AE11" s="289"/>
      <c r="AF11" s="289"/>
      <c r="AG11" s="289"/>
      <c r="AH11" s="289"/>
      <c r="AI11" s="289"/>
      <c r="AJ11" s="289"/>
      <c r="AK11" s="289"/>
      <c r="AL11" s="289"/>
      <c r="AM11" s="289"/>
      <c r="AN11" s="289"/>
      <c r="AO11" s="289"/>
      <c r="AP11" s="289"/>
      <c r="AQ11" s="289"/>
      <c r="AR11" s="289"/>
      <c r="AS11" s="289"/>
      <c r="AT11" s="289"/>
      <c r="AU11" s="289"/>
      <c r="AV11" s="289"/>
      <c r="AW11" s="289"/>
      <c r="AX11" s="289"/>
      <c r="AY11" s="289"/>
      <c r="AZ11" s="289"/>
      <c r="BA11" s="289"/>
    </row>
    <row r="12" spans="1:53" s="106" customFormat="1" ht="13.9" customHeight="1">
      <c r="A12" s="286" t="s">
        <v>69</v>
      </c>
      <c r="B12" s="280" t="s">
        <v>70</v>
      </c>
      <c r="C12" s="280"/>
      <c r="D12" s="290"/>
      <c r="E12" s="291"/>
      <c r="F12" s="292"/>
      <c r="G12" s="289">
        <f>G6+G10+G11</f>
        <v>999174389277.49097</v>
      </c>
      <c r="H12" s="289">
        <f>H6+H10+H11</f>
        <v>99917438927.749084</v>
      </c>
      <c r="I12" s="289">
        <f>I6+I10+I11</f>
        <v>1099091828205.24</v>
      </c>
      <c r="J12" s="280"/>
      <c r="K12" s="260">
        <f t="shared" si="19"/>
        <v>0</v>
      </c>
      <c r="L12" s="289">
        <f>L6+L10+L11</f>
        <v>1099091828205.24</v>
      </c>
      <c r="M12" s="289">
        <f t="shared" ref="M12:BA12" si="22">M6+M10+M11</f>
        <v>0</v>
      </c>
      <c r="N12" s="289">
        <f t="shared" si="22"/>
        <v>0</v>
      </c>
      <c r="O12" s="289">
        <f t="shared" si="22"/>
        <v>0</v>
      </c>
      <c r="P12" s="289">
        <f t="shared" si="22"/>
        <v>0</v>
      </c>
      <c r="Q12" s="289">
        <f t="shared" si="22"/>
        <v>0</v>
      </c>
      <c r="R12" s="289">
        <f t="shared" si="22"/>
        <v>0</v>
      </c>
      <c r="S12" s="289">
        <f t="shared" si="22"/>
        <v>0</v>
      </c>
      <c r="T12" s="289">
        <f t="shared" si="22"/>
        <v>0</v>
      </c>
      <c r="U12" s="289">
        <f t="shared" si="22"/>
        <v>0</v>
      </c>
      <c r="V12" s="289">
        <f t="shared" si="22"/>
        <v>137386478525.655</v>
      </c>
      <c r="W12" s="289">
        <f t="shared" si="22"/>
        <v>137386478525.655</v>
      </c>
      <c r="X12" s="289">
        <f t="shared" si="22"/>
        <v>137386478525.655</v>
      </c>
      <c r="Y12" s="289">
        <f t="shared" si="22"/>
        <v>137386478525.655</v>
      </c>
      <c r="Z12" s="289">
        <f t="shared" si="22"/>
        <v>137386478525.655</v>
      </c>
      <c r="AA12" s="289">
        <f t="shared" si="22"/>
        <v>137386478525.655</v>
      </c>
      <c r="AB12" s="289">
        <f t="shared" si="22"/>
        <v>137386478525.655</v>
      </c>
      <c r="AC12" s="289">
        <f t="shared" si="22"/>
        <v>137386478525.655</v>
      </c>
      <c r="AD12" s="289">
        <f t="shared" si="22"/>
        <v>0</v>
      </c>
      <c r="AE12" s="289">
        <f t="shared" si="22"/>
        <v>0</v>
      </c>
      <c r="AF12" s="289">
        <f t="shared" si="22"/>
        <v>0</v>
      </c>
      <c r="AG12" s="289">
        <f t="shared" si="22"/>
        <v>0</v>
      </c>
      <c r="AH12" s="289">
        <f t="shared" si="22"/>
        <v>0</v>
      </c>
      <c r="AI12" s="289">
        <f t="shared" si="22"/>
        <v>0</v>
      </c>
      <c r="AJ12" s="289">
        <f t="shared" si="22"/>
        <v>0</v>
      </c>
      <c r="AK12" s="289">
        <f t="shared" si="22"/>
        <v>0</v>
      </c>
      <c r="AL12" s="289">
        <f t="shared" ref="AL12:AO12" si="23">AL6+AL10+AL11</f>
        <v>0</v>
      </c>
      <c r="AM12" s="289">
        <f t="shared" si="23"/>
        <v>0</v>
      </c>
      <c r="AN12" s="289">
        <f t="shared" si="23"/>
        <v>0</v>
      </c>
      <c r="AO12" s="289">
        <f t="shared" si="23"/>
        <v>0</v>
      </c>
      <c r="AP12" s="289">
        <f t="shared" si="22"/>
        <v>0</v>
      </c>
      <c r="AQ12" s="289">
        <f t="shared" si="22"/>
        <v>0</v>
      </c>
      <c r="AR12" s="289">
        <f t="shared" si="22"/>
        <v>0</v>
      </c>
      <c r="AS12" s="289">
        <f t="shared" si="22"/>
        <v>0</v>
      </c>
      <c r="AT12" s="289">
        <f t="shared" ref="AT12:AW12" si="24">AT6+AT10+AT11</f>
        <v>0</v>
      </c>
      <c r="AU12" s="289">
        <f t="shared" si="24"/>
        <v>0</v>
      </c>
      <c r="AV12" s="289">
        <f t="shared" si="24"/>
        <v>0</v>
      </c>
      <c r="AW12" s="289">
        <f t="shared" si="24"/>
        <v>0</v>
      </c>
      <c r="AX12" s="289">
        <f t="shared" si="22"/>
        <v>0</v>
      </c>
      <c r="AY12" s="289">
        <f t="shared" si="22"/>
        <v>0</v>
      </c>
      <c r="AZ12" s="289">
        <f t="shared" si="22"/>
        <v>0</v>
      </c>
      <c r="BA12" s="289">
        <f t="shared" si="22"/>
        <v>0</v>
      </c>
    </row>
    <row r="13" spans="1:53" s="106" customFormat="1" ht="14.65" customHeight="1">
      <c r="A13" s="286" t="s">
        <v>71</v>
      </c>
      <c r="B13" s="293" t="s">
        <v>72</v>
      </c>
      <c r="C13" s="287"/>
      <c r="D13" s="610" t="s">
        <v>73</v>
      </c>
      <c r="E13" s="611"/>
      <c r="F13" s="280"/>
      <c r="G13" s="289"/>
      <c r="H13" s="289"/>
      <c r="I13" s="289">
        <f>ROUND(I12,-3)</f>
        <v>1099091828000</v>
      </c>
      <c r="J13" s="287"/>
      <c r="L13" s="294"/>
      <c r="M13" s="294"/>
      <c r="N13" s="294"/>
      <c r="O13" s="294"/>
      <c r="P13" s="294"/>
      <c r="Q13" s="294"/>
      <c r="R13" s="294"/>
      <c r="S13" s="294"/>
      <c r="T13" s="294"/>
      <c r="U13" s="294"/>
      <c r="V13" s="294"/>
      <c r="W13" s="294"/>
      <c r="X13" s="294"/>
      <c r="Y13" s="294"/>
      <c r="Z13" s="294"/>
      <c r="AA13" s="294"/>
      <c r="AB13" s="294"/>
      <c r="AC13" s="294"/>
      <c r="AD13" s="294"/>
      <c r="AE13" s="294"/>
      <c r="AF13" s="294"/>
      <c r="AG13" s="294"/>
      <c r="AH13" s="294"/>
      <c r="AI13" s="294"/>
      <c r="AJ13" s="294"/>
      <c r="AK13" s="294"/>
      <c r="AL13" s="294"/>
      <c r="AM13" s="294"/>
      <c r="AN13" s="294"/>
      <c r="AO13" s="294"/>
      <c r="AP13" s="294"/>
      <c r="AQ13" s="294"/>
      <c r="AR13" s="294"/>
      <c r="AS13" s="294"/>
      <c r="AT13" s="294"/>
      <c r="AU13" s="294"/>
      <c r="AV13" s="294"/>
      <c r="AW13" s="294"/>
      <c r="AX13" s="294"/>
      <c r="AY13" s="294"/>
      <c r="AZ13" s="294"/>
      <c r="BA13" s="294"/>
    </row>
    <row r="14" spans="1:53" s="79" customFormat="1" ht="15.65" customHeight="1">
      <c r="A14" s="295"/>
      <c r="B14" s="296"/>
      <c r="C14" s="296"/>
      <c r="D14" s="612"/>
      <c r="E14" s="613"/>
      <c r="F14" s="295"/>
      <c r="G14" s="297"/>
      <c r="H14" s="297"/>
      <c r="I14" s="298"/>
      <c r="J14" s="295"/>
      <c r="L14" s="278"/>
      <c r="M14" s="299"/>
      <c r="N14" s="299"/>
      <c r="O14" s="299"/>
      <c r="P14" s="299"/>
      <c r="Q14" s="299"/>
      <c r="R14" s="299"/>
      <c r="S14" s="299"/>
      <c r="T14" s="299"/>
      <c r="U14" s="299"/>
      <c r="V14" s="299"/>
      <c r="W14" s="299"/>
      <c r="X14" s="299"/>
      <c r="Y14" s="299"/>
      <c r="Z14" s="299"/>
      <c r="AA14" s="299"/>
      <c r="AB14" s="299"/>
      <c r="AC14" s="299"/>
      <c r="AD14" s="299"/>
      <c r="AE14" s="299"/>
      <c r="AF14" s="299"/>
      <c r="AG14" s="299"/>
      <c r="AH14" s="299"/>
      <c r="AI14" s="299"/>
      <c r="AJ14" s="299"/>
      <c r="AK14" s="299"/>
      <c r="AL14" s="299"/>
      <c r="AM14" s="299"/>
      <c r="AN14" s="299"/>
      <c r="AO14" s="299"/>
      <c r="AP14" s="299"/>
      <c r="AQ14" s="299"/>
      <c r="AR14" s="299"/>
      <c r="AS14" s="299"/>
      <c r="AT14" s="299"/>
      <c r="AU14" s="299"/>
      <c r="AV14" s="299"/>
      <c r="AW14" s="299"/>
      <c r="AX14" s="299"/>
      <c r="AY14" s="299"/>
      <c r="AZ14" s="299"/>
      <c r="BA14" s="299"/>
    </row>
    <row r="15" spans="1:53" s="79" customFormat="1" ht="15.5">
      <c r="A15" s="74"/>
      <c r="B15" s="80"/>
      <c r="C15" s="95"/>
      <c r="D15" s="74"/>
      <c r="E15" s="74"/>
      <c r="F15" s="96"/>
      <c r="G15" s="97"/>
      <c r="H15" s="98"/>
      <c r="I15" s="80"/>
      <c r="L15" s="99"/>
      <c r="M15" s="99"/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  <c r="AA15" s="99"/>
      <c r="AB15" s="99"/>
      <c r="AC15" s="99"/>
      <c r="AD15" s="99"/>
      <c r="AE15" s="99"/>
      <c r="AF15" s="99"/>
      <c r="AG15" s="99"/>
      <c r="AH15" s="99"/>
      <c r="AI15" s="99"/>
      <c r="AJ15" s="99"/>
      <c r="AK15" s="99"/>
      <c r="AL15" s="99"/>
      <c r="AM15" s="99"/>
      <c r="AN15" s="99"/>
      <c r="AO15" s="99"/>
    </row>
    <row r="16" spans="1:53" s="79" customFormat="1" ht="15.5">
      <c r="A16" s="80"/>
      <c r="B16" s="80"/>
      <c r="C16" s="600"/>
      <c r="D16" s="600"/>
      <c r="E16" s="74"/>
      <c r="F16" s="100"/>
      <c r="G16" s="100"/>
      <c r="H16" s="100"/>
      <c r="I16" s="180"/>
      <c r="L16" s="99"/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/>
      <c r="AG16" s="99"/>
      <c r="AH16" s="99"/>
      <c r="AI16" s="99"/>
      <c r="AJ16" s="99"/>
      <c r="AK16" s="99"/>
      <c r="AL16" s="99"/>
      <c r="AM16" s="99"/>
      <c r="AN16" s="99"/>
      <c r="AO16" s="99"/>
    </row>
    <row r="17" spans="1:41" s="79" customFormat="1" ht="30" customHeight="1">
      <c r="A17" s="74"/>
      <c r="B17" s="74"/>
      <c r="C17" s="600"/>
      <c r="D17" s="600"/>
      <c r="E17" s="600"/>
      <c r="F17" s="98"/>
      <c r="G17" s="98"/>
      <c r="H17" s="96"/>
      <c r="I17" s="183"/>
      <c r="L17" s="99"/>
      <c r="M17" s="99"/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  <c r="AA17" s="99"/>
      <c r="AB17" s="99"/>
      <c r="AC17" s="99"/>
      <c r="AD17" s="99"/>
      <c r="AE17" s="99"/>
      <c r="AF17" s="99"/>
      <c r="AG17" s="99"/>
      <c r="AH17" s="99"/>
      <c r="AI17" s="99"/>
      <c r="AJ17" s="99"/>
      <c r="AK17" s="99"/>
      <c r="AL17" s="99"/>
      <c r="AM17" s="99"/>
      <c r="AN17" s="99"/>
      <c r="AO17" s="99"/>
    </row>
    <row r="18" spans="1:41" s="79" customFormat="1" ht="33.75" customHeight="1">
      <c r="A18" s="74"/>
      <c r="B18" s="74"/>
      <c r="C18" s="600"/>
      <c r="D18" s="600"/>
      <c r="E18" s="600"/>
      <c r="F18" s="98"/>
      <c r="G18" s="98"/>
      <c r="H18" s="96"/>
      <c r="I18" s="180"/>
      <c r="J18" s="181"/>
      <c r="L18" s="99"/>
      <c r="M18" s="99"/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  <c r="AA18" s="99"/>
      <c r="AB18" s="99"/>
      <c r="AC18" s="99"/>
      <c r="AD18" s="99"/>
      <c r="AE18" s="99"/>
      <c r="AF18" s="99"/>
      <c r="AG18" s="99"/>
      <c r="AH18" s="99"/>
      <c r="AI18" s="99"/>
      <c r="AJ18" s="99"/>
      <c r="AK18" s="99"/>
      <c r="AL18" s="99"/>
      <c r="AM18" s="99"/>
      <c r="AN18" s="99"/>
      <c r="AO18" s="99"/>
    </row>
    <row r="19" spans="1:41" s="79" customFormat="1" ht="26.25" customHeight="1">
      <c r="A19" s="74"/>
      <c r="B19" s="74"/>
      <c r="C19" s="600"/>
      <c r="D19" s="600"/>
      <c r="E19" s="600"/>
      <c r="F19" s="98"/>
      <c r="G19" s="98"/>
      <c r="H19" s="96"/>
      <c r="I19" s="180"/>
      <c r="J19" s="181"/>
      <c r="L19" s="99"/>
      <c r="M19" s="99"/>
      <c r="N19" s="99"/>
      <c r="O19" s="99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  <c r="AA19" s="99"/>
      <c r="AB19" s="99"/>
      <c r="AC19" s="99"/>
      <c r="AD19" s="99"/>
      <c r="AE19" s="99"/>
      <c r="AF19" s="99"/>
      <c r="AG19" s="99"/>
      <c r="AH19" s="99"/>
      <c r="AI19" s="99"/>
      <c r="AJ19" s="99"/>
      <c r="AK19" s="99"/>
      <c r="AL19" s="99"/>
      <c r="AM19" s="99"/>
      <c r="AN19" s="99"/>
      <c r="AO19" s="99"/>
    </row>
    <row r="20" spans="1:41" s="79" customFormat="1" ht="40.5" customHeight="1">
      <c r="A20" s="74"/>
      <c r="B20" s="74"/>
      <c r="C20" s="600"/>
      <c r="D20" s="600"/>
      <c r="E20" s="600"/>
      <c r="F20" s="98"/>
      <c r="G20" s="98"/>
      <c r="H20" s="96"/>
      <c r="I20" s="180"/>
      <c r="J20" s="181"/>
      <c r="L20" s="99"/>
      <c r="M20" s="99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  <c r="AC20" s="99"/>
      <c r="AD20" s="99"/>
      <c r="AE20" s="99"/>
      <c r="AF20" s="99"/>
      <c r="AG20" s="99"/>
      <c r="AH20" s="99"/>
      <c r="AI20" s="99"/>
      <c r="AJ20" s="99"/>
      <c r="AK20" s="99"/>
      <c r="AL20" s="99"/>
      <c r="AM20" s="99"/>
      <c r="AN20" s="99"/>
      <c r="AO20" s="99"/>
    </row>
    <row r="21" spans="1:41" s="79" customFormat="1" ht="15.5">
      <c r="A21" s="74"/>
      <c r="B21" s="74"/>
      <c r="C21" s="600"/>
      <c r="D21" s="600"/>
      <c r="E21" s="600"/>
      <c r="F21" s="98"/>
      <c r="G21" s="98"/>
      <c r="H21" s="96"/>
      <c r="I21" s="180"/>
      <c r="J21" s="181"/>
      <c r="L21" s="99"/>
      <c r="M21" s="99"/>
      <c r="N21" s="99"/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  <c r="AA21" s="99"/>
      <c r="AB21" s="99"/>
      <c r="AC21" s="99"/>
      <c r="AD21" s="99"/>
      <c r="AE21" s="99"/>
      <c r="AF21" s="99"/>
      <c r="AG21" s="99"/>
      <c r="AH21" s="99"/>
      <c r="AI21" s="99"/>
      <c r="AJ21" s="99"/>
      <c r="AK21" s="99"/>
      <c r="AL21" s="99"/>
      <c r="AM21" s="99"/>
      <c r="AN21" s="99"/>
      <c r="AO21" s="99"/>
    </row>
    <row r="22" spans="1:41" s="79" customFormat="1" ht="25.5" customHeight="1">
      <c r="A22" s="74"/>
      <c r="B22" s="74"/>
      <c r="C22" s="600"/>
      <c r="D22" s="600"/>
      <c r="E22" s="600"/>
      <c r="F22" s="98"/>
      <c r="G22" s="98"/>
      <c r="H22" s="96"/>
      <c r="I22" s="74"/>
      <c r="L22" s="99"/>
      <c r="M22" s="99"/>
      <c r="N22" s="99"/>
      <c r="O22" s="99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  <c r="AA22" s="99"/>
      <c r="AB22" s="99"/>
      <c r="AC22" s="99"/>
      <c r="AD22" s="99"/>
      <c r="AE22" s="99"/>
      <c r="AF22" s="99"/>
      <c r="AG22" s="99"/>
      <c r="AH22" s="99"/>
      <c r="AI22" s="99"/>
      <c r="AJ22" s="99"/>
      <c r="AK22" s="99"/>
      <c r="AL22" s="99"/>
      <c r="AM22" s="99"/>
      <c r="AN22" s="99"/>
      <c r="AO22" s="99"/>
    </row>
    <row r="23" spans="1:41" s="79" customFormat="1" ht="15.75" customHeight="1">
      <c r="A23" s="74"/>
      <c r="B23" s="74"/>
      <c r="C23" s="600"/>
      <c r="D23" s="600"/>
      <c r="E23" s="600"/>
      <c r="F23" s="98"/>
      <c r="G23" s="98"/>
      <c r="H23" s="96"/>
      <c r="I23" s="74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  <c r="AA23" s="99"/>
      <c r="AB23" s="99"/>
      <c r="AC23" s="99"/>
      <c r="AD23" s="99"/>
      <c r="AE23" s="99"/>
      <c r="AF23" s="99"/>
      <c r="AG23" s="99"/>
      <c r="AH23" s="99"/>
      <c r="AI23" s="99"/>
      <c r="AJ23" s="99"/>
      <c r="AK23" s="99"/>
      <c r="AL23" s="99"/>
      <c r="AM23" s="99"/>
      <c r="AN23" s="99"/>
      <c r="AO23" s="99"/>
    </row>
    <row r="24" spans="1:41" s="79" customFormat="1" ht="39" customHeight="1">
      <c r="A24" s="74"/>
      <c r="B24" s="74"/>
      <c r="C24" s="600"/>
      <c r="D24" s="600"/>
      <c r="E24" s="600"/>
      <c r="F24" s="98"/>
      <c r="G24" s="98"/>
      <c r="H24" s="96"/>
      <c r="I24" s="74"/>
      <c r="L24" s="99"/>
      <c r="M24" s="99"/>
      <c r="N24" s="99"/>
      <c r="O24" s="99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  <c r="AA24" s="99"/>
      <c r="AB24" s="99"/>
      <c r="AC24" s="99"/>
      <c r="AD24" s="99"/>
      <c r="AE24" s="99"/>
      <c r="AF24" s="99"/>
      <c r="AG24" s="99"/>
      <c r="AH24" s="99"/>
      <c r="AI24" s="99"/>
      <c r="AJ24" s="99"/>
      <c r="AK24" s="99"/>
      <c r="AL24" s="99"/>
      <c r="AM24" s="99"/>
      <c r="AN24" s="99"/>
      <c r="AO24" s="99"/>
    </row>
    <row r="25" spans="1:41" s="79" customFormat="1" ht="15.75" customHeight="1">
      <c r="A25" s="74"/>
      <c r="B25" s="74"/>
      <c r="C25" s="600"/>
      <c r="D25" s="600"/>
      <c r="E25" s="600"/>
      <c r="F25" s="98"/>
      <c r="G25" s="98"/>
      <c r="H25" s="96"/>
      <c r="I25" s="74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  <c r="AA25" s="99"/>
      <c r="AB25" s="99"/>
      <c r="AC25" s="99"/>
      <c r="AD25" s="99"/>
      <c r="AE25" s="99"/>
      <c r="AF25" s="99"/>
      <c r="AG25" s="99"/>
      <c r="AH25" s="99"/>
      <c r="AI25" s="99"/>
      <c r="AJ25" s="99"/>
      <c r="AK25" s="99"/>
      <c r="AL25" s="99"/>
      <c r="AM25" s="99"/>
      <c r="AN25" s="99"/>
      <c r="AO25" s="99"/>
    </row>
    <row r="26" spans="1:41" s="79" customFormat="1" ht="39" customHeight="1">
      <c r="A26" s="74"/>
      <c r="B26" s="74"/>
      <c r="C26" s="600"/>
      <c r="D26" s="600"/>
      <c r="E26" s="600"/>
      <c r="F26" s="98"/>
      <c r="G26" s="98"/>
      <c r="H26" s="96"/>
      <c r="I26" s="74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G26" s="99"/>
      <c r="AH26" s="99"/>
      <c r="AI26" s="99"/>
      <c r="AJ26" s="99"/>
      <c r="AK26" s="99"/>
      <c r="AL26" s="99"/>
      <c r="AM26" s="99"/>
      <c r="AN26" s="99"/>
      <c r="AO26" s="99"/>
    </row>
    <row r="27" spans="1:41" s="79" customFormat="1" ht="24" customHeight="1">
      <c r="A27" s="74"/>
      <c r="B27" s="74"/>
      <c r="C27" s="600"/>
      <c r="D27" s="600"/>
      <c r="E27" s="600"/>
      <c r="F27" s="98"/>
      <c r="G27" s="98"/>
      <c r="H27" s="96"/>
      <c r="I27" s="74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  <c r="AA27" s="99"/>
      <c r="AB27" s="99"/>
      <c r="AC27" s="99"/>
      <c r="AD27" s="99"/>
      <c r="AE27" s="99"/>
      <c r="AF27" s="99"/>
      <c r="AG27" s="99"/>
      <c r="AH27" s="99"/>
      <c r="AI27" s="99"/>
      <c r="AJ27" s="99"/>
      <c r="AK27" s="99"/>
      <c r="AL27" s="99"/>
      <c r="AM27" s="99"/>
      <c r="AN27" s="99"/>
      <c r="AO27" s="99"/>
    </row>
    <row r="28" spans="1:41" s="79" customFormat="1" ht="15.5">
      <c r="A28" s="74"/>
      <c r="B28" s="74"/>
      <c r="C28" s="600"/>
      <c r="D28" s="600"/>
      <c r="E28" s="600"/>
      <c r="F28" s="98"/>
      <c r="G28" s="98"/>
      <c r="H28" s="96"/>
      <c r="I28" s="74"/>
      <c r="L28" s="99"/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  <c r="AA28" s="99"/>
      <c r="AB28" s="99"/>
      <c r="AC28" s="99"/>
      <c r="AD28" s="99"/>
      <c r="AE28" s="99"/>
      <c r="AF28" s="99"/>
      <c r="AG28" s="99"/>
      <c r="AH28" s="99"/>
      <c r="AI28" s="99"/>
      <c r="AJ28" s="99"/>
      <c r="AK28" s="99"/>
      <c r="AL28" s="99"/>
      <c r="AM28" s="99"/>
      <c r="AN28" s="99"/>
      <c r="AO28" s="99"/>
    </row>
    <row r="29" spans="1:41" s="79" customFormat="1" ht="24" customHeight="1">
      <c r="A29" s="81"/>
      <c r="B29" s="81"/>
      <c r="C29" s="600"/>
      <c r="D29" s="600"/>
      <c r="E29" s="600"/>
      <c r="F29" s="98"/>
      <c r="G29" s="98"/>
      <c r="H29" s="96"/>
      <c r="I29" s="81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  <c r="AA29" s="99"/>
      <c r="AB29" s="99"/>
      <c r="AC29" s="99"/>
      <c r="AD29" s="99"/>
      <c r="AE29" s="99"/>
      <c r="AF29" s="99"/>
      <c r="AG29" s="99"/>
      <c r="AH29" s="99"/>
      <c r="AI29" s="99"/>
      <c r="AJ29" s="99"/>
      <c r="AK29" s="99"/>
      <c r="AL29" s="99"/>
      <c r="AM29" s="99"/>
      <c r="AN29" s="99"/>
      <c r="AO29" s="99"/>
    </row>
    <row r="30" spans="1:41" s="79" customFormat="1" ht="39" customHeight="1">
      <c r="A30" s="81"/>
      <c r="B30" s="81"/>
      <c r="C30" s="600"/>
      <c r="D30" s="600"/>
      <c r="E30" s="600"/>
      <c r="F30" s="98"/>
      <c r="G30" s="98"/>
      <c r="H30" s="96"/>
      <c r="I30" s="81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  <c r="AA30" s="99"/>
      <c r="AB30" s="99"/>
      <c r="AC30" s="99"/>
      <c r="AD30" s="99"/>
      <c r="AE30" s="99"/>
      <c r="AF30" s="99"/>
      <c r="AG30" s="99"/>
      <c r="AH30" s="99"/>
      <c r="AI30" s="99"/>
      <c r="AJ30" s="99"/>
      <c r="AK30" s="99"/>
      <c r="AL30" s="99"/>
      <c r="AM30" s="99"/>
      <c r="AN30" s="99"/>
      <c r="AO30" s="99"/>
    </row>
    <row r="31" spans="1:41" s="79" customFormat="1" ht="15.5">
      <c r="A31" s="81"/>
      <c r="B31" s="81"/>
      <c r="C31" s="600"/>
      <c r="D31" s="600"/>
      <c r="E31" s="600"/>
      <c r="F31" s="98"/>
      <c r="G31" s="98"/>
      <c r="H31" s="96"/>
      <c r="I31" s="81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  <c r="AA31" s="99"/>
      <c r="AB31" s="99"/>
      <c r="AC31" s="99"/>
      <c r="AD31" s="99"/>
      <c r="AE31" s="99"/>
      <c r="AF31" s="99"/>
      <c r="AG31" s="99"/>
      <c r="AH31" s="99"/>
      <c r="AI31" s="99"/>
      <c r="AJ31" s="99"/>
      <c r="AK31" s="99"/>
      <c r="AL31" s="99"/>
      <c r="AM31" s="99"/>
      <c r="AN31" s="99"/>
      <c r="AO31" s="99"/>
    </row>
    <row r="32" spans="1:41" s="79" customFormat="1" ht="15.5">
      <c r="A32" s="81"/>
      <c r="B32" s="81"/>
      <c r="C32" s="600"/>
      <c r="D32" s="600"/>
      <c r="E32" s="600"/>
      <c r="F32" s="98"/>
      <c r="G32" s="98"/>
      <c r="H32" s="96"/>
      <c r="I32" s="81"/>
      <c r="L32" s="99"/>
      <c r="M32" s="99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  <c r="AA32" s="99"/>
      <c r="AB32" s="99"/>
      <c r="AC32" s="99"/>
      <c r="AD32" s="99"/>
      <c r="AE32" s="99"/>
      <c r="AF32" s="99"/>
      <c r="AG32" s="99"/>
      <c r="AH32" s="99"/>
      <c r="AI32" s="99"/>
      <c r="AJ32" s="99"/>
      <c r="AK32" s="99"/>
      <c r="AL32" s="99"/>
      <c r="AM32" s="99"/>
      <c r="AN32" s="99"/>
      <c r="AO32" s="99"/>
    </row>
    <row r="33" spans="1:41" s="79" customFormat="1" ht="15.5">
      <c r="A33" s="81"/>
      <c r="B33" s="81"/>
      <c r="C33" s="600"/>
      <c r="D33" s="600"/>
      <c r="E33" s="600"/>
      <c r="F33" s="98"/>
      <c r="G33" s="98"/>
      <c r="H33" s="96"/>
      <c r="I33" s="81"/>
      <c r="L33" s="99"/>
      <c r="M33" s="99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  <c r="AA33" s="99"/>
      <c r="AB33" s="99"/>
      <c r="AC33" s="99"/>
      <c r="AD33" s="99"/>
      <c r="AE33" s="99"/>
      <c r="AF33" s="99"/>
      <c r="AG33" s="99"/>
      <c r="AH33" s="99"/>
      <c r="AI33" s="99"/>
      <c r="AJ33" s="99"/>
      <c r="AK33" s="99"/>
      <c r="AL33" s="99"/>
      <c r="AM33" s="99"/>
      <c r="AN33" s="99"/>
      <c r="AO33" s="99"/>
    </row>
    <row r="34" spans="1:41" s="79" customFormat="1" ht="15.5">
      <c r="A34" s="74"/>
      <c r="B34" s="74"/>
      <c r="C34" s="600"/>
      <c r="D34" s="600"/>
      <c r="E34" s="600"/>
      <c r="F34" s="98"/>
      <c r="G34" s="98"/>
      <c r="H34" s="96"/>
      <c r="I34" s="74"/>
      <c r="L34" s="99"/>
      <c r="M34" s="99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  <c r="AA34" s="99"/>
      <c r="AB34" s="99"/>
      <c r="AC34" s="99"/>
      <c r="AD34" s="99"/>
      <c r="AE34" s="99"/>
      <c r="AF34" s="99"/>
      <c r="AG34" s="99"/>
      <c r="AH34" s="99"/>
      <c r="AI34" s="99"/>
      <c r="AJ34" s="99"/>
      <c r="AK34" s="99"/>
      <c r="AL34" s="99"/>
      <c r="AM34" s="99"/>
      <c r="AN34" s="99"/>
      <c r="AO34" s="99"/>
    </row>
    <row r="35" spans="1:41" s="79" customFormat="1" ht="15.5">
      <c r="A35" s="74"/>
      <c r="B35" s="74"/>
      <c r="C35" s="600"/>
      <c r="D35" s="600"/>
      <c r="E35" s="600"/>
      <c r="F35" s="98"/>
      <c r="G35" s="98"/>
      <c r="H35" s="96"/>
      <c r="I35" s="74"/>
      <c r="L35" s="99"/>
      <c r="M35" s="99"/>
      <c r="N35" s="99"/>
      <c r="O35" s="99"/>
      <c r="P35" s="99"/>
      <c r="Q35" s="99"/>
      <c r="R35" s="99"/>
      <c r="S35" s="99"/>
      <c r="T35" s="99"/>
      <c r="U35" s="99"/>
      <c r="V35" s="99"/>
      <c r="W35" s="99"/>
      <c r="X35" s="99"/>
      <c r="Y35" s="99"/>
      <c r="Z35" s="99"/>
      <c r="AA35" s="99"/>
      <c r="AB35" s="99"/>
      <c r="AC35" s="99"/>
      <c r="AD35" s="99"/>
      <c r="AE35" s="99"/>
      <c r="AF35" s="99"/>
      <c r="AG35" s="99"/>
      <c r="AH35" s="99"/>
      <c r="AI35" s="99"/>
      <c r="AJ35" s="99"/>
      <c r="AK35" s="99"/>
      <c r="AL35" s="99"/>
      <c r="AM35" s="99"/>
      <c r="AN35" s="99"/>
      <c r="AO35" s="99"/>
    </row>
    <row r="36" spans="1:41" s="79" customFormat="1" ht="15.5">
      <c r="A36" s="74"/>
      <c r="B36" s="74"/>
      <c r="C36" s="74"/>
      <c r="D36" s="74"/>
      <c r="E36" s="74"/>
      <c r="F36" s="98"/>
      <c r="G36" s="98"/>
      <c r="H36" s="96"/>
      <c r="I36" s="74"/>
      <c r="L36" s="99"/>
      <c r="M36" s="99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99"/>
      <c r="Z36" s="99"/>
      <c r="AA36" s="99"/>
      <c r="AB36" s="99"/>
      <c r="AC36" s="99"/>
      <c r="AD36" s="99"/>
      <c r="AE36" s="99"/>
      <c r="AF36" s="99"/>
      <c r="AG36" s="99"/>
      <c r="AH36" s="99"/>
      <c r="AI36" s="99"/>
      <c r="AJ36" s="99"/>
      <c r="AK36" s="99"/>
      <c r="AL36" s="99"/>
      <c r="AM36" s="99"/>
      <c r="AN36" s="99"/>
      <c r="AO36" s="99"/>
    </row>
    <row r="37" spans="1:41" s="79" customFormat="1" ht="15.5">
      <c r="A37" s="74"/>
      <c r="B37" s="74"/>
      <c r="C37" s="600"/>
      <c r="D37" s="600"/>
      <c r="E37" s="600"/>
      <c r="F37" s="98"/>
      <c r="G37" s="98"/>
      <c r="H37" s="96"/>
      <c r="I37" s="74"/>
      <c r="L37" s="99"/>
      <c r="M37" s="99"/>
      <c r="N37" s="99"/>
      <c r="O37" s="99"/>
      <c r="P37" s="99"/>
      <c r="Q37" s="99"/>
      <c r="R37" s="99"/>
      <c r="S37" s="99"/>
      <c r="T37" s="99"/>
      <c r="U37" s="99"/>
      <c r="V37" s="99"/>
      <c r="W37" s="99"/>
      <c r="X37" s="99"/>
      <c r="Y37" s="99"/>
      <c r="Z37" s="99"/>
      <c r="AA37" s="99"/>
      <c r="AB37" s="99"/>
      <c r="AC37" s="99"/>
      <c r="AD37" s="99"/>
      <c r="AE37" s="99"/>
      <c r="AF37" s="99"/>
      <c r="AG37" s="99"/>
      <c r="AH37" s="99"/>
      <c r="AI37" s="99"/>
      <c r="AJ37" s="99"/>
      <c r="AK37" s="99"/>
      <c r="AL37" s="99"/>
      <c r="AM37" s="99"/>
      <c r="AN37" s="99"/>
      <c r="AO37" s="99"/>
    </row>
    <row r="38" spans="1:41" s="79" customFormat="1" ht="15.5">
      <c r="A38" s="74"/>
      <c r="B38" s="74"/>
      <c r="C38" s="600"/>
      <c r="D38" s="600"/>
      <c r="E38" s="600"/>
      <c r="F38" s="98"/>
      <c r="G38" s="98"/>
      <c r="H38" s="96"/>
      <c r="I38" s="74"/>
      <c r="L38" s="99"/>
      <c r="M38" s="99"/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  <c r="Z38" s="99"/>
      <c r="AA38" s="99"/>
      <c r="AB38" s="99"/>
      <c r="AC38" s="99"/>
      <c r="AD38" s="99"/>
      <c r="AE38" s="99"/>
      <c r="AF38" s="99"/>
      <c r="AG38" s="99"/>
      <c r="AH38" s="99"/>
      <c r="AI38" s="99"/>
      <c r="AJ38" s="99"/>
      <c r="AK38" s="99"/>
      <c r="AL38" s="99"/>
      <c r="AM38" s="99"/>
      <c r="AN38" s="99"/>
      <c r="AO38" s="99"/>
    </row>
    <row r="39" spans="1:41" s="79" customFormat="1" ht="15.5">
      <c r="A39" s="74"/>
      <c r="B39" s="74"/>
      <c r="C39" s="600"/>
      <c r="D39" s="600"/>
      <c r="E39" s="600"/>
      <c r="F39" s="98"/>
      <c r="G39" s="98"/>
      <c r="H39" s="96"/>
      <c r="I39" s="74"/>
      <c r="L39" s="99"/>
      <c r="M39" s="99"/>
      <c r="N39" s="99"/>
      <c r="O39" s="99"/>
      <c r="P39" s="99"/>
      <c r="Q39" s="99"/>
      <c r="R39" s="99"/>
      <c r="S39" s="99"/>
      <c r="T39" s="99"/>
      <c r="U39" s="99"/>
      <c r="V39" s="99"/>
      <c r="W39" s="99"/>
      <c r="X39" s="99"/>
      <c r="Y39" s="99"/>
      <c r="Z39" s="99"/>
      <c r="AA39" s="99"/>
      <c r="AB39" s="99"/>
      <c r="AC39" s="99"/>
      <c r="AD39" s="99"/>
      <c r="AE39" s="99"/>
      <c r="AF39" s="99"/>
      <c r="AG39" s="99"/>
      <c r="AH39" s="99"/>
      <c r="AI39" s="99"/>
      <c r="AJ39" s="99"/>
      <c r="AK39" s="99"/>
      <c r="AL39" s="99"/>
      <c r="AM39" s="99"/>
      <c r="AN39" s="99"/>
      <c r="AO39" s="99"/>
    </row>
    <row r="40" spans="1:41" s="79" customFormat="1" ht="15.5">
      <c r="A40" s="74"/>
      <c r="B40" s="74"/>
      <c r="C40" s="600"/>
      <c r="D40" s="600"/>
      <c r="E40" s="600"/>
      <c r="F40" s="98"/>
      <c r="G40" s="98"/>
      <c r="H40" s="96"/>
      <c r="I40" s="74"/>
      <c r="L40" s="99"/>
      <c r="M40" s="99"/>
      <c r="N40" s="99"/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99"/>
      <c r="Z40" s="99"/>
      <c r="AA40" s="99"/>
      <c r="AB40" s="99"/>
      <c r="AC40" s="99"/>
      <c r="AD40" s="99"/>
      <c r="AE40" s="99"/>
      <c r="AF40" s="99"/>
      <c r="AG40" s="99"/>
      <c r="AH40" s="99"/>
      <c r="AI40" s="99"/>
      <c r="AJ40" s="99"/>
      <c r="AK40" s="99"/>
      <c r="AL40" s="99"/>
      <c r="AM40" s="99"/>
      <c r="AN40" s="99"/>
      <c r="AO40" s="99"/>
    </row>
    <row r="41" spans="1:41" s="79" customFormat="1" ht="15.5">
      <c r="A41" s="74"/>
      <c r="B41" s="74"/>
      <c r="C41" s="600"/>
      <c r="D41" s="600"/>
      <c r="E41" s="600"/>
      <c r="F41" s="98"/>
      <c r="G41" s="98"/>
      <c r="H41" s="96"/>
      <c r="I41" s="74"/>
      <c r="L41" s="99"/>
      <c r="M41" s="99"/>
      <c r="N41" s="99"/>
      <c r="O41" s="99"/>
      <c r="P41" s="99"/>
      <c r="Q41" s="99"/>
      <c r="R41" s="99"/>
      <c r="S41" s="99"/>
      <c r="T41" s="99"/>
      <c r="U41" s="99"/>
      <c r="V41" s="99"/>
      <c r="W41" s="99"/>
      <c r="X41" s="99"/>
      <c r="Y41" s="99"/>
      <c r="Z41" s="99"/>
      <c r="AA41" s="99"/>
      <c r="AB41" s="99"/>
      <c r="AC41" s="99"/>
      <c r="AD41" s="99"/>
      <c r="AE41" s="99"/>
      <c r="AF41" s="99"/>
      <c r="AG41" s="99"/>
      <c r="AH41" s="99"/>
      <c r="AI41" s="99"/>
      <c r="AJ41" s="99"/>
      <c r="AK41" s="99"/>
      <c r="AL41" s="99"/>
      <c r="AM41" s="99"/>
      <c r="AN41" s="99"/>
      <c r="AO41" s="99"/>
    </row>
    <row r="42" spans="1:41" s="79" customFormat="1" ht="32.25" customHeight="1">
      <c r="A42" s="74"/>
      <c r="B42" s="74"/>
      <c r="C42" s="600"/>
      <c r="D42" s="600"/>
      <c r="E42" s="600"/>
      <c r="F42" s="98"/>
      <c r="G42" s="98"/>
      <c r="H42" s="96"/>
      <c r="I42" s="74"/>
      <c r="L42" s="99"/>
      <c r="M42" s="99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  <c r="Z42" s="99"/>
      <c r="AA42" s="99"/>
      <c r="AB42" s="99"/>
      <c r="AC42" s="99"/>
      <c r="AD42" s="99"/>
      <c r="AE42" s="99"/>
      <c r="AF42" s="99"/>
      <c r="AG42" s="99"/>
      <c r="AH42" s="99"/>
      <c r="AI42" s="99"/>
      <c r="AJ42" s="99"/>
      <c r="AK42" s="99"/>
      <c r="AL42" s="99"/>
      <c r="AM42" s="99"/>
      <c r="AN42" s="99"/>
      <c r="AO42" s="99"/>
    </row>
    <row r="43" spans="1:41" s="79" customFormat="1" ht="15.5">
      <c r="A43" s="80"/>
      <c r="B43" s="82"/>
      <c r="C43" s="600"/>
      <c r="D43" s="600"/>
      <c r="E43" s="600"/>
      <c r="F43" s="101"/>
      <c r="G43" s="101"/>
      <c r="H43" s="101"/>
      <c r="I43" s="74"/>
      <c r="L43" s="99"/>
      <c r="M43" s="99"/>
      <c r="N43" s="99"/>
      <c r="O43" s="99"/>
      <c r="P43" s="99"/>
      <c r="Q43" s="99"/>
      <c r="R43" s="99"/>
      <c r="S43" s="99"/>
      <c r="T43" s="99"/>
      <c r="U43" s="99"/>
      <c r="V43" s="99"/>
      <c r="W43" s="99"/>
      <c r="X43" s="99"/>
      <c r="Y43" s="99"/>
      <c r="Z43" s="99"/>
      <c r="AA43" s="99"/>
      <c r="AB43" s="99"/>
      <c r="AC43" s="99"/>
      <c r="AD43" s="99"/>
      <c r="AE43" s="99"/>
      <c r="AF43" s="99"/>
      <c r="AG43" s="99"/>
      <c r="AH43" s="99"/>
      <c r="AI43" s="99"/>
      <c r="AJ43" s="99"/>
      <c r="AK43" s="99"/>
      <c r="AL43" s="99"/>
      <c r="AM43" s="99"/>
      <c r="AN43" s="99"/>
      <c r="AO43" s="99"/>
    </row>
    <row r="44" spans="1:41" s="79" customFormat="1" ht="25.5" customHeight="1">
      <c r="A44" s="74"/>
      <c r="B44" s="74"/>
      <c r="C44" s="600"/>
      <c r="D44" s="600"/>
      <c r="E44" s="600"/>
      <c r="F44" s="98"/>
      <c r="G44" s="98"/>
      <c r="H44" s="96"/>
      <c r="I44" s="74"/>
      <c r="L44" s="99"/>
      <c r="M44" s="99"/>
      <c r="N44" s="99"/>
      <c r="O44" s="99"/>
      <c r="P44" s="99"/>
      <c r="Q44" s="99"/>
      <c r="R44" s="99"/>
      <c r="S44" s="99"/>
      <c r="T44" s="99"/>
      <c r="U44" s="99"/>
      <c r="V44" s="99"/>
      <c r="W44" s="99"/>
      <c r="X44" s="99"/>
      <c r="Y44" s="99"/>
      <c r="Z44" s="99"/>
      <c r="AA44" s="99"/>
      <c r="AB44" s="99"/>
      <c r="AC44" s="99"/>
      <c r="AD44" s="99"/>
      <c r="AE44" s="99"/>
      <c r="AF44" s="99"/>
      <c r="AG44" s="99"/>
      <c r="AH44" s="99"/>
      <c r="AI44" s="99"/>
      <c r="AJ44" s="99"/>
      <c r="AK44" s="99"/>
      <c r="AL44" s="99"/>
      <c r="AM44" s="99"/>
      <c r="AN44" s="99"/>
      <c r="AO44" s="99"/>
    </row>
    <row r="45" spans="1:41" s="79" customFormat="1" ht="25.5" customHeight="1">
      <c r="A45" s="74"/>
      <c r="B45" s="74"/>
      <c r="C45" s="600"/>
      <c r="D45" s="600"/>
      <c r="E45" s="600"/>
      <c r="F45" s="98"/>
      <c r="G45" s="98"/>
      <c r="H45" s="98"/>
      <c r="I45" s="74"/>
      <c r="L45" s="99"/>
      <c r="M45" s="99"/>
      <c r="N45" s="99"/>
      <c r="O45" s="99"/>
      <c r="P45" s="99"/>
      <c r="Q45" s="99"/>
      <c r="R45" s="99"/>
      <c r="S45" s="99"/>
      <c r="T45" s="99"/>
      <c r="U45" s="99"/>
      <c r="V45" s="99"/>
      <c r="W45" s="99"/>
      <c r="X45" s="99"/>
      <c r="Y45" s="99"/>
      <c r="Z45" s="99"/>
      <c r="AA45" s="99"/>
      <c r="AB45" s="99"/>
      <c r="AC45" s="99"/>
      <c r="AD45" s="99"/>
      <c r="AE45" s="99"/>
      <c r="AF45" s="99"/>
      <c r="AG45" s="99"/>
      <c r="AH45" s="99"/>
      <c r="AI45" s="99"/>
      <c r="AJ45" s="99"/>
      <c r="AK45" s="99"/>
      <c r="AL45" s="99"/>
      <c r="AM45" s="99"/>
      <c r="AN45" s="99"/>
      <c r="AO45" s="99"/>
    </row>
    <row r="46" spans="1:41" s="79" customFormat="1" ht="38.25" customHeight="1">
      <c r="A46" s="74"/>
      <c r="B46" s="74"/>
      <c r="C46" s="600"/>
      <c r="D46" s="600"/>
      <c r="E46" s="600"/>
      <c r="F46" s="98"/>
      <c r="G46" s="98"/>
      <c r="H46" s="96"/>
      <c r="I46" s="74"/>
      <c r="L46" s="99"/>
      <c r="M46" s="99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  <c r="AO46" s="99"/>
    </row>
    <row r="47" spans="1:41" s="79" customFormat="1" ht="25.5" customHeight="1">
      <c r="A47" s="74"/>
      <c r="B47" s="74"/>
      <c r="C47" s="600"/>
      <c r="D47" s="600"/>
      <c r="E47" s="600"/>
      <c r="F47" s="98"/>
      <c r="G47" s="98"/>
      <c r="H47" s="96"/>
      <c r="I47" s="74"/>
      <c r="L47" s="99"/>
      <c r="M47" s="99"/>
      <c r="N47" s="99"/>
      <c r="O47" s="99"/>
      <c r="P47" s="99"/>
      <c r="Q47" s="99"/>
      <c r="R47" s="99"/>
      <c r="S47" s="99"/>
      <c r="T47" s="99"/>
      <c r="U47" s="99"/>
      <c r="V47" s="99"/>
      <c r="W47" s="99"/>
      <c r="X47" s="99"/>
      <c r="Y47" s="99"/>
      <c r="Z47" s="99"/>
      <c r="AA47" s="99"/>
      <c r="AB47" s="99"/>
      <c r="AC47" s="99"/>
      <c r="AD47" s="99"/>
      <c r="AE47" s="99"/>
      <c r="AF47" s="99"/>
      <c r="AG47" s="99"/>
      <c r="AH47" s="99"/>
      <c r="AI47" s="99"/>
      <c r="AJ47" s="99"/>
      <c r="AK47" s="99"/>
      <c r="AL47" s="99"/>
      <c r="AM47" s="99"/>
      <c r="AN47" s="99"/>
      <c r="AO47" s="99"/>
    </row>
    <row r="48" spans="1:41" s="79" customFormat="1" ht="25.5" customHeight="1">
      <c r="A48" s="74"/>
      <c r="B48" s="74"/>
      <c r="C48" s="600"/>
      <c r="D48" s="600"/>
      <c r="E48" s="600"/>
      <c r="F48" s="98"/>
      <c r="G48" s="98"/>
      <c r="H48" s="96"/>
      <c r="I48" s="74"/>
      <c r="L48" s="99"/>
      <c r="M48" s="99"/>
      <c r="N48" s="99"/>
      <c r="O48" s="99"/>
      <c r="P48" s="99"/>
      <c r="Q48" s="99"/>
      <c r="R48" s="99"/>
      <c r="S48" s="99"/>
      <c r="T48" s="99"/>
      <c r="U48" s="99"/>
      <c r="V48" s="99"/>
      <c r="W48" s="99"/>
      <c r="X48" s="99"/>
      <c r="Y48" s="99"/>
      <c r="Z48" s="99"/>
      <c r="AA48" s="99"/>
      <c r="AB48" s="99"/>
      <c r="AC48" s="99"/>
      <c r="AD48" s="99"/>
      <c r="AE48" s="99"/>
      <c r="AF48" s="99"/>
      <c r="AG48" s="99"/>
      <c r="AH48" s="99"/>
      <c r="AI48" s="99"/>
      <c r="AJ48" s="99"/>
      <c r="AK48" s="99"/>
      <c r="AL48" s="99"/>
      <c r="AM48" s="99"/>
      <c r="AN48" s="99"/>
      <c r="AO48" s="99"/>
    </row>
    <row r="49" spans="1:41" s="79" customFormat="1" ht="38.25" customHeight="1">
      <c r="A49" s="74"/>
      <c r="B49" s="74"/>
      <c r="C49" s="600"/>
      <c r="D49" s="600"/>
      <c r="E49" s="600"/>
      <c r="F49" s="98"/>
      <c r="G49" s="98"/>
      <c r="H49" s="96"/>
      <c r="I49" s="74"/>
      <c r="L49" s="99"/>
      <c r="M49" s="99"/>
      <c r="N49" s="99"/>
      <c r="O49" s="99"/>
      <c r="P49" s="99"/>
      <c r="Q49" s="99"/>
      <c r="R49" s="99"/>
      <c r="S49" s="99"/>
      <c r="T49" s="99"/>
      <c r="U49" s="99"/>
      <c r="V49" s="99"/>
      <c r="W49" s="99"/>
      <c r="X49" s="99"/>
      <c r="Y49" s="99"/>
      <c r="Z49" s="99"/>
      <c r="AA49" s="99"/>
      <c r="AB49" s="99"/>
      <c r="AC49" s="99"/>
      <c r="AD49" s="99"/>
      <c r="AE49" s="99"/>
      <c r="AF49" s="99"/>
      <c r="AG49" s="99"/>
      <c r="AH49" s="99"/>
      <c r="AI49" s="99"/>
      <c r="AJ49" s="99"/>
      <c r="AK49" s="99"/>
      <c r="AL49" s="99"/>
      <c r="AM49" s="99"/>
      <c r="AN49" s="99"/>
      <c r="AO49" s="99"/>
    </row>
    <row r="50" spans="1:41" s="79" customFormat="1" ht="30" customHeight="1">
      <c r="A50" s="74"/>
      <c r="B50" s="74"/>
      <c r="C50" s="600"/>
      <c r="D50" s="600"/>
      <c r="E50" s="600"/>
      <c r="F50" s="98"/>
      <c r="G50" s="98"/>
      <c r="H50" s="96"/>
      <c r="I50" s="74"/>
      <c r="L50" s="99"/>
      <c r="M50" s="99"/>
      <c r="N50" s="99"/>
      <c r="O50" s="99"/>
      <c r="P50" s="99"/>
      <c r="Q50" s="99"/>
      <c r="R50" s="99"/>
      <c r="S50" s="99"/>
      <c r="T50" s="99"/>
      <c r="U50" s="99"/>
      <c r="V50" s="99"/>
      <c r="W50" s="99"/>
      <c r="X50" s="99"/>
      <c r="Y50" s="99"/>
      <c r="Z50" s="99"/>
      <c r="AA50" s="99"/>
      <c r="AB50" s="99"/>
      <c r="AC50" s="99"/>
      <c r="AD50" s="99"/>
      <c r="AE50" s="99"/>
      <c r="AF50" s="99"/>
      <c r="AG50" s="99"/>
      <c r="AH50" s="99"/>
      <c r="AI50" s="99"/>
      <c r="AJ50" s="99"/>
      <c r="AK50" s="99"/>
      <c r="AL50" s="99"/>
      <c r="AM50" s="99"/>
      <c r="AN50" s="99"/>
      <c r="AO50" s="99"/>
    </row>
    <row r="51" spans="1:41" s="79" customFormat="1" ht="26.25" customHeight="1">
      <c r="A51" s="74"/>
      <c r="B51" s="74"/>
      <c r="C51" s="600"/>
      <c r="D51" s="600"/>
      <c r="E51" s="600"/>
      <c r="F51" s="98"/>
      <c r="G51" s="98"/>
      <c r="H51" s="96"/>
      <c r="I51" s="74"/>
      <c r="L51" s="99"/>
      <c r="M51" s="99"/>
      <c r="N51" s="99"/>
      <c r="O51" s="99"/>
      <c r="P51" s="99"/>
      <c r="Q51" s="99"/>
      <c r="R51" s="99"/>
      <c r="S51" s="99"/>
      <c r="T51" s="99"/>
      <c r="U51" s="99"/>
      <c r="V51" s="99"/>
      <c r="W51" s="99"/>
      <c r="X51" s="99"/>
      <c r="Y51" s="99"/>
      <c r="Z51" s="99"/>
      <c r="AA51" s="99"/>
      <c r="AB51" s="99"/>
      <c r="AC51" s="99"/>
      <c r="AD51" s="99"/>
      <c r="AE51" s="99"/>
      <c r="AF51" s="99"/>
      <c r="AG51" s="99"/>
      <c r="AH51" s="99"/>
      <c r="AI51" s="99"/>
      <c r="AJ51" s="99"/>
      <c r="AK51" s="99"/>
      <c r="AL51" s="99"/>
      <c r="AM51" s="99"/>
      <c r="AN51" s="99"/>
      <c r="AO51" s="99"/>
    </row>
    <row r="52" spans="1:41" s="79" customFormat="1" ht="15.5">
      <c r="A52" s="74"/>
      <c r="B52" s="74"/>
      <c r="C52" s="600"/>
      <c r="D52" s="600"/>
      <c r="E52" s="600"/>
      <c r="F52" s="98"/>
      <c r="G52" s="98"/>
      <c r="H52" s="96"/>
      <c r="I52" s="74"/>
      <c r="L52" s="99"/>
      <c r="M52" s="99"/>
      <c r="N52" s="99"/>
      <c r="O52" s="99"/>
      <c r="P52" s="99"/>
      <c r="Q52" s="99"/>
      <c r="R52" s="99"/>
      <c r="S52" s="99"/>
      <c r="T52" s="99"/>
      <c r="U52" s="99"/>
      <c r="V52" s="99"/>
      <c r="W52" s="99"/>
      <c r="X52" s="99"/>
      <c r="Y52" s="99"/>
      <c r="Z52" s="99"/>
      <c r="AA52" s="99"/>
      <c r="AB52" s="99"/>
      <c r="AC52" s="99"/>
      <c r="AD52" s="99"/>
      <c r="AE52" s="99"/>
      <c r="AF52" s="99"/>
      <c r="AG52" s="99"/>
      <c r="AH52" s="99"/>
      <c r="AI52" s="99"/>
      <c r="AJ52" s="99"/>
      <c r="AK52" s="99"/>
      <c r="AL52" s="99"/>
      <c r="AM52" s="99"/>
      <c r="AN52" s="99"/>
      <c r="AO52" s="99"/>
    </row>
    <row r="53" spans="1:41" s="79" customFormat="1" ht="15.5">
      <c r="A53" s="74"/>
      <c r="B53" s="74"/>
      <c r="C53" s="600"/>
      <c r="D53" s="600"/>
      <c r="E53" s="600"/>
      <c r="F53" s="98"/>
      <c r="G53" s="98"/>
      <c r="H53" s="96"/>
      <c r="I53" s="74"/>
      <c r="L53" s="99"/>
      <c r="M53" s="99"/>
      <c r="N53" s="99"/>
      <c r="O53" s="99"/>
      <c r="P53" s="99"/>
      <c r="Q53" s="99"/>
      <c r="R53" s="99"/>
      <c r="S53" s="99"/>
      <c r="T53" s="99"/>
      <c r="U53" s="99"/>
      <c r="V53" s="99"/>
      <c r="W53" s="99"/>
      <c r="X53" s="99"/>
      <c r="Y53" s="99"/>
      <c r="Z53" s="99"/>
      <c r="AA53" s="99"/>
      <c r="AB53" s="99"/>
      <c r="AC53" s="99"/>
      <c r="AD53" s="99"/>
      <c r="AE53" s="99"/>
      <c r="AF53" s="99"/>
      <c r="AG53" s="99"/>
      <c r="AH53" s="99"/>
      <c r="AI53" s="99"/>
      <c r="AJ53" s="99"/>
      <c r="AK53" s="99"/>
      <c r="AL53" s="99"/>
      <c r="AM53" s="99"/>
      <c r="AN53" s="99"/>
      <c r="AO53" s="99"/>
    </row>
    <row r="54" spans="1:41" s="79" customFormat="1" ht="15.5">
      <c r="A54" s="74"/>
      <c r="B54" s="74"/>
      <c r="C54" s="600"/>
      <c r="D54" s="600"/>
      <c r="E54" s="600"/>
      <c r="F54" s="98"/>
      <c r="G54" s="98"/>
      <c r="H54" s="96"/>
      <c r="I54" s="74"/>
      <c r="L54" s="99"/>
      <c r="M54" s="99"/>
      <c r="N54" s="99"/>
      <c r="O54" s="99"/>
      <c r="P54" s="99"/>
      <c r="Q54" s="99"/>
      <c r="R54" s="99"/>
      <c r="S54" s="99"/>
      <c r="T54" s="99"/>
      <c r="U54" s="99"/>
      <c r="V54" s="99"/>
      <c r="W54" s="99"/>
      <c r="X54" s="99"/>
      <c r="Y54" s="99"/>
      <c r="Z54" s="99"/>
      <c r="AA54" s="99"/>
      <c r="AB54" s="99"/>
      <c r="AC54" s="99"/>
      <c r="AD54" s="99"/>
      <c r="AE54" s="99"/>
      <c r="AF54" s="99"/>
      <c r="AG54" s="99"/>
      <c r="AH54" s="99"/>
      <c r="AI54" s="99"/>
      <c r="AJ54" s="99"/>
      <c r="AK54" s="99"/>
      <c r="AL54" s="99"/>
      <c r="AM54" s="99"/>
      <c r="AN54" s="99"/>
      <c r="AO54" s="99"/>
    </row>
    <row r="55" spans="1:41" s="79" customFormat="1" ht="15.5">
      <c r="A55" s="74"/>
      <c r="B55" s="74"/>
      <c r="C55" s="600"/>
      <c r="D55" s="600"/>
      <c r="E55" s="600"/>
      <c r="F55" s="98"/>
      <c r="G55" s="98"/>
      <c r="H55" s="96"/>
      <c r="I55" s="74"/>
      <c r="L55" s="99"/>
      <c r="M55" s="99"/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9"/>
      <c r="Y55" s="99"/>
      <c r="Z55" s="99"/>
      <c r="AA55" s="99"/>
      <c r="AB55" s="99"/>
      <c r="AC55" s="99"/>
      <c r="AD55" s="99"/>
      <c r="AE55" s="99"/>
      <c r="AF55" s="99"/>
      <c r="AG55" s="99"/>
      <c r="AH55" s="99"/>
      <c r="AI55" s="99"/>
      <c r="AJ55" s="99"/>
      <c r="AK55" s="99"/>
      <c r="AL55" s="99"/>
      <c r="AM55" s="99"/>
      <c r="AN55" s="99"/>
      <c r="AO55" s="99"/>
    </row>
    <row r="56" spans="1:41" s="79" customFormat="1" ht="15.5">
      <c r="A56" s="74"/>
      <c r="B56" s="74"/>
      <c r="C56" s="600"/>
      <c r="D56" s="600"/>
      <c r="E56" s="600"/>
      <c r="F56" s="98"/>
      <c r="G56" s="98"/>
      <c r="H56" s="96"/>
      <c r="I56" s="74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  <c r="AA56" s="99"/>
      <c r="AB56" s="99"/>
      <c r="AC56" s="99"/>
      <c r="AD56" s="99"/>
      <c r="AE56" s="99"/>
      <c r="AF56" s="99"/>
      <c r="AG56" s="99"/>
      <c r="AH56" s="99"/>
      <c r="AI56" s="99"/>
      <c r="AJ56" s="99"/>
      <c r="AK56" s="99"/>
      <c r="AL56" s="99"/>
      <c r="AM56" s="99"/>
      <c r="AN56" s="99"/>
      <c r="AO56" s="99"/>
    </row>
    <row r="57" spans="1:41" s="79" customFormat="1" ht="30.75" customHeight="1">
      <c r="A57" s="74"/>
      <c r="B57" s="74"/>
      <c r="C57" s="600"/>
      <c r="D57" s="600"/>
      <c r="E57" s="600"/>
      <c r="F57" s="98"/>
      <c r="G57" s="98"/>
      <c r="H57" s="96"/>
      <c r="I57" s="74"/>
      <c r="L57" s="99"/>
      <c r="M57" s="99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  <c r="Y57" s="99"/>
      <c r="Z57" s="99"/>
      <c r="AA57" s="99"/>
      <c r="AB57" s="99"/>
      <c r="AC57" s="99"/>
      <c r="AD57" s="99"/>
      <c r="AE57" s="99"/>
      <c r="AF57" s="99"/>
      <c r="AG57" s="99"/>
      <c r="AH57" s="99"/>
      <c r="AI57" s="99"/>
      <c r="AJ57" s="99"/>
      <c r="AK57" s="99"/>
      <c r="AL57" s="99"/>
      <c r="AM57" s="99"/>
      <c r="AN57" s="99"/>
      <c r="AO57" s="99"/>
    </row>
    <row r="58" spans="1:41" s="79" customFormat="1" ht="15.5">
      <c r="A58" s="74"/>
      <c r="B58" s="74"/>
      <c r="C58" s="600"/>
      <c r="D58" s="600"/>
      <c r="E58" s="600"/>
      <c r="F58" s="98"/>
      <c r="G58" s="98"/>
      <c r="H58" s="96"/>
      <c r="I58" s="74"/>
      <c r="L58" s="99"/>
      <c r="M58" s="99"/>
      <c r="N58" s="99"/>
      <c r="O58" s="99"/>
      <c r="P58" s="99"/>
      <c r="Q58" s="99"/>
      <c r="R58" s="99"/>
      <c r="S58" s="99"/>
      <c r="T58" s="99"/>
      <c r="U58" s="99"/>
      <c r="V58" s="99"/>
      <c r="W58" s="99"/>
      <c r="X58" s="99"/>
      <c r="Y58" s="99"/>
      <c r="Z58" s="99"/>
      <c r="AA58" s="99"/>
      <c r="AB58" s="99"/>
      <c r="AC58" s="99"/>
      <c r="AD58" s="99"/>
      <c r="AE58" s="99"/>
      <c r="AF58" s="99"/>
      <c r="AG58" s="99"/>
      <c r="AH58" s="99"/>
      <c r="AI58" s="99"/>
      <c r="AJ58" s="99"/>
      <c r="AK58" s="99"/>
      <c r="AL58" s="99"/>
      <c r="AM58" s="99"/>
      <c r="AN58" s="99"/>
      <c r="AO58" s="99"/>
    </row>
    <row r="59" spans="1:41" s="79" customFormat="1" ht="15.5">
      <c r="A59" s="74"/>
      <c r="B59" s="74"/>
      <c r="C59" s="600"/>
      <c r="D59" s="600"/>
      <c r="E59" s="600"/>
      <c r="F59" s="98"/>
      <c r="G59" s="98"/>
      <c r="H59" s="96"/>
      <c r="I59" s="74"/>
      <c r="L59" s="99"/>
      <c r="M59" s="99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  <c r="Z59" s="99"/>
      <c r="AA59" s="99"/>
      <c r="AB59" s="99"/>
      <c r="AC59" s="99"/>
      <c r="AD59" s="99"/>
      <c r="AE59" s="99"/>
      <c r="AF59" s="99"/>
      <c r="AG59" s="99"/>
      <c r="AH59" s="99"/>
      <c r="AI59" s="99"/>
      <c r="AJ59" s="99"/>
      <c r="AK59" s="99"/>
      <c r="AL59" s="99"/>
      <c r="AM59" s="99"/>
      <c r="AN59" s="99"/>
      <c r="AO59" s="99"/>
    </row>
    <row r="60" spans="1:41" s="79" customFormat="1" ht="15.5">
      <c r="A60" s="74"/>
      <c r="B60" s="74"/>
      <c r="C60" s="600"/>
      <c r="D60" s="600"/>
      <c r="E60" s="600"/>
      <c r="F60" s="98"/>
      <c r="G60" s="98"/>
      <c r="H60" s="96"/>
      <c r="I60" s="74"/>
      <c r="L60" s="99"/>
      <c r="M60" s="99"/>
      <c r="N60" s="99"/>
      <c r="O60" s="99"/>
      <c r="P60" s="99"/>
      <c r="Q60" s="99"/>
      <c r="R60" s="99"/>
      <c r="S60" s="99"/>
      <c r="T60" s="99"/>
      <c r="U60" s="99"/>
      <c r="V60" s="99"/>
      <c r="W60" s="99"/>
      <c r="X60" s="99"/>
      <c r="Y60" s="99"/>
      <c r="Z60" s="99"/>
      <c r="AA60" s="99"/>
      <c r="AB60" s="99"/>
      <c r="AC60" s="99"/>
      <c r="AD60" s="99"/>
      <c r="AE60" s="99"/>
      <c r="AF60" s="99"/>
      <c r="AG60" s="99"/>
      <c r="AH60" s="99"/>
      <c r="AI60" s="99"/>
      <c r="AJ60" s="99"/>
      <c r="AK60" s="99"/>
      <c r="AL60" s="99"/>
      <c r="AM60" s="99"/>
      <c r="AN60" s="99"/>
      <c r="AO60" s="99"/>
    </row>
    <row r="61" spans="1:41" s="79" customFormat="1" ht="15.5">
      <c r="A61" s="74"/>
      <c r="B61" s="74"/>
      <c r="C61" s="600"/>
      <c r="D61" s="600"/>
      <c r="E61" s="600"/>
      <c r="F61" s="98"/>
      <c r="G61" s="98"/>
      <c r="H61" s="96"/>
      <c r="I61" s="74"/>
      <c r="L61" s="99"/>
      <c r="M61" s="99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99"/>
      <c r="Z61" s="99"/>
      <c r="AA61" s="99"/>
      <c r="AB61" s="99"/>
      <c r="AC61" s="99"/>
      <c r="AD61" s="99"/>
      <c r="AE61" s="99"/>
      <c r="AF61" s="99"/>
      <c r="AG61" s="99"/>
      <c r="AH61" s="99"/>
      <c r="AI61" s="99"/>
      <c r="AJ61" s="99"/>
      <c r="AK61" s="99"/>
      <c r="AL61" s="99"/>
      <c r="AM61" s="99"/>
      <c r="AN61" s="99"/>
      <c r="AO61" s="99"/>
    </row>
    <row r="62" spans="1:41" s="79" customFormat="1" ht="15.5">
      <c r="A62" s="74"/>
      <c r="B62" s="74"/>
      <c r="C62" s="600"/>
      <c r="D62" s="600"/>
      <c r="E62" s="600"/>
      <c r="F62" s="98"/>
      <c r="G62" s="98"/>
      <c r="H62" s="96"/>
      <c r="I62" s="74"/>
      <c r="L62" s="99"/>
      <c r="M62" s="99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99"/>
      <c r="Z62" s="99"/>
      <c r="AA62" s="99"/>
      <c r="AB62" s="99"/>
      <c r="AC62" s="99"/>
      <c r="AD62" s="99"/>
      <c r="AE62" s="99"/>
      <c r="AF62" s="99"/>
      <c r="AG62" s="99"/>
      <c r="AH62" s="99"/>
      <c r="AI62" s="99"/>
      <c r="AJ62" s="99"/>
      <c r="AK62" s="99"/>
      <c r="AL62" s="99"/>
      <c r="AM62" s="99"/>
      <c r="AN62" s="99"/>
      <c r="AO62" s="99"/>
    </row>
    <row r="63" spans="1:41" s="79" customFormat="1" ht="15.5">
      <c r="A63" s="74"/>
      <c r="B63" s="74"/>
      <c r="C63" s="600"/>
      <c r="D63" s="600"/>
      <c r="E63" s="600"/>
      <c r="F63" s="98"/>
      <c r="G63" s="98"/>
      <c r="H63" s="96"/>
      <c r="I63" s="74"/>
      <c r="L63" s="99"/>
      <c r="M63" s="99"/>
      <c r="N63" s="99"/>
      <c r="O63" s="99"/>
      <c r="P63" s="99"/>
      <c r="Q63" s="99"/>
      <c r="R63" s="99"/>
      <c r="S63" s="99"/>
      <c r="T63" s="99"/>
      <c r="U63" s="99"/>
      <c r="V63" s="99"/>
      <c r="W63" s="99"/>
      <c r="X63" s="99"/>
      <c r="Y63" s="99"/>
      <c r="Z63" s="99"/>
      <c r="AA63" s="99"/>
      <c r="AB63" s="99"/>
      <c r="AC63" s="99"/>
      <c r="AD63" s="99"/>
      <c r="AE63" s="99"/>
      <c r="AF63" s="99"/>
      <c r="AG63" s="99"/>
      <c r="AH63" s="99"/>
      <c r="AI63" s="99"/>
      <c r="AJ63" s="99"/>
      <c r="AK63" s="99"/>
      <c r="AL63" s="99"/>
      <c r="AM63" s="99"/>
      <c r="AN63" s="99"/>
      <c r="AO63" s="99"/>
    </row>
    <row r="64" spans="1:41" s="79" customFormat="1" ht="15.5">
      <c r="A64" s="74"/>
      <c r="B64" s="74"/>
      <c r="C64" s="600"/>
      <c r="D64" s="600"/>
      <c r="E64" s="600"/>
      <c r="F64" s="98"/>
      <c r="G64" s="98"/>
      <c r="H64" s="96"/>
      <c r="I64" s="74"/>
      <c r="L64" s="99"/>
      <c r="M64" s="99"/>
      <c r="N64" s="99"/>
      <c r="O64" s="99"/>
      <c r="P64" s="99"/>
      <c r="Q64" s="99"/>
      <c r="R64" s="99"/>
      <c r="S64" s="99"/>
      <c r="T64" s="99"/>
      <c r="U64" s="99"/>
      <c r="V64" s="99"/>
      <c r="W64" s="99"/>
      <c r="X64" s="99"/>
      <c r="Y64" s="99"/>
      <c r="Z64" s="99"/>
      <c r="AA64" s="99"/>
      <c r="AB64" s="99"/>
      <c r="AC64" s="99"/>
      <c r="AD64" s="99"/>
      <c r="AE64" s="99"/>
      <c r="AF64" s="99"/>
      <c r="AG64" s="99"/>
      <c r="AH64" s="99"/>
      <c r="AI64" s="99"/>
      <c r="AJ64" s="99"/>
      <c r="AK64" s="99"/>
      <c r="AL64" s="99"/>
      <c r="AM64" s="99"/>
      <c r="AN64" s="99"/>
      <c r="AO64" s="99"/>
    </row>
    <row r="65" spans="1:41" s="79" customFormat="1" ht="15.5">
      <c r="A65" s="74"/>
      <c r="B65" s="74"/>
      <c r="C65" s="600"/>
      <c r="D65" s="600"/>
      <c r="E65" s="600"/>
      <c r="F65" s="98"/>
      <c r="G65" s="98"/>
      <c r="H65" s="96"/>
      <c r="I65" s="74"/>
      <c r="L65" s="99"/>
      <c r="M65" s="99"/>
      <c r="N65" s="99"/>
      <c r="O65" s="99"/>
      <c r="P65" s="99"/>
      <c r="Q65" s="99"/>
      <c r="R65" s="99"/>
      <c r="S65" s="99"/>
      <c r="T65" s="99"/>
      <c r="U65" s="99"/>
      <c r="V65" s="99"/>
      <c r="W65" s="99"/>
      <c r="X65" s="99"/>
      <c r="Y65" s="99"/>
      <c r="Z65" s="99"/>
      <c r="AA65" s="99"/>
      <c r="AB65" s="99"/>
      <c r="AC65" s="99"/>
      <c r="AD65" s="99"/>
      <c r="AE65" s="99"/>
      <c r="AF65" s="99"/>
      <c r="AG65" s="99"/>
      <c r="AH65" s="99"/>
      <c r="AI65" s="99"/>
      <c r="AJ65" s="99"/>
      <c r="AK65" s="99"/>
      <c r="AL65" s="99"/>
      <c r="AM65" s="99"/>
      <c r="AN65" s="99"/>
      <c r="AO65" s="99"/>
    </row>
    <row r="66" spans="1:41" s="79" customFormat="1" ht="15.5">
      <c r="A66" s="74"/>
      <c r="B66" s="74"/>
      <c r="C66" s="600"/>
      <c r="D66" s="600"/>
      <c r="E66" s="600"/>
      <c r="F66" s="98"/>
      <c r="G66" s="98"/>
      <c r="H66" s="96"/>
      <c r="I66" s="74"/>
      <c r="L66" s="99"/>
      <c r="M66" s="99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99"/>
      <c r="Z66" s="99"/>
      <c r="AA66" s="99"/>
      <c r="AB66" s="99"/>
      <c r="AC66" s="99"/>
      <c r="AD66" s="99"/>
      <c r="AE66" s="99"/>
      <c r="AF66" s="99"/>
      <c r="AG66" s="99"/>
      <c r="AH66" s="99"/>
      <c r="AI66" s="99"/>
      <c r="AJ66" s="99"/>
      <c r="AK66" s="99"/>
      <c r="AL66" s="99"/>
      <c r="AM66" s="99"/>
      <c r="AN66" s="99"/>
      <c r="AO66" s="99"/>
    </row>
    <row r="67" spans="1:41" s="79" customFormat="1" ht="15.5">
      <c r="A67" s="74"/>
      <c r="B67" s="74"/>
      <c r="C67" s="600"/>
      <c r="D67" s="600"/>
      <c r="E67" s="600"/>
      <c r="F67" s="98"/>
      <c r="G67" s="98"/>
      <c r="H67" s="96"/>
      <c r="I67" s="74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99"/>
      <c r="Z67" s="99"/>
      <c r="AA67" s="99"/>
      <c r="AB67" s="99"/>
      <c r="AC67" s="99"/>
      <c r="AD67" s="99"/>
      <c r="AE67" s="99"/>
      <c r="AF67" s="99"/>
      <c r="AG67" s="99"/>
      <c r="AH67" s="99"/>
      <c r="AI67" s="99"/>
      <c r="AJ67" s="99"/>
      <c r="AK67" s="99"/>
      <c r="AL67" s="99"/>
      <c r="AM67" s="99"/>
      <c r="AN67" s="99"/>
      <c r="AO67" s="99"/>
    </row>
    <row r="68" spans="1:41" s="79" customFormat="1" ht="15.5">
      <c r="A68" s="74"/>
      <c r="B68" s="74"/>
      <c r="C68" s="600"/>
      <c r="D68" s="600"/>
      <c r="E68" s="600"/>
      <c r="F68" s="98"/>
      <c r="G68" s="98"/>
      <c r="H68" s="96"/>
      <c r="I68" s="74"/>
      <c r="L68" s="99"/>
      <c r="M68" s="99"/>
      <c r="N68" s="99"/>
      <c r="O68" s="99"/>
      <c r="P68" s="99"/>
      <c r="Q68" s="99"/>
      <c r="R68" s="99"/>
      <c r="S68" s="99"/>
      <c r="T68" s="99"/>
      <c r="U68" s="99"/>
      <c r="V68" s="99"/>
      <c r="W68" s="99"/>
      <c r="X68" s="99"/>
      <c r="Y68" s="99"/>
      <c r="Z68" s="99"/>
      <c r="AA68" s="99"/>
      <c r="AB68" s="99"/>
      <c r="AC68" s="99"/>
      <c r="AD68" s="99"/>
      <c r="AE68" s="99"/>
      <c r="AF68" s="99"/>
      <c r="AG68" s="99"/>
      <c r="AH68" s="99"/>
      <c r="AI68" s="99"/>
      <c r="AJ68" s="99"/>
      <c r="AK68" s="99"/>
      <c r="AL68" s="99"/>
      <c r="AM68" s="99"/>
      <c r="AN68" s="99"/>
      <c r="AO68" s="99"/>
    </row>
    <row r="69" spans="1:41" s="79" customFormat="1" ht="15.5">
      <c r="A69" s="74"/>
      <c r="B69" s="74"/>
      <c r="C69" s="600"/>
      <c r="D69" s="600"/>
      <c r="E69" s="600"/>
      <c r="F69" s="98"/>
      <c r="G69" s="98"/>
      <c r="H69" s="96"/>
      <c r="I69" s="74"/>
      <c r="L69" s="99"/>
      <c r="M69" s="99"/>
      <c r="N69" s="99"/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99"/>
      <c r="Z69" s="99"/>
      <c r="AA69" s="99"/>
      <c r="AB69" s="99"/>
      <c r="AC69" s="99"/>
      <c r="AD69" s="99"/>
      <c r="AE69" s="99"/>
      <c r="AF69" s="99"/>
      <c r="AG69" s="99"/>
      <c r="AH69" s="99"/>
      <c r="AI69" s="99"/>
      <c r="AJ69" s="99"/>
      <c r="AK69" s="99"/>
      <c r="AL69" s="99"/>
      <c r="AM69" s="99"/>
      <c r="AN69" s="99"/>
      <c r="AO69" s="99"/>
    </row>
    <row r="70" spans="1:41" s="79" customFormat="1" ht="15.5">
      <c r="A70" s="74"/>
      <c r="B70" s="74"/>
      <c r="C70" s="600"/>
      <c r="D70" s="600"/>
      <c r="E70" s="600"/>
      <c r="F70" s="98"/>
      <c r="G70" s="98"/>
      <c r="H70" s="96"/>
      <c r="I70" s="74"/>
      <c r="L70" s="99"/>
      <c r="M70" s="99"/>
      <c r="N70" s="99"/>
      <c r="O70" s="99"/>
      <c r="P70" s="99"/>
      <c r="Q70" s="99"/>
      <c r="R70" s="99"/>
      <c r="S70" s="99"/>
      <c r="T70" s="99"/>
      <c r="U70" s="99"/>
      <c r="V70" s="99"/>
      <c r="W70" s="99"/>
      <c r="X70" s="99"/>
      <c r="Y70" s="99"/>
      <c r="Z70" s="99"/>
      <c r="AA70" s="99"/>
      <c r="AB70" s="99"/>
      <c r="AC70" s="99"/>
      <c r="AD70" s="99"/>
      <c r="AE70" s="99"/>
      <c r="AF70" s="99"/>
      <c r="AG70" s="99"/>
      <c r="AH70" s="99"/>
      <c r="AI70" s="99"/>
      <c r="AJ70" s="99"/>
      <c r="AK70" s="99"/>
      <c r="AL70" s="99"/>
      <c r="AM70" s="99"/>
      <c r="AN70" s="99"/>
      <c r="AO70" s="99"/>
    </row>
    <row r="71" spans="1:41" s="79" customFormat="1" ht="15.5">
      <c r="A71" s="74"/>
      <c r="B71" s="74"/>
      <c r="C71" s="600"/>
      <c r="D71" s="600"/>
      <c r="E71" s="600"/>
      <c r="F71" s="98"/>
      <c r="G71" s="98"/>
      <c r="H71" s="96"/>
      <c r="I71" s="74"/>
      <c r="L71" s="99"/>
      <c r="M71" s="99"/>
      <c r="N71" s="99"/>
      <c r="O71" s="99"/>
      <c r="P71" s="99"/>
      <c r="Q71" s="99"/>
      <c r="R71" s="99"/>
      <c r="S71" s="99"/>
      <c r="T71" s="99"/>
      <c r="U71" s="99"/>
      <c r="V71" s="99"/>
      <c r="W71" s="99"/>
      <c r="X71" s="99"/>
      <c r="Y71" s="99"/>
      <c r="Z71" s="99"/>
      <c r="AA71" s="99"/>
      <c r="AB71" s="99"/>
      <c r="AC71" s="99"/>
      <c r="AD71" s="99"/>
      <c r="AE71" s="99"/>
      <c r="AF71" s="99"/>
      <c r="AG71" s="99"/>
      <c r="AH71" s="99"/>
      <c r="AI71" s="99"/>
      <c r="AJ71" s="99"/>
      <c r="AK71" s="99"/>
      <c r="AL71" s="99"/>
      <c r="AM71" s="99"/>
      <c r="AN71" s="99"/>
      <c r="AO71" s="99"/>
    </row>
    <row r="72" spans="1:41" s="87" customFormat="1" ht="13">
      <c r="A72" s="80"/>
      <c r="B72" s="80"/>
      <c r="C72" s="600"/>
      <c r="D72" s="600"/>
      <c r="E72" s="600"/>
      <c r="F72" s="102"/>
      <c r="G72" s="102"/>
      <c r="H72" s="102"/>
      <c r="I72" s="74"/>
      <c r="L72" s="103"/>
      <c r="M72" s="103"/>
      <c r="N72" s="103"/>
      <c r="O72" s="103"/>
      <c r="P72" s="103"/>
      <c r="Q72" s="103"/>
      <c r="R72" s="103"/>
      <c r="S72" s="103"/>
      <c r="T72" s="103"/>
      <c r="U72" s="103"/>
      <c r="V72" s="103"/>
      <c r="W72" s="103"/>
      <c r="X72" s="103"/>
      <c r="Y72" s="103"/>
      <c r="Z72" s="103"/>
      <c r="AA72" s="103"/>
      <c r="AB72" s="103"/>
      <c r="AC72" s="103"/>
      <c r="AD72" s="103"/>
      <c r="AE72" s="103"/>
      <c r="AF72" s="103"/>
      <c r="AG72" s="103"/>
      <c r="AH72" s="103"/>
      <c r="AI72" s="103"/>
      <c r="AJ72" s="103"/>
      <c r="AK72" s="103"/>
      <c r="AL72" s="103"/>
      <c r="AM72" s="103"/>
      <c r="AN72" s="103"/>
      <c r="AO72" s="103"/>
    </row>
    <row r="73" spans="1:41" s="79" customFormat="1" ht="15.5">
      <c r="A73" s="74"/>
      <c r="B73" s="74"/>
      <c r="C73" s="600"/>
      <c r="D73" s="600"/>
      <c r="E73" s="600"/>
      <c r="F73" s="98"/>
      <c r="G73" s="98"/>
      <c r="H73" s="98"/>
      <c r="I73" s="74"/>
      <c r="L73" s="99"/>
      <c r="M73" s="99"/>
      <c r="N73" s="99"/>
      <c r="O73" s="99"/>
      <c r="P73" s="99"/>
      <c r="Q73" s="99"/>
      <c r="R73" s="99"/>
      <c r="S73" s="99"/>
      <c r="T73" s="99"/>
      <c r="U73" s="99"/>
      <c r="V73" s="99"/>
      <c r="W73" s="99"/>
      <c r="X73" s="99"/>
      <c r="Y73" s="99"/>
      <c r="Z73" s="99"/>
      <c r="AA73" s="99"/>
      <c r="AB73" s="99"/>
      <c r="AC73" s="99"/>
      <c r="AD73" s="99"/>
      <c r="AE73" s="99"/>
      <c r="AF73" s="99"/>
      <c r="AG73" s="99"/>
      <c r="AH73" s="99"/>
      <c r="AI73" s="99"/>
      <c r="AJ73" s="99"/>
      <c r="AK73" s="99"/>
      <c r="AL73" s="99"/>
      <c r="AM73" s="99"/>
      <c r="AN73" s="99"/>
      <c r="AO73" s="99"/>
    </row>
    <row r="74" spans="1:41" s="79" customFormat="1" ht="15.5">
      <c r="A74" s="74"/>
      <c r="B74" s="74"/>
      <c r="C74" s="600"/>
      <c r="D74" s="600"/>
      <c r="E74" s="600"/>
      <c r="F74" s="98"/>
      <c r="G74" s="98"/>
      <c r="H74" s="98"/>
      <c r="I74" s="74"/>
      <c r="L74" s="99"/>
      <c r="M74" s="99"/>
      <c r="N74" s="99"/>
      <c r="O74" s="99"/>
      <c r="P74" s="99"/>
      <c r="Q74" s="99"/>
      <c r="R74" s="99"/>
      <c r="S74" s="99"/>
      <c r="T74" s="99"/>
      <c r="U74" s="99"/>
      <c r="V74" s="99"/>
      <c r="W74" s="99"/>
      <c r="X74" s="99"/>
      <c r="Y74" s="99"/>
      <c r="Z74" s="99"/>
      <c r="AA74" s="99"/>
      <c r="AB74" s="99"/>
      <c r="AC74" s="99"/>
      <c r="AD74" s="99"/>
      <c r="AE74" s="99"/>
      <c r="AF74" s="99"/>
      <c r="AG74" s="99"/>
      <c r="AH74" s="99"/>
      <c r="AI74" s="99"/>
      <c r="AJ74" s="99"/>
      <c r="AK74" s="99"/>
      <c r="AL74" s="99"/>
      <c r="AM74" s="99"/>
      <c r="AN74" s="99"/>
      <c r="AO74" s="99"/>
    </row>
    <row r="75" spans="1:41" s="79" customFormat="1" ht="18" customHeight="1">
      <c r="A75" s="80"/>
      <c r="B75" s="80"/>
      <c r="C75" s="600"/>
      <c r="D75" s="600"/>
      <c r="E75" s="600"/>
      <c r="F75" s="100"/>
      <c r="G75" s="100"/>
      <c r="H75" s="100"/>
      <c r="I75" s="80"/>
      <c r="L75" s="99"/>
      <c r="M75" s="99"/>
      <c r="N75" s="99"/>
      <c r="O75" s="99"/>
      <c r="P75" s="99"/>
      <c r="Q75" s="99"/>
      <c r="R75" s="99"/>
      <c r="S75" s="99"/>
      <c r="T75" s="99"/>
      <c r="U75" s="99"/>
      <c r="V75" s="99"/>
      <c r="W75" s="99"/>
      <c r="X75" s="99"/>
      <c r="Y75" s="99"/>
      <c r="Z75" s="99"/>
      <c r="AA75" s="99"/>
      <c r="AB75" s="99"/>
      <c r="AC75" s="99"/>
      <c r="AD75" s="99"/>
      <c r="AE75" s="99"/>
      <c r="AF75" s="99"/>
      <c r="AG75" s="99"/>
      <c r="AH75" s="99"/>
      <c r="AI75" s="99"/>
      <c r="AJ75" s="99"/>
      <c r="AK75" s="99"/>
      <c r="AL75" s="99"/>
      <c r="AM75" s="99"/>
      <c r="AN75" s="99"/>
      <c r="AO75" s="99"/>
    </row>
    <row r="76" spans="1:41" s="79" customFormat="1" ht="15.5">
      <c r="A76" s="80"/>
      <c r="B76" s="74"/>
      <c r="C76" s="601"/>
      <c r="D76" s="601"/>
      <c r="E76" s="80"/>
      <c r="F76" s="100"/>
      <c r="G76" s="100"/>
      <c r="H76" s="100"/>
      <c r="I76" s="74"/>
      <c r="L76" s="99"/>
      <c r="M76" s="99"/>
      <c r="N76" s="99"/>
      <c r="O76" s="99"/>
      <c r="P76" s="99"/>
      <c r="Q76" s="99"/>
      <c r="R76" s="99"/>
      <c r="S76" s="99"/>
      <c r="T76" s="99"/>
      <c r="U76" s="99"/>
      <c r="V76" s="99"/>
      <c r="W76" s="99"/>
      <c r="X76" s="99"/>
      <c r="Y76" s="99"/>
      <c r="Z76" s="99"/>
      <c r="AA76" s="99"/>
      <c r="AB76" s="99"/>
      <c r="AC76" s="99"/>
      <c r="AD76" s="99"/>
      <c r="AE76" s="99"/>
      <c r="AF76" s="99"/>
      <c r="AG76" s="99"/>
      <c r="AH76" s="99"/>
      <c r="AI76" s="99"/>
      <c r="AJ76" s="99"/>
      <c r="AK76" s="99"/>
      <c r="AL76" s="99"/>
      <c r="AM76" s="99"/>
      <c r="AN76" s="99"/>
      <c r="AO76" s="99"/>
    </row>
    <row r="77" spans="1:41" s="79" customFormat="1" ht="15.5">
      <c r="A77" s="74"/>
      <c r="B77" s="100"/>
      <c r="C77" s="600"/>
      <c r="D77" s="600"/>
      <c r="E77" s="74"/>
      <c r="F77" s="84"/>
      <c r="G77" s="84"/>
      <c r="H77" s="87"/>
      <c r="I77" s="74"/>
      <c r="L77" s="99"/>
      <c r="M77" s="99"/>
      <c r="N77" s="99"/>
      <c r="O77" s="99"/>
      <c r="P77" s="99"/>
      <c r="Q77" s="99"/>
      <c r="R77" s="99"/>
      <c r="S77" s="99"/>
      <c r="T77" s="99"/>
      <c r="U77" s="99"/>
      <c r="V77" s="99"/>
      <c r="W77" s="99"/>
      <c r="X77" s="99"/>
      <c r="Y77" s="99"/>
      <c r="Z77" s="99"/>
      <c r="AA77" s="99"/>
      <c r="AB77" s="99"/>
      <c r="AC77" s="99"/>
      <c r="AD77" s="99"/>
      <c r="AE77" s="99"/>
      <c r="AF77" s="99"/>
      <c r="AG77" s="99"/>
      <c r="AH77" s="99"/>
      <c r="AI77" s="99"/>
      <c r="AJ77" s="99"/>
      <c r="AK77" s="99"/>
      <c r="AL77" s="99"/>
      <c r="AM77" s="99"/>
      <c r="AN77" s="99"/>
      <c r="AO77" s="99"/>
    </row>
    <row r="78" spans="1:41">
      <c r="E78" s="87"/>
      <c r="F78" s="104"/>
      <c r="G78" s="105"/>
      <c r="H78" s="105"/>
      <c r="I78" s="83"/>
      <c r="J78" s="106"/>
      <c r="K78" s="106"/>
      <c r="L78" s="107"/>
      <c r="M78" s="107"/>
      <c r="N78" s="107"/>
      <c r="O78" s="107"/>
      <c r="P78" s="107"/>
      <c r="Q78" s="107"/>
      <c r="R78" s="107"/>
      <c r="S78" s="107"/>
      <c r="T78" s="107"/>
      <c r="U78" s="107"/>
      <c r="V78" s="107"/>
      <c r="W78" s="107"/>
      <c r="X78" s="107"/>
      <c r="Y78" s="107"/>
      <c r="Z78" s="107"/>
      <c r="AA78" s="107"/>
      <c r="AB78" s="107"/>
      <c r="AC78" s="107"/>
      <c r="AD78" s="107"/>
      <c r="AE78" s="107"/>
      <c r="AF78" s="107"/>
      <c r="AG78" s="107"/>
      <c r="AH78" s="107"/>
      <c r="AI78" s="107"/>
      <c r="AJ78" s="107"/>
      <c r="AK78" s="107"/>
      <c r="AL78" s="107"/>
      <c r="AM78" s="107"/>
      <c r="AN78" s="107"/>
      <c r="AO78" s="107"/>
    </row>
    <row r="79" spans="1:41">
      <c r="E79" s="87"/>
      <c r="F79" s="109"/>
      <c r="G79" s="104"/>
      <c r="H79" s="104"/>
      <c r="I79" s="83"/>
      <c r="J79" s="106"/>
      <c r="K79" s="106"/>
      <c r="L79" s="107"/>
      <c r="M79" s="107"/>
      <c r="N79" s="107"/>
      <c r="O79" s="107"/>
      <c r="P79" s="107"/>
      <c r="Q79" s="107"/>
      <c r="R79" s="107"/>
      <c r="S79" s="107"/>
      <c r="T79" s="107"/>
      <c r="U79" s="107"/>
      <c r="V79" s="107"/>
      <c r="W79" s="107"/>
      <c r="X79" s="107"/>
      <c r="Y79" s="107"/>
      <c r="Z79" s="107"/>
      <c r="AA79" s="107"/>
      <c r="AB79" s="107"/>
      <c r="AC79" s="107"/>
      <c r="AD79" s="107"/>
      <c r="AE79" s="107"/>
      <c r="AF79" s="107"/>
      <c r="AG79" s="107"/>
      <c r="AH79" s="107"/>
      <c r="AI79" s="107"/>
      <c r="AJ79" s="107"/>
      <c r="AK79" s="107"/>
      <c r="AL79" s="107"/>
      <c r="AM79" s="107"/>
      <c r="AN79" s="107"/>
      <c r="AO79" s="107"/>
    </row>
    <row r="80" spans="1:41">
      <c r="E80" s="87"/>
      <c r="F80" s="109"/>
      <c r="G80" s="104"/>
      <c r="H80" s="104"/>
      <c r="I80" s="84"/>
      <c r="J80" s="106"/>
      <c r="K80" s="106"/>
      <c r="L80" s="107"/>
      <c r="M80" s="107"/>
      <c r="N80" s="107"/>
      <c r="O80" s="107"/>
      <c r="P80" s="107"/>
      <c r="Q80" s="107"/>
      <c r="R80" s="107"/>
      <c r="S80" s="107"/>
      <c r="T80" s="107"/>
      <c r="U80" s="107"/>
      <c r="V80" s="107"/>
      <c r="W80" s="107"/>
      <c r="X80" s="107"/>
      <c r="Y80" s="107"/>
      <c r="Z80" s="107"/>
      <c r="AA80" s="107"/>
      <c r="AB80" s="107"/>
      <c r="AC80" s="107"/>
      <c r="AD80" s="107"/>
      <c r="AE80" s="107"/>
      <c r="AF80" s="107"/>
      <c r="AG80" s="107"/>
      <c r="AH80" s="107"/>
      <c r="AI80" s="107"/>
      <c r="AJ80" s="107"/>
      <c r="AK80" s="107"/>
      <c r="AL80" s="107"/>
      <c r="AM80" s="107"/>
      <c r="AN80" s="107"/>
      <c r="AO80" s="107"/>
    </row>
    <row r="81" spans="5:41">
      <c r="E81" s="87"/>
      <c r="F81" s="109"/>
      <c r="G81" s="104"/>
      <c r="H81" s="104"/>
      <c r="I81" s="85"/>
      <c r="J81" s="106"/>
      <c r="K81" s="106"/>
      <c r="L81" s="107"/>
      <c r="M81" s="107"/>
      <c r="N81" s="107"/>
      <c r="O81" s="107"/>
      <c r="P81" s="107"/>
      <c r="Q81" s="107"/>
      <c r="R81" s="107"/>
      <c r="S81" s="107"/>
      <c r="T81" s="107"/>
      <c r="U81" s="107"/>
      <c r="V81" s="107"/>
      <c r="W81" s="107"/>
      <c r="X81" s="107"/>
      <c r="Y81" s="107"/>
      <c r="Z81" s="107"/>
      <c r="AA81" s="107"/>
      <c r="AB81" s="107"/>
      <c r="AC81" s="107"/>
      <c r="AD81" s="107"/>
      <c r="AE81" s="107"/>
      <c r="AF81" s="107"/>
      <c r="AG81" s="107"/>
      <c r="AH81" s="107"/>
      <c r="AI81" s="107"/>
      <c r="AJ81" s="107"/>
      <c r="AK81" s="107"/>
      <c r="AL81" s="107"/>
      <c r="AM81" s="107"/>
      <c r="AN81" s="107"/>
      <c r="AO81" s="107"/>
    </row>
    <row r="82" spans="5:41">
      <c r="E82" s="87"/>
      <c r="F82" s="109"/>
      <c r="G82" s="104"/>
      <c r="H82" s="104"/>
      <c r="I82" s="84"/>
      <c r="J82" s="106"/>
      <c r="K82" s="106"/>
      <c r="L82" s="107"/>
      <c r="M82" s="107"/>
      <c r="N82" s="107"/>
      <c r="O82" s="107"/>
      <c r="P82" s="107"/>
      <c r="Q82" s="107"/>
      <c r="R82" s="107"/>
      <c r="S82" s="107"/>
      <c r="T82" s="107"/>
      <c r="U82" s="107"/>
      <c r="V82" s="107"/>
      <c r="W82" s="107"/>
      <c r="X82" s="107"/>
      <c r="Y82" s="107"/>
      <c r="Z82" s="107"/>
      <c r="AA82" s="107"/>
      <c r="AB82" s="107"/>
      <c r="AC82" s="107"/>
      <c r="AD82" s="107"/>
      <c r="AE82" s="107"/>
      <c r="AF82" s="107"/>
      <c r="AG82" s="107"/>
      <c r="AH82" s="107"/>
      <c r="AI82" s="107"/>
      <c r="AJ82" s="107"/>
      <c r="AK82" s="107"/>
      <c r="AL82" s="107"/>
      <c r="AM82" s="107"/>
      <c r="AN82" s="107"/>
      <c r="AO82" s="107"/>
    </row>
    <row r="83" spans="5:41">
      <c r="E83" s="87"/>
      <c r="F83" s="109"/>
      <c r="G83" s="104"/>
      <c r="H83" s="104"/>
      <c r="I83" s="85"/>
      <c r="J83" s="106"/>
      <c r="K83" s="106"/>
      <c r="L83" s="107"/>
      <c r="M83" s="107"/>
      <c r="N83" s="107"/>
      <c r="O83" s="107"/>
      <c r="P83" s="107"/>
      <c r="Q83" s="107"/>
      <c r="R83" s="107"/>
      <c r="S83" s="107"/>
      <c r="T83" s="107"/>
      <c r="U83" s="107"/>
      <c r="V83" s="107"/>
      <c r="W83" s="107"/>
      <c r="X83" s="107"/>
      <c r="Y83" s="107"/>
      <c r="Z83" s="107"/>
      <c r="AA83" s="107"/>
      <c r="AB83" s="107"/>
      <c r="AC83" s="107"/>
      <c r="AD83" s="107"/>
      <c r="AE83" s="107"/>
      <c r="AF83" s="107"/>
      <c r="AG83" s="107"/>
      <c r="AH83" s="107"/>
      <c r="AI83" s="107"/>
      <c r="AJ83" s="107"/>
      <c r="AK83" s="107"/>
      <c r="AL83" s="107"/>
      <c r="AM83" s="107"/>
      <c r="AN83" s="107"/>
      <c r="AO83" s="107"/>
    </row>
    <row r="84" spans="5:41">
      <c r="E84" s="87"/>
      <c r="F84" s="87"/>
      <c r="G84" s="87"/>
      <c r="I84" s="86"/>
      <c r="J84" s="106"/>
      <c r="K84" s="106"/>
      <c r="L84" s="107"/>
      <c r="M84" s="107"/>
      <c r="N84" s="107"/>
      <c r="O84" s="107"/>
      <c r="P84" s="107"/>
      <c r="Q84" s="107"/>
      <c r="R84" s="107"/>
      <c r="S84" s="107"/>
      <c r="T84" s="107"/>
      <c r="U84" s="107"/>
      <c r="V84" s="107"/>
      <c r="W84" s="107"/>
      <c r="X84" s="107"/>
      <c r="Y84" s="107"/>
      <c r="Z84" s="107"/>
      <c r="AA84" s="107"/>
      <c r="AB84" s="107"/>
      <c r="AC84" s="107"/>
      <c r="AD84" s="107"/>
      <c r="AE84" s="107"/>
      <c r="AF84" s="107"/>
      <c r="AG84" s="107"/>
      <c r="AH84" s="107"/>
      <c r="AI84" s="107"/>
      <c r="AJ84" s="107"/>
      <c r="AK84" s="107"/>
      <c r="AL84" s="107"/>
      <c r="AM84" s="107"/>
      <c r="AN84" s="107"/>
      <c r="AO84" s="107"/>
    </row>
    <row r="85" spans="5:41">
      <c r="E85" s="87"/>
      <c r="F85" s="109"/>
      <c r="G85" s="104"/>
      <c r="I85" s="85"/>
      <c r="J85" s="106"/>
      <c r="K85" s="106"/>
      <c r="L85" s="107"/>
      <c r="M85" s="107"/>
      <c r="N85" s="107"/>
      <c r="O85" s="107"/>
      <c r="P85" s="107"/>
      <c r="Q85" s="107"/>
      <c r="R85" s="107"/>
      <c r="S85" s="107"/>
      <c r="T85" s="107"/>
      <c r="U85" s="107"/>
      <c r="V85" s="107"/>
      <c r="W85" s="107"/>
      <c r="X85" s="107"/>
      <c r="Y85" s="107"/>
      <c r="Z85" s="107"/>
      <c r="AA85" s="107"/>
      <c r="AB85" s="107"/>
      <c r="AC85" s="107"/>
      <c r="AD85" s="107"/>
      <c r="AE85" s="107"/>
      <c r="AF85" s="107"/>
      <c r="AG85" s="107"/>
      <c r="AH85" s="107"/>
      <c r="AI85" s="107"/>
      <c r="AJ85" s="107"/>
      <c r="AK85" s="107"/>
      <c r="AL85" s="107"/>
      <c r="AM85" s="107"/>
      <c r="AN85" s="107"/>
      <c r="AO85" s="107"/>
    </row>
    <row r="86" spans="5:41">
      <c r="E86" s="87"/>
      <c r="F86" s="110"/>
      <c r="G86" s="87"/>
      <c r="I86" s="83"/>
      <c r="J86" s="106"/>
      <c r="K86" s="106"/>
      <c r="L86" s="107"/>
      <c r="M86" s="107"/>
      <c r="N86" s="107"/>
      <c r="O86" s="107"/>
      <c r="P86" s="107"/>
      <c r="Q86" s="107"/>
      <c r="R86" s="107"/>
      <c r="S86" s="107"/>
      <c r="T86" s="107"/>
      <c r="U86" s="107"/>
      <c r="V86" s="107"/>
      <c r="W86" s="107"/>
      <c r="X86" s="107"/>
      <c r="Y86" s="107"/>
      <c r="Z86" s="107"/>
      <c r="AA86" s="107"/>
      <c r="AB86" s="107"/>
      <c r="AC86" s="107"/>
      <c r="AD86" s="107"/>
      <c r="AE86" s="107"/>
      <c r="AF86" s="107"/>
      <c r="AG86" s="107"/>
      <c r="AH86" s="107"/>
      <c r="AI86" s="107"/>
      <c r="AJ86" s="107"/>
      <c r="AK86" s="107"/>
      <c r="AL86" s="107"/>
      <c r="AM86" s="107"/>
      <c r="AN86" s="107"/>
      <c r="AO86" s="107"/>
    </row>
    <row r="87" spans="5:41">
      <c r="E87" s="87"/>
      <c r="F87" s="110"/>
      <c r="G87" s="87"/>
      <c r="I87" s="87"/>
      <c r="J87" s="106"/>
      <c r="K87" s="106"/>
      <c r="L87" s="107"/>
      <c r="M87" s="107"/>
      <c r="N87" s="107"/>
      <c r="O87" s="107"/>
      <c r="P87" s="107"/>
      <c r="Q87" s="107"/>
      <c r="R87" s="107"/>
      <c r="S87" s="107"/>
      <c r="T87" s="107"/>
      <c r="U87" s="107"/>
      <c r="V87" s="107"/>
      <c r="W87" s="107"/>
      <c r="X87" s="107"/>
      <c r="Y87" s="107"/>
      <c r="Z87" s="107"/>
      <c r="AA87" s="107"/>
      <c r="AB87" s="107"/>
      <c r="AC87" s="107"/>
      <c r="AD87" s="107"/>
      <c r="AE87" s="107"/>
      <c r="AF87" s="107"/>
      <c r="AG87" s="107"/>
      <c r="AH87" s="107"/>
      <c r="AI87" s="107"/>
      <c r="AJ87" s="107"/>
      <c r="AK87" s="107"/>
      <c r="AL87" s="107"/>
      <c r="AM87" s="107"/>
      <c r="AN87" s="107"/>
      <c r="AO87" s="107"/>
    </row>
    <row r="88" spans="5:41">
      <c r="E88" s="87"/>
      <c r="F88" s="87"/>
      <c r="G88" s="87"/>
      <c r="I88" s="87"/>
      <c r="J88" s="106"/>
      <c r="K88" s="106"/>
      <c r="L88" s="107"/>
      <c r="M88" s="107"/>
      <c r="N88" s="107"/>
      <c r="O88" s="107"/>
      <c r="P88" s="107"/>
      <c r="Q88" s="107"/>
      <c r="R88" s="107"/>
      <c r="S88" s="107"/>
      <c r="T88" s="107"/>
      <c r="U88" s="107"/>
      <c r="V88" s="107"/>
      <c r="W88" s="107"/>
      <c r="X88" s="107"/>
      <c r="Y88" s="107"/>
      <c r="Z88" s="107"/>
      <c r="AA88" s="107"/>
      <c r="AB88" s="107"/>
      <c r="AC88" s="107"/>
      <c r="AD88" s="107"/>
      <c r="AE88" s="107"/>
      <c r="AF88" s="107"/>
      <c r="AG88" s="107"/>
      <c r="AH88" s="107"/>
      <c r="AI88" s="107"/>
      <c r="AJ88" s="107"/>
      <c r="AK88" s="107"/>
      <c r="AL88" s="107"/>
      <c r="AM88" s="107"/>
      <c r="AN88" s="107"/>
      <c r="AO88" s="107"/>
    </row>
    <row r="89" spans="5:41">
      <c r="E89" s="87"/>
      <c r="F89" s="87"/>
      <c r="G89" s="87"/>
      <c r="I89" s="87"/>
      <c r="J89" s="106"/>
      <c r="K89" s="106"/>
      <c r="L89" s="107"/>
      <c r="M89" s="107"/>
      <c r="N89" s="107"/>
      <c r="O89" s="107"/>
      <c r="P89" s="107"/>
      <c r="Q89" s="107"/>
      <c r="R89" s="107"/>
      <c r="S89" s="107"/>
      <c r="T89" s="107"/>
      <c r="U89" s="107"/>
      <c r="V89" s="107"/>
      <c r="W89" s="107"/>
      <c r="X89" s="107"/>
      <c r="Y89" s="107"/>
      <c r="Z89" s="107"/>
      <c r="AA89" s="107"/>
      <c r="AB89" s="107"/>
      <c r="AC89" s="107"/>
      <c r="AD89" s="107"/>
      <c r="AE89" s="107"/>
      <c r="AF89" s="107"/>
      <c r="AG89" s="107"/>
      <c r="AH89" s="107"/>
      <c r="AI89" s="107"/>
      <c r="AJ89" s="107"/>
      <c r="AK89" s="107"/>
      <c r="AL89" s="107"/>
      <c r="AM89" s="107"/>
      <c r="AN89" s="107"/>
      <c r="AO89" s="107"/>
    </row>
    <row r="90" spans="5:41">
      <c r="F90" s="104"/>
      <c r="G90" s="104"/>
    </row>
    <row r="91" spans="5:41">
      <c r="F91" s="104"/>
      <c r="G91" s="104"/>
    </row>
    <row r="92" spans="5:41">
      <c r="F92" s="110"/>
      <c r="G92" s="104"/>
    </row>
    <row r="97" spans="6:6">
      <c r="F97" s="110"/>
    </row>
    <row r="98" spans="6:6">
      <c r="F98" s="112"/>
    </row>
  </sheetData>
  <mergeCells count="68">
    <mergeCell ref="C63:E63"/>
    <mergeCell ref="C52:E52"/>
    <mergeCell ref="C53:E53"/>
    <mergeCell ref="C75:E75"/>
    <mergeCell ref="C64:E64"/>
    <mergeCell ref="C65:E65"/>
    <mergeCell ref="C66:E66"/>
    <mergeCell ref="C67:E67"/>
    <mergeCell ref="C68:E68"/>
    <mergeCell ref="C69:E69"/>
    <mergeCell ref="C70:E70"/>
    <mergeCell ref="C71:E71"/>
    <mergeCell ref="C72:E72"/>
    <mergeCell ref="C73:E73"/>
    <mergeCell ref="C74:E74"/>
    <mergeCell ref="C59:E59"/>
    <mergeCell ref="C60:E60"/>
    <mergeCell ref="C61:E61"/>
    <mergeCell ref="C62:E62"/>
    <mergeCell ref="C51:E51"/>
    <mergeCell ref="C54:E54"/>
    <mergeCell ref="C55:E55"/>
    <mergeCell ref="C56:E56"/>
    <mergeCell ref="C57:E57"/>
    <mergeCell ref="C58:E58"/>
    <mergeCell ref="C50:E50"/>
    <mergeCell ref="C33:E33"/>
    <mergeCell ref="C34:E34"/>
    <mergeCell ref="C35:E35"/>
    <mergeCell ref="C37:E37"/>
    <mergeCell ref="C38:E38"/>
    <mergeCell ref="C45:E45"/>
    <mergeCell ref="C46:E46"/>
    <mergeCell ref="C47:E47"/>
    <mergeCell ref="C48:E48"/>
    <mergeCell ref="C49:E49"/>
    <mergeCell ref="C40:E40"/>
    <mergeCell ref="C41:E41"/>
    <mergeCell ref="C42:E42"/>
    <mergeCell ref="C43:E43"/>
    <mergeCell ref="C44:E44"/>
    <mergeCell ref="C16:D16"/>
    <mergeCell ref="C21:E21"/>
    <mergeCell ref="C22:E22"/>
    <mergeCell ref="C23:E23"/>
    <mergeCell ref="D13:E13"/>
    <mergeCell ref="D14:E14"/>
    <mergeCell ref="A2:I2"/>
    <mergeCell ref="A3:I3"/>
    <mergeCell ref="D5:F5"/>
    <mergeCell ref="D6:E6"/>
    <mergeCell ref="A1:J1"/>
    <mergeCell ref="C77:D77"/>
    <mergeCell ref="C76:D76"/>
    <mergeCell ref="C17:E17"/>
    <mergeCell ref="C18:E18"/>
    <mergeCell ref="C19:E19"/>
    <mergeCell ref="C20:E20"/>
    <mergeCell ref="C26:E26"/>
    <mergeCell ref="C24:E24"/>
    <mergeCell ref="C25:E25"/>
    <mergeCell ref="C39:E39"/>
    <mergeCell ref="C27:E27"/>
    <mergeCell ref="C28:E28"/>
    <mergeCell ref="C29:E29"/>
    <mergeCell ref="C30:E30"/>
    <mergeCell ref="C31:E31"/>
    <mergeCell ref="C32:E32"/>
  </mergeCells>
  <printOptions horizontalCentered="1"/>
  <pageMargins left="0.5" right="0.25" top="0.5" bottom="0.5" header="0.196850393700787" footer="0.31496062992126"/>
  <pageSetup paperSize="9" scale="68" firstPageNumber="3" orientation="landscape" useFirstPageNumber="1" r:id="rId1"/>
  <headerFooter>
    <oddFooter>&amp;C&amp;P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Y42"/>
  <sheetViews>
    <sheetView showGridLines="0" zoomScaleNormal="100" zoomScaleSheetLayoutView="100" workbookViewId="0">
      <pane xSplit="2" ySplit="5" topLeftCell="G6" activePane="bottomRight" state="frozen"/>
      <selection pane="topRight" activeCell="C1" sqref="C1"/>
      <selection pane="bottomLeft" activeCell="A6" sqref="A6"/>
      <selection pane="bottomRight" activeCell="G14" sqref="G14"/>
    </sheetView>
  </sheetViews>
  <sheetFormatPr defaultColWidth="7" defaultRowHeight="14"/>
  <cols>
    <col min="1" max="1" width="5.453125" style="2" customWidth="1"/>
    <col min="2" max="2" width="31.453125" style="2" customWidth="1"/>
    <col min="3" max="3" width="10.7265625" style="2" customWidth="1"/>
    <col min="4" max="4" width="26.453125" style="2" customWidth="1"/>
    <col min="5" max="5" width="18.7265625" style="2" bestFit="1" customWidth="1"/>
    <col min="6" max="6" width="16.453125" style="2" customWidth="1"/>
    <col min="7" max="7" width="25.26953125" style="2" bestFit="1" customWidth="1"/>
    <col min="8" max="8" width="15.26953125" style="18" customWidth="1"/>
    <col min="9" max="9" width="10" style="2" bestFit="1" customWidth="1"/>
    <col min="10" max="10" width="18.7265625" style="2" bestFit="1" customWidth="1"/>
    <col min="11" max="11" width="18.453125" style="34" bestFit="1" customWidth="1"/>
    <col min="12" max="12" width="15.453125" style="2" customWidth="1"/>
    <col min="13" max="14" width="15.7265625" style="2" customWidth="1"/>
    <col min="15" max="15" width="18.26953125" style="2" customWidth="1"/>
    <col min="16" max="16" width="20.453125" style="2" bestFit="1" customWidth="1"/>
    <col min="17" max="18" width="18.26953125" style="2" bestFit="1" customWidth="1"/>
    <col min="19" max="19" width="17.26953125" style="2" bestFit="1" customWidth="1"/>
    <col min="20" max="20" width="18" style="2" bestFit="1" customWidth="1"/>
    <col min="21" max="26" width="17.26953125" style="2" bestFit="1" customWidth="1"/>
    <col min="27" max="31" width="17" style="2" bestFit="1" customWidth="1"/>
    <col min="32" max="32" width="15.453125" style="2" bestFit="1" customWidth="1"/>
    <col min="33" max="35" width="17" style="2" bestFit="1" customWidth="1"/>
    <col min="36" max="36" width="15.453125" style="2" bestFit="1" customWidth="1"/>
    <col min="37" max="39" width="17" style="2" bestFit="1" customWidth="1"/>
    <col min="40" max="122" width="9.26953125" style="2" customWidth="1"/>
    <col min="123" max="16384" width="7" style="2"/>
  </cols>
  <sheetData>
    <row r="1" spans="1:51" s="8" customFormat="1" ht="22.5">
      <c r="A1" s="620" t="s">
        <v>74</v>
      </c>
      <c r="B1" s="620"/>
      <c r="C1" s="620"/>
      <c r="D1" s="620"/>
      <c r="E1" s="620"/>
      <c r="F1" s="620"/>
      <c r="G1" s="620"/>
      <c r="H1" s="620"/>
      <c r="I1" s="620"/>
      <c r="J1" s="620"/>
      <c r="K1" s="620"/>
    </row>
    <row r="2" spans="1:51" s="8" customFormat="1" ht="18" customHeight="1">
      <c r="A2" s="621"/>
      <c r="B2" s="621"/>
      <c r="C2" s="621"/>
      <c r="D2" s="621"/>
      <c r="E2" s="621"/>
      <c r="F2" s="621"/>
      <c r="G2" s="621"/>
      <c r="H2" s="621"/>
      <c r="I2" s="621"/>
      <c r="J2" s="621"/>
      <c r="K2" s="621"/>
      <c r="P2" s="39"/>
    </row>
    <row r="3" spans="1:51" s="8" customFormat="1" ht="18" customHeight="1">
      <c r="A3" s="621"/>
      <c r="B3" s="621"/>
      <c r="C3" s="621"/>
      <c r="D3" s="621"/>
      <c r="E3" s="621"/>
      <c r="F3" s="621"/>
      <c r="G3" s="621"/>
      <c r="H3" s="621"/>
      <c r="I3" s="621"/>
      <c r="J3" s="621"/>
      <c r="K3" s="621"/>
    </row>
    <row r="4" spans="1:51" ht="15.5">
      <c r="A4" s="6"/>
      <c r="B4" s="7"/>
      <c r="C4" s="7"/>
      <c r="D4" s="7"/>
      <c r="E4" s="6"/>
      <c r="F4" s="6"/>
      <c r="G4" s="256">
        <f>SUM(G8:G8)</f>
        <v>0</v>
      </c>
      <c r="H4" s="31" t="s">
        <v>47</v>
      </c>
      <c r="I4" s="3"/>
      <c r="J4" s="259"/>
      <c r="K4" s="32"/>
      <c r="L4" s="259"/>
      <c r="M4" s="259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</row>
    <row r="5" spans="1:51" s="120" customFormat="1" ht="27" customHeight="1">
      <c r="A5" s="525" t="s">
        <v>48</v>
      </c>
      <c r="B5" s="525" t="s">
        <v>49</v>
      </c>
      <c r="C5" s="406" t="s">
        <v>50</v>
      </c>
      <c r="D5" s="406" t="s">
        <v>75</v>
      </c>
      <c r="E5" s="525" t="s">
        <v>52</v>
      </c>
      <c r="F5" s="525" t="s">
        <v>21</v>
      </c>
      <c r="G5" s="525" t="s">
        <v>53</v>
      </c>
      <c r="H5" s="525" t="s">
        <v>54</v>
      </c>
      <c r="I5" s="119"/>
      <c r="J5" s="526" t="s">
        <v>55</v>
      </c>
      <c r="K5" s="527">
        <f>'2. CPxaydung'!M5</f>
        <v>45291</v>
      </c>
      <c r="L5" s="527">
        <f>'2. CPxaydung'!N5</f>
        <v>45382</v>
      </c>
      <c r="M5" s="527">
        <f>'2. CPxaydung'!O5</f>
        <v>45473</v>
      </c>
      <c r="N5" s="527">
        <f>'2. CPxaydung'!P5</f>
        <v>45565</v>
      </c>
      <c r="O5" s="527">
        <f>'2. CPxaydung'!Q5</f>
        <v>45657</v>
      </c>
      <c r="P5" s="527">
        <f>'2. CPxaydung'!R5</f>
        <v>45747</v>
      </c>
      <c r="Q5" s="527">
        <f>'2. CPxaydung'!S5</f>
        <v>45838</v>
      </c>
      <c r="R5" s="527">
        <f>'2. CPxaydung'!T5</f>
        <v>45930</v>
      </c>
      <c r="S5" s="527">
        <f>'2. CPxaydung'!U5</f>
        <v>46022</v>
      </c>
      <c r="T5" s="527">
        <f>'2. CPxaydung'!V5</f>
        <v>46112</v>
      </c>
      <c r="U5" s="527">
        <f>'2. CPxaydung'!W5</f>
        <v>46203</v>
      </c>
      <c r="V5" s="527">
        <f>'2. CPxaydung'!X5</f>
        <v>46295</v>
      </c>
      <c r="W5" s="527">
        <f>'2. CPxaydung'!Y5</f>
        <v>46387</v>
      </c>
      <c r="X5" s="527">
        <f>'2. CPxaydung'!Z5</f>
        <v>46477</v>
      </c>
      <c r="Y5" s="527">
        <f>'2. CPxaydung'!AA5</f>
        <v>46568</v>
      </c>
      <c r="Z5" s="527">
        <f>'2. CPxaydung'!AB5</f>
        <v>46660</v>
      </c>
      <c r="AA5" s="527">
        <f>'2. CPxaydung'!AC5</f>
        <v>46752</v>
      </c>
      <c r="AB5" s="527">
        <f>'2. CPxaydung'!AD5</f>
        <v>46843</v>
      </c>
      <c r="AC5" s="527">
        <f>'2. CPxaydung'!AE5</f>
        <v>46934</v>
      </c>
      <c r="AD5" s="527">
        <f>'2. CPxaydung'!AF5</f>
        <v>47026</v>
      </c>
      <c r="AE5" s="527">
        <f>'2. CPxaydung'!AG5</f>
        <v>47118</v>
      </c>
      <c r="AF5" s="527">
        <f>'2. CPxaydung'!AH5</f>
        <v>47208</v>
      </c>
      <c r="AG5" s="527">
        <f>'2. CPxaydung'!AI5</f>
        <v>47299</v>
      </c>
      <c r="AH5" s="527">
        <f>'2. CPxaydung'!AJ5</f>
        <v>47391</v>
      </c>
      <c r="AI5" s="527">
        <f>'2. CPxaydung'!AK5</f>
        <v>47483</v>
      </c>
      <c r="AJ5" s="527">
        <f>'2. CPxaydung'!AL5</f>
        <v>47573</v>
      </c>
      <c r="AK5" s="527">
        <f>'2. CPxaydung'!AM5</f>
        <v>47664</v>
      </c>
      <c r="AL5" s="527">
        <f>'2. CPxaydung'!AN5</f>
        <v>47756</v>
      </c>
      <c r="AM5" s="527">
        <f>'2. CPxaydung'!AO5</f>
        <v>47848</v>
      </c>
      <c r="AN5" s="527">
        <f>'2. CPxaydung'!AP5</f>
        <v>47938</v>
      </c>
      <c r="AO5" s="527">
        <f>'2. CPxaydung'!AQ5</f>
        <v>48029</v>
      </c>
      <c r="AP5" s="527">
        <f>'2. CPxaydung'!AR5</f>
        <v>48121</v>
      </c>
      <c r="AQ5" s="527">
        <f>'2. CPxaydung'!AS5</f>
        <v>48213</v>
      </c>
      <c r="AR5" s="527">
        <f>'2. CPxaydung'!AT5</f>
        <v>48304</v>
      </c>
      <c r="AS5" s="527">
        <f>'2. CPxaydung'!AU5</f>
        <v>48395</v>
      </c>
      <c r="AT5" s="527">
        <f>'2. CPxaydung'!AV5</f>
        <v>48487</v>
      </c>
      <c r="AU5" s="527">
        <f>'2. CPxaydung'!AW5</f>
        <v>48579</v>
      </c>
      <c r="AV5" s="527">
        <f>'2. CPxaydung'!AX5</f>
        <v>48669</v>
      </c>
      <c r="AW5" s="527">
        <f>'2. CPxaydung'!AY5</f>
        <v>48760</v>
      </c>
      <c r="AX5" s="527">
        <f>'2. CPxaydung'!AZ5</f>
        <v>48852</v>
      </c>
      <c r="AY5" s="527">
        <f>'2. CPxaydung'!BA5</f>
        <v>48944</v>
      </c>
    </row>
    <row r="6" spans="1:51" s="5" customFormat="1" ht="15.5">
      <c r="A6" s="121" t="s">
        <v>76</v>
      </c>
      <c r="B6" s="122" t="s">
        <v>77</v>
      </c>
      <c r="C6" s="123"/>
      <c r="D6" s="123"/>
      <c r="E6" s="124">
        <f>SUBTOTAL(9,E7:E9)</f>
        <v>999174389277.49097</v>
      </c>
      <c r="F6" s="124">
        <f>SUBTOTAL(9,F7:F9)</f>
        <v>99917438927.7491</v>
      </c>
      <c r="G6" s="124">
        <f>SUBTOTAL(9,G7:G9)</f>
        <v>1099091828205.2401</v>
      </c>
      <c r="H6" s="123"/>
      <c r="J6" s="125">
        <f t="shared" ref="J6:AY6" si="0">SUBTOTAL(9,J7:J9)</f>
        <v>1099091828205.24</v>
      </c>
      <c r="K6" s="125">
        <f t="shared" si="0"/>
        <v>0</v>
      </c>
      <c r="L6" s="125">
        <f t="shared" si="0"/>
        <v>0</v>
      </c>
      <c r="M6" s="125">
        <f t="shared" si="0"/>
        <v>0</v>
      </c>
      <c r="N6" s="125">
        <f t="shared" si="0"/>
        <v>0</v>
      </c>
      <c r="O6" s="125">
        <f t="shared" si="0"/>
        <v>0</v>
      </c>
      <c r="P6" s="125">
        <f t="shared" si="0"/>
        <v>0</v>
      </c>
      <c r="Q6" s="125">
        <f t="shared" si="0"/>
        <v>0</v>
      </c>
      <c r="R6" s="125">
        <f t="shared" si="0"/>
        <v>0</v>
      </c>
      <c r="S6" s="125">
        <f t="shared" si="0"/>
        <v>0</v>
      </c>
      <c r="T6" s="125">
        <f t="shared" si="0"/>
        <v>137386478525.655</v>
      </c>
      <c r="U6" s="125">
        <f t="shared" si="0"/>
        <v>137386478525.655</v>
      </c>
      <c r="V6" s="125">
        <f t="shared" si="0"/>
        <v>137386478525.655</v>
      </c>
      <c r="W6" s="125">
        <f t="shared" si="0"/>
        <v>137386478525.655</v>
      </c>
      <c r="X6" s="125">
        <f t="shared" si="0"/>
        <v>137386478525.655</v>
      </c>
      <c r="Y6" s="125">
        <f t="shared" si="0"/>
        <v>137386478525.655</v>
      </c>
      <c r="Z6" s="125">
        <f t="shared" si="0"/>
        <v>137386478525.655</v>
      </c>
      <c r="AA6" s="125">
        <f t="shared" si="0"/>
        <v>137386478525.655</v>
      </c>
      <c r="AB6" s="125">
        <f t="shared" si="0"/>
        <v>0</v>
      </c>
      <c r="AC6" s="125">
        <f t="shared" si="0"/>
        <v>0</v>
      </c>
      <c r="AD6" s="125">
        <f t="shared" si="0"/>
        <v>0</v>
      </c>
      <c r="AE6" s="125">
        <f t="shared" si="0"/>
        <v>0</v>
      </c>
      <c r="AF6" s="125">
        <f t="shared" ref="AF6" si="1">SUBTOTAL(9,AF7:AF9)</f>
        <v>0</v>
      </c>
      <c r="AG6" s="125">
        <f t="shared" ref="AG6" si="2">SUBTOTAL(9,AG7:AG9)</f>
        <v>0</v>
      </c>
      <c r="AH6" s="125">
        <f t="shared" ref="AH6" si="3">SUBTOTAL(9,AH7:AH9)</f>
        <v>0</v>
      </c>
      <c r="AI6" s="125">
        <f t="shared" ref="AI6:AU6" si="4">SUBTOTAL(9,AI7:AI9)</f>
        <v>0</v>
      </c>
      <c r="AJ6" s="125">
        <f t="shared" si="4"/>
        <v>0</v>
      </c>
      <c r="AK6" s="125">
        <f t="shared" si="4"/>
        <v>0</v>
      </c>
      <c r="AL6" s="125">
        <f t="shared" si="4"/>
        <v>0</v>
      </c>
      <c r="AM6" s="125">
        <f t="shared" si="4"/>
        <v>0</v>
      </c>
      <c r="AN6" s="125">
        <f t="shared" ref="AN6:AQ6" si="5">SUBTOTAL(9,AN7:AN9)</f>
        <v>0</v>
      </c>
      <c r="AO6" s="125">
        <f t="shared" si="5"/>
        <v>0</v>
      </c>
      <c r="AP6" s="125">
        <f t="shared" si="5"/>
        <v>0</v>
      </c>
      <c r="AQ6" s="125">
        <f t="shared" si="5"/>
        <v>0</v>
      </c>
      <c r="AR6" s="125">
        <f t="shared" si="4"/>
        <v>0</v>
      </c>
      <c r="AS6" s="125">
        <f t="shared" si="4"/>
        <v>0</v>
      </c>
      <c r="AT6" s="125">
        <f t="shared" si="4"/>
        <v>0</v>
      </c>
      <c r="AU6" s="125">
        <f t="shared" si="4"/>
        <v>0</v>
      </c>
      <c r="AV6" s="125">
        <f t="shared" si="0"/>
        <v>0</v>
      </c>
      <c r="AW6" s="125">
        <f t="shared" si="0"/>
        <v>0</v>
      </c>
      <c r="AX6" s="125">
        <f t="shared" si="0"/>
        <v>0</v>
      </c>
      <c r="AY6" s="125">
        <f t="shared" si="0"/>
        <v>0</v>
      </c>
    </row>
    <row r="7" spans="1:51" s="5" customFormat="1" ht="15.5">
      <c r="A7" s="9">
        <v>1</v>
      </c>
      <c r="B7" s="10" t="str">
        <f>'2. CPxaydung'!B6</f>
        <v>Chi phí xây dựng, thiết bị</v>
      </c>
      <c r="C7" s="11" t="s">
        <v>58</v>
      </c>
      <c r="D7" s="300"/>
      <c r="E7" s="69">
        <f>SUMIFS('2. CPxaydung'!$G$5:$G$14,'2. CPxaydung'!$C$5:$C$14,'3. TMDT'!C7)</f>
        <v>868240281818.18188</v>
      </c>
      <c r="F7" s="69">
        <f>+E7*'1. Tổng hợp'!$D$24</f>
        <v>86824028181.818192</v>
      </c>
      <c r="G7" s="69">
        <f>E7+F7</f>
        <v>955064310000.00012</v>
      </c>
      <c r="H7" s="33"/>
      <c r="I7" s="421">
        <f t="shared" ref="I7:I10" si="6">G7-J7</f>
        <v>0</v>
      </c>
      <c r="J7" s="33">
        <f t="shared" ref="J7:J12" si="7">SUM(K7:AY7)</f>
        <v>955064310000</v>
      </c>
      <c r="K7" s="33">
        <f>'2. CPxaydung'!M6</f>
        <v>0</v>
      </c>
      <c r="L7" s="33">
        <f>'2. CPxaydung'!N6</f>
        <v>0</v>
      </c>
      <c r="M7" s="33">
        <f>'2. CPxaydung'!O6</f>
        <v>0</v>
      </c>
      <c r="N7" s="33">
        <f>'2. CPxaydung'!P6</f>
        <v>0</v>
      </c>
      <c r="O7" s="33">
        <f>'2. CPxaydung'!Q6</f>
        <v>0</v>
      </c>
      <c r="P7" s="33">
        <f>'2. CPxaydung'!R6</f>
        <v>0</v>
      </c>
      <c r="Q7" s="33">
        <f>'2. CPxaydung'!S6</f>
        <v>0</v>
      </c>
      <c r="R7" s="33">
        <f>'2. CPxaydung'!T6</f>
        <v>0</v>
      </c>
      <c r="S7" s="33">
        <f>'2. CPxaydung'!U6</f>
        <v>0</v>
      </c>
      <c r="T7" s="33">
        <f>'2. CPxaydung'!V6</f>
        <v>119383038750</v>
      </c>
      <c r="U7" s="33">
        <f>'2. CPxaydung'!W6</f>
        <v>119383038750</v>
      </c>
      <c r="V7" s="33">
        <f>'2. CPxaydung'!X6</f>
        <v>119383038750</v>
      </c>
      <c r="W7" s="33">
        <f>'2. CPxaydung'!Y6</f>
        <v>119383038750</v>
      </c>
      <c r="X7" s="33">
        <f>'2. CPxaydung'!Z6</f>
        <v>119383038750</v>
      </c>
      <c r="Y7" s="33">
        <f>'2. CPxaydung'!AA6</f>
        <v>119383038750</v>
      </c>
      <c r="Z7" s="33">
        <f>'2. CPxaydung'!AB6</f>
        <v>119383038750</v>
      </c>
      <c r="AA7" s="33">
        <f>'2. CPxaydung'!AC6</f>
        <v>119383038750</v>
      </c>
      <c r="AB7" s="33">
        <f>'2. CPxaydung'!AD6</f>
        <v>0</v>
      </c>
      <c r="AC7" s="33">
        <f>'2. CPxaydung'!AE6</f>
        <v>0</v>
      </c>
      <c r="AD7" s="33">
        <f>'2. CPxaydung'!AF6</f>
        <v>0</v>
      </c>
      <c r="AE7" s="33">
        <f>'2. CPxaydung'!AG6</f>
        <v>0</v>
      </c>
      <c r="AF7" s="33">
        <f>'2. CPxaydung'!AH6</f>
        <v>0</v>
      </c>
      <c r="AG7" s="33">
        <f>'2. CPxaydung'!AI6</f>
        <v>0</v>
      </c>
      <c r="AH7" s="33">
        <f>'2. CPxaydung'!AJ6</f>
        <v>0</v>
      </c>
      <c r="AI7" s="33">
        <f>'2. CPxaydung'!AK6</f>
        <v>0</v>
      </c>
      <c r="AJ7" s="33">
        <f>'2. CPxaydung'!AL6</f>
        <v>0</v>
      </c>
      <c r="AK7" s="33">
        <f>'2. CPxaydung'!AM6</f>
        <v>0</v>
      </c>
      <c r="AL7" s="33">
        <f>'2. CPxaydung'!AN6</f>
        <v>0</v>
      </c>
      <c r="AM7" s="33">
        <f>'2. CPxaydung'!AO6</f>
        <v>0</v>
      </c>
      <c r="AN7" s="33">
        <f>'2. CPxaydung'!AP6</f>
        <v>0</v>
      </c>
      <c r="AO7" s="33">
        <f>'2. CPxaydung'!AQ6</f>
        <v>0</v>
      </c>
      <c r="AP7" s="33">
        <f>'2. CPxaydung'!AR6</f>
        <v>0</v>
      </c>
      <c r="AQ7" s="33">
        <f>'2. CPxaydung'!AS6</f>
        <v>0</v>
      </c>
      <c r="AR7" s="33">
        <f>'2. CPxaydung'!AT6</f>
        <v>0</v>
      </c>
      <c r="AS7" s="33">
        <f>'2. CPxaydung'!AU6</f>
        <v>0</v>
      </c>
      <c r="AT7" s="33">
        <f>'2. CPxaydung'!AV6</f>
        <v>0</v>
      </c>
      <c r="AU7" s="33">
        <f>'2. CPxaydung'!AW6</f>
        <v>0</v>
      </c>
      <c r="AV7" s="33">
        <f>'2. CPxaydung'!AX6</f>
        <v>0</v>
      </c>
      <c r="AW7" s="33">
        <f>'2. CPxaydung'!AY6</f>
        <v>0</v>
      </c>
      <c r="AX7" s="33">
        <f>'2. CPxaydung'!AZ6</f>
        <v>0</v>
      </c>
      <c r="AY7" s="33">
        <f>'2. CPxaydung'!BA6</f>
        <v>0</v>
      </c>
    </row>
    <row r="8" spans="1:51" s="5" customFormat="1" ht="15.5">
      <c r="A8" s="301">
        <v>2</v>
      </c>
      <c r="B8" s="457" t="str">
        <f>'2. CPxaydung'!B10</f>
        <v>Chi phí quản lý dự án + tư vấn + khác</v>
      </c>
      <c r="C8" s="300" t="s">
        <v>64</v>
      </c>
      <c r="D8" s="300"/>
      <c r="E8" s="69">
        <f>SUMIFS('2. CPxaydung'!$G$5:$G$14,'2. CPxaydung'!$C$5:$C$14,'3. TMDT'!C8)</f>
        <v>0</v>
      </c>
      <c r="F8" s="69">
        <f>+E8*'1. Tổng hợp'!$D$24</f>
        <v>0</v>
      </c>
      <c r="G8" s="69">
        <f t="shared" ref="G8:G9" si="8">E8+F8</f>
        <v>0</v>
      </c>
      <c r="H8" s="300"/>
      <c r="I8" s="421">
        <f t="shared" si="6"/>
        <v>0</v>
      </c>
      <c r="J8" s="33">
        <f t="shared" si="7"/>
        <v>0</v>
      </c>
      <c r="K8" s="33">
        <f>'2. CPxaydung'!M10</f>
        <v>0</v>
      </c>
      <c r="L8" s="33">
        <f>'2. CPxaydung'!N10</f>
        <v>0</v>
      </c>
      <c r="M8" s="33">
        <f>'2. CPxaydung'!O10</f>
        <v>0</v>
      </c>
      <c r="N8" s="33">
        <f>'2. CPxaydung'!P10</f>
        <v>0</v>
      </c>
      <c r="O8" s="33">
        <f>'2. CPxaydung'!Q10</f>
        <v>0</v>
      </c>
      <c r="P8" s="33">
        <f>'2. CPxaydung'!R10</f>
        <v>0</v>
      </c>
      <c r="Q8" s="33">
        <f>'2. CPxaydung'!S10</f>
        <v>0</v>
      </c>
      <c r="R8" s="33">
        <f>'2. CPxaydung'!T10</f>
        <v>0</v>
      </c>
      <c r="S8" s="33">
        <f>'2. CPxaydung'!U10</f>
        <v>0</v>
      </c>
      <c r="T8" s="33">
        <f>'2. CPxaydung'!V10</f>
        <v>0</v>
      </c>
      <c r="U8" s="33">
        <f>'2. CPxaydung'!W10</f>
        <v>0</v>
      </c>
      <c r="V8" s="33">
        <f>'2. CPxaydung'!X10</f>
        <v>0</v>
      </c>
      <c r="W8" s="33">
        <f>'2. CPxaydung'!Y10</f>
        <v>0</v>
      </c>
      <c r="X8" s="33">
        <f>'2. CPxaydung'!Z10</f>
        <v>0</v>
      </c>
      <c r="Y8" s="33">
        <f>'2. CPxaydung'!AA10</f>
        <v>0</v>
      </c>
      <c r="Z8" s="33">
        <f>'2. CPxaydung'!AB10</f>
        <v>0</v>
      </c>
      <c r="AA8" s="33">
        <f>'2. CPxaydung'!AC10</f>
        <v>0</v>
      </c>
      <c r="AB8" s="33">
        <f>'2. CPxaydung'!AD10</f>
        <v>0</v>
      </c>
      <c r="AC8" s="33">
        <f>'2. CPxaydung'!AE10</f>
        <v>0</v>
      </c>
      <c r="AD8" s="33">
        <f>'2. CPxaydung'!AF10</f>
        <v>0</v>
      </c>
      <c r="AE8" s="33">
        <f>'2. CPxaydung'!AG10</f>
        <v>0</v>
      </c>
      <c r="AF8" s="33">
        <f>'2. CPxaydung'!AD10</f>
        <v>0</v>
      </c>
      <c r="AG8" s="33">
        <f>'2. CPxaydung'!AE10</f>
        <v>0</v>
      </c>
      <c r="AH8" s="33">
        <f>'2. CPxaydung'!AF10</f>
        <v>0</v>
      </c>
      <c r="AI8" s="33">
        <f>'2. CPxaydung'!AG10</f>
        <v>0</v>
      </c>
      <c r="AJ8" s="33">
        <f>'2. CPxaydung'!AL10</f>
        <v>0</v>
      </c>
      <c r="AK8" s="33">
        <f>'2. CPxaydung'!AM10</f>
        <v>0</v>
      </c>
      <c r="AL8" s="33">
        <f>'2. CPxaydung'!AN10</f>
        <v>0</v>
      </c>
      <c r="AM8" s="33">
        <f>'2. CPxaydung'!AO10</f>
        <v>0</v>
      </c>
      <c r="AN8" s="33">
        <f>'2. CPxaydung'!AP10</f>
        <v>0</v>
      </c>
      <c r="AO8" s="33">
        <f>'2. CPxaydung'!AQ10</f>
        <v>0</v>
      </c>
      <c r="AP8" s="33">
        <f>'2. CPxaydung'!AR10</f>
        <v>0</v>
      </c>
      <c r="AQ8" s="33">
        <f>'2. CPxaydung'!AS10</f>
        <v>0</v>
      </c>
      <c r="AR8" s="33">
        <f>'2. CPxaydung'!AT10</f>
        <v>0</v>
      </c>
      <c r="AS8" s="33">
        <f>'2. CPxaydung'!AU10</f>
        <v>0</v>
      </c>
      <c r="AT8" s="33">
        <f>'2. CPxaydung'!AV10</f>
        <v>0</v>
      </c>
      <c r="AU8" s="33">
        <f>'2. CPxaydung'!AW10</f>
        <v>0</v>
      </c>
      <c r="AV8" s="33">
        <f>'2. CPxaydung'!AX10</f>
        <v>0</v>
      </c>
      <c r="AW8" s="33">
        <f>'2. CPxaydung'!AY10</f>
        <v>0</v>
      </c>
      <c r="AX8" s="33">
        <f>'2. CPxaydung'!AZ10</f>
        <v>0</v>
      </c>
      <c r="AY8" s="33">
        <f>'2. CPxaydung'!BA10</f>
        <v>0</v>
      </c>
    </row>
    <row r="9" spans="1:51" s="5" customFormat="1" ht="18" customHeight="1">
      <c r="A9" s="301">
        <v>3</v>
      </c>
      <c r="B9" s="458" t="str">
        <f>'2. CPxaydung'!B11</f>
        <v>Chi phí dự phòng</v>
      </c>
      <c r="C9" s="300" t="s">
        <v>67</v>
      </c>
      <c r="D9" s="300"/>
      <c r="E9" s="69">
        <f>SUMIFS('2. CPxaydung'!$G$5:$G$14,'2. CPxaydung'!$C$5:$C$14,'3. TMDT'!C9)</f>
        <v>130934107459.30907</v>
      </c>
      <c r="F9" s="69">
        <f>+E9*'1. Tổng hợp'!$D$24</f>
        <v>13093410745.930908</v>
      </c>
      <c r="G9" s="69">
        <f t="shared" si="8"/>
        <v>144027518205.23999</v>
      </c>
      <c r="H9" s="300"/>
      <c r="I9" s="421">
        <f t="shared" si="6"/>
        <v>0</v>
      </c>
      <c r="J9" s="33">
        <f t="shared" si="7"/>
        <v>144027518205.23999</v>
      </c>
      <c r="K9" s="33">
        <f>'2. CPxaydung'!M11</f>
        <v>0</v>
      </c>
      <c r="L9" s="33">
        <f>'2. CPxaydung'!N11</f>
        <v>0</v>
      </c>
      <c r="M9" s="33">
        <f>'2. CPxaydung'!O11</f>
        <v>0</v>
      </c>
      <c r="N9" s="33">
        <f>'2. CPxaydung'!P11</f>
        <v>0</v>
      </c>
      <c r="O9" s="33">
        <f>'2. CPxaydung'!Q11</f>
        <v>0</v>
      </c>
      <c r="P9" s="33">
        <f>'2. CPxaydung'!R11</f>
        <v>0</v>
      </c>
      <c r="Q9" s="33">
        <f>'2. CPxaydung'!S11</f>
        <v>0</v>
      </c>
      <c r="R9" s="33">
        <f>'2. CPxaydung'!T11</f>
        <v>0</v>
      </c>
      <c r="S9" s="33">
        <f>'2. CPxaydung'!U11</f>
        <v>0</v>
      </c>
      <c r="T9" s="33">
        <f>'2. CPxaydung'!V11</f>
        <v>18003439775.654999</v>
      </c>
      <c r="U9" s="33">
        <f>'2. CPxaydung'!W11</f>
        <v>18003439775.654999</v>
      </c>
      <c r="V9" s="33">
        <f>'2. CPxaydung'!X11</f>
        <v>18003439775.654999</v>
      </c>
      <c r="W9" s="33">
        <f>'2. CPxaydung'!Y11</f>
        <v>18003439775.654999</v>
      </c>
      <c r="X9" s="33">
        <f>'2. CPxaydung'!Z11</f>
        <v>18003439775.654999</v>
      </c>
      <c r="Y9" s="33">
        <f>'2. CPxaydung'!AA11</f>
        <v>18003439775.654999</v>
      </c>
      <c r="Z9" s="33">
        <f>'2. CPxaydung'!AB11</f>
        <v>18003439775.654999</v>
      </c>
      <c r="AA9" s="33">
        <f>'2. CPxaydung'!AC11</f>
        <v>18003439775.654999</v>
      </c>
      <c r="AB9" s="33">
        <f>'2. CPxaydung'!AD11</f>
        <v>0</v>
      </c>
      <c r="AC9" s="33">
        <f>'2. CPxaydung'!AE11</f>
        <v>0</v>
      </c>
      <c r="AD9" s="33">
        <f>'2. CPxaydung'!AF11</f>
        <v>0</v>
      </c>
      <c r="AE9" s="33">
        <f>'2. CPxaydung'!AG11</f>
        <v>0</v>
      </c>
      <c r="AF9" s="33">
        <f>'2. CPxaydung'!AD11</f>
        <v>0</v>
      </c>
      <c r="AG9" s="33">
        <f>'2. CPxaydung'!AE11</f>
        <v>0</v>
      </c>
      <c r="AH9" s="33">
        <f>'2. CPxaydung'!AF11</f>
        <v>0</v>
      </c>
      <c r="AI9" s="33">
        <f>'2. CPxaydung'!AG11</f>
        <v>0</v>
      </c>
      <c r="AJ9" s="33">
        <f>'2. CPxaydung'!AL11</f>
        <v>0</v>
      </c>
      <c r="AK9" s="33">
        <f>'2. CPxaydung'!AM11</f>
        <v>0</v>
      </c>
      <c r="AL9" s="33">
        <f>'2. CPxaydung'!AN11</f>
        <v>0</v>
      </c>
      <c r="AM9" s="33">
        <f>'2. CPxaydung'!AO11</f>
        <v>0</v>
      </c>
      <c r="AN9" s="33">
        <f>'2. CPxaydung'!AP11</f>
        <v>0</v>
      </c>
      <c r="AO9" s="33">
        <f>'2. CPxaydung'!AQ11</f>
        <v>0</v>
      </c>
      <c r="AP9" s="33">
        <f>'2. CPxaydung'!AR11</f>
        <v>0</v>
      </c>
      <c r="AQ9" s="33">
        <f>'2. CPxaydung'!AS11</f>
        <v>0</v>
      </c>
      <c r="AR9" s="33">
        <f>'2. CPxaydung'!AT11</f>
        <v>0</v>
      </c>
      <c r="AS9" s="33">
        <f>'2. CPxaydung'!AU11</f>
        <v>0</v>
      </c>
      <c r="AT9" s="33">
        <f>'2. CPxaydung'!AV11</f>
        <v>0</v>
      </c>
      <c r="AU9" s="33">
        <f>'2. CPxaydung'!AW11</f>
        <v>0</v>
      </c>
      <c r="AV9" s="33">
        <f>'2. CPxaydung'!AX11</f>
        <v>0</v>
      </c>
      <c r="AW9" s="33">
        <f>'2. CPxaydung'!AY11</f>
        <v>0</v>
      </c>
      <c r="AX9" s="33">
        <f>'2. CPxaydung'!AZ11</f>
        <v>0</v>
      </c>
      <c r="AY9" s="33">
        <f>'2. CPxaydung'!BA11</f>
        <v>0</v>
      </c>
    </row>
    <row r="10" spans="1:51" s="12" customFormat="1" ht="15.5">
      <c r="A10" s="302" t="s">
        <v>62</v>
      </c>
      <c r="B10" s="303" t="s">
        <v>78</v>
      </c>
      <c r="C10" s="304"/>
      <c r="D10" s="304"/>
      <c r="E10" s="305">
        <f>G10</f>
        <v>43014372094</v>
      </c>
      <c r="F10" s="305">
        <v>0</v>
      </c>
      <c r="G10" s="305">
        <f>43014372094*(1+'1. Tổng hợp'!$C$38)</f>
        <v>43014372094</v>
      </c>
      <c r="H10" s="304"/>
      <c r="I10" s="421">
        <f t="shared" si="6"/>
        <v>0</v>
      </c>
      <c r="J10" s="125">
        <f t="shared" si="7"/>
        <v>43014372094</v>
      </c>
      <c r="K10" s="125"/>
      <c r="L10" s="125"/>
      <c r="M10" s="125"/>
      <c r="N10" s="125"/>
      <c r="O10" s="125"/>
      <c r="P10" s="125"/>
      <c r="Q10" s="125"/>
      <c r="R10" s="125"/>
      <c r="S10" s="125"/>
      <c r="T10" s="125">
        <f>G10</f>
        <v>43014372094</v>
      </c>
      <c r="U10" s="125"/>
      <c r="V10" s="125"/>
      <c r="W10" s="125"/>
      <c r="X10" s="125"/>
      <c r="Y10" s="125"/>
      <c r="Z10" s="125"/>
      <c r="AA10" s="125"/>
      <c r="AB10" s="125"/>
      <c r="AC10" s="125"/>
      <c r="AD10" s="125"/>
      <c r="AE10" s="125"/>
      <c r="AF10" s="125"/>
      <c r="AG10" s="125"/>
      <c r="AH10" s="125"/>
      <c r="AI10" s="125"/>
      <c r="AJ10" s="125"/>
      <c r="AK10" s="125"/>
      <c r="AL10" s="125"/>
      <c r="AM10" s="125"/>
      <c r="AN10" s="125"/>
      <c r="AO10" s="125"/>
      <c r="AP10" s="125"/>
      <c r="AQ10" s="125"/>
      <c r="AR10" s="125"/>
      <c r="AS10" s="125"/>
      <c r="AT10" s="125"/>
      <c r="AU10" s="125"/>
      <c r="AV10" s="125"/>
      <c r="AW10" s="125"/>
      <c r="AX10" s="125"/>
      <c r="AY10" s="125"/>
    </row>
    <row r="11" spans="1:51" s="12" customFormat="1" ht="15">
      <c r="A11" s="302" t="s">
        <v>65</v>
      </c>
      <c r="B11" s="303" t="s">
        <v>79</v>
      </c>
      <c r="C11" s="306"/>
      <c r="D11" s="306"/>
      <c r="E11" s="305">
        <v>0</v>
      </c>
      <c r="F11" s="305"/>
      <c r="G11" s="305">
        <v>0</v>
      </c>
      <c r="H11" s="304"/>
      <c r="J11" s="130">
        <f t="shared" si="7"/>
        <v>0</v>
      </c>
      <c r="K11" s="307"/>
      <c r="L11" s="307"/>
      <c r="M11" s="307"/>
      <c r="N11" s="307"/>
      <c r="O11" s="307"/>
      <c r="P11" s="307"/>
      <c r="Q11" s="307"/>
      <c r="R11" s="307"/>
      <c r="S11" s="307"/>
      <c r="T11" s="307"/>
      <c r="U11" s="307"/>
      <c r="V11" s="307"/>
      <c r="W11" s="307"/>
      <c r="X11" s="307"/>
      <c r="Y11" s="307"/>
      <c r="Z11" s="307"/>
      <c r="AA11" s="307"/>
      <c r="AB11" s="307"/>
      <c r="AC11" s="307"/>
      <c r="AD11" s="307"/>
      <c r="AE11" s="307"/>
      <c r="AF11" s="307"/>
      <c r="AG11" s="307"/>
      <c r="AH11" s="307"/>
      <c r="AI11" s="307"/>
      <c r="AJ11" s="307"/>
      <c r="AK11" s="307"/>
      <c r="AL11" s="307"/>
      <c r="AM11" s="307"/>
      <c r="AN11" s="307"/>
      <c r="AO11" s="307"/>
      <c r="AP11" s="307"/>
      <c r="AQ11" s="307"/>
      <c r="AR11" s="307"/>
      <c r="AS11" s="307"/>
      <c r="AT11" s="307"/>
      <c r="AU11" s="307"/>
      <c r="AV11" s="307"/>
      <c r="AW11" s="307"/>
      <c r="AX11" s="307"/>
      <c r="AY11" s="307"/>
    </row>
    <row r="12" spans="1:51" s="12" customFormat="1" ht="15">
      <c r="A12" s="302" t="s">
        <v>69</v>
      </c>
      <c r="B12" s="303" t="s">
        <v>80</v>
      </c>
      <c r="C12" s="304" t="s">
        <v>81</v>
      </c>
      <c r="D12" s="304"/>
      <c r="E12" s="305">
        <v>0</v>
      </c>
      <c r="F12" s="305"/>
      <c r="G12" s="305">
        <f>+E12</f>
        <v>0</v>
      </c>
      <c r="H12" s="304"/>
      <c r="J12" s="130">
        <f t="shared" si="7"/>
        <v>0</v>
      </c>
      <c r="K12" s="307"/>
      <c r="L12" s="307"/>
      <c r="M12" s="307"/>
      <c r="N12" s="307"/>
      <c r="O12" s="307"/>
      <c r="P12" s="307"/>
      <c r="Q12" s="307"/>
      <c r="R12" s="307"/>
      <c r="S12" s="307"/>
      <c r="T12" s="307"/>
      <c r="U12" s="307"/>
      <c r="V12" s="307"/>
      <c r="W12" s="307"/>
      <c r="X12" s="307"/>
      <c r="Y12" s="307"/>
      <c r="Z12" s="307"/>
      <c r="AA12" s="307"/>
      <c r="AB12" s="307"/>
      <c r="AC12" s="307"/>
      <c r="AD12" s="307"/>
      <c r="AE12" s="307"/>
      <c r="AF12" s="307"/>
      <c r="AG12" s="307"/>
      <c r="AH12" s="307"/>
      <c r="AI12" s="307"/>
      <c r="AJ12" s="307"/>
      <c r="AK12" s="307"/>
      <c r="AL12" s="307"/>
      <c r="AM12" s="307"/>
      <c r="AN12" s="307"/>
      <c r="AO12" s="307"/>
      <c r="AP12" s="307"/>
      <c r="AQ12" s="307"/>
      <c r="AR12" s="307"/>
      <c r="AS12" s="307"/>
      <c r="AT12" s="307"/>
      <c r="AU12" s="307"/>
      <c r="AV12" s="307"/>
      <c r="AW12" s="307"/>
      <c r="AX12" s="307"/>
      <c r="AY12" s="307"/>
    </row>
    <row r="13" spans="1:51" s="5" customFormat="1" ht="15.5">
      <c r="A13" s="302" t="s">
        <v>82</v>
      </c>
      <c r="B13" s="308" t="s">
        <v>83</v>
      </c>
      <c r="C13" s="309"/>
      <c r="D13" s="309"/>
      <c r="E13" s="305">
        <f>E6+E10+E11+E12</f>
        <v>1042188761371.491</v>
      </c>
      <c r="F13" s="305">
        <f>F6+F10+F11+F12</f>
        <v>99917438927.7491</v>
      </c>
      <c r="G13" s="305">
        <f>G6+G10+G11+G12</f>
        <v>1142106200299.2402</v>
      </c>
      <c r="H13" s="309"/>
      <c r="I13" s="421">
        <f>G13-J13</f>
        <v>0</v>
      </c>
      <c r="J13" s="305">
        <f>J6+J10+J11+J12</f>
        <v>1142106200299.24</v>
      </c>
      <c r="K13" s="305">
        <f t="shared" ref="K13:AY13" si="9">K6+K10+K11+K12</f>
        <v>0</v>
      </c>
      <c r="L13" s="305">
        <f t="shared" si="9"/>
        <v>0</v>
      </c>
      <c r="M13" s="305">
        <f t="shared" si="9"/>
        <v>0</v>
      </c>
      <c r="N13" s="305">
        <f t="shared" si="9"/>
        <v>0</v>
      </c>
      <c r="O13" s="305">
        <f t="shared" si="9"/>
        <v>0</v>
      </c>
      <c r="P13" s="305">
        <f t="shared" si="9"/>
        <v>0</v>
      </c>
      <c r="Q13" s="305">
        <f t="shared" si="9"/>
        <v>0</v>
      </c>
      <c r="R13" s="305">
        <f t="shared" si="9"/>
        <v>0</v>
      </c>
      <c r="S13" s="305">
        <f t="shared" si="9"/>
        <v>0</v>
      </c>
      <c r="T13" s="305">
        <f t="shared" si="9"/>
        <v>180400850619.655</v>
      </c>
      <c r="U13" s="305">
        <f t="shared" si="9"/>
        <v>137386478525.655</v>
      </c>
      <c r="V13" s="305">
        <f t="shared" si="9"/>
        <v>137386478525.655</v>
      </c>
      <c r="W13" s="305">
        <f t="shared" si="9"/>
        <v>137386478525.655</v>
      </c>
      <c r="X13" s="305">
        <f t="shared" si="9"/>
        <v>137386478525.655</v>
      </c>
      <c r="Y13" s="305">
        <f t="shared" si="9"/>
        <v>137386478525.655</v>
      </c>
      <c r="Z13" s="305">
        <f t="shared" si="9"/>
        <v>137386478525.655</v>
      </c>
      <c r="AA13" s="305">
        <f t="shared" si="9"/>
        <v>137386478525.655</v>
      </c>
      <c r="AB13" s="305">
        <f t="shared" si="9"/>
        <v>0</v>
      </c>
      <c r="AC13" s="305">
        <f t="shared" si="9"/>
        <v>0</v>
      </c>
      <c r="AD13" s="305">
        <f t="shared" si="9"/>
        <v>0</v>
      </c>
      <c r="AE13" s="305">
        <f t="shared" si="9"/>
        <v>0</v>
      </c>
      <c r="AF13" s="305">
        <f t="shared" si="9"/>
        <v>0</v>
      </c>
      <c r="AG13" s="305">
        <f t="shared" si="9"/>
        <v>0</v>
      </c>
      <c r="AH13" s="305">
        <f t="shared" si="9"/>
        <v>0</v>
      </c>
      <c r="AI13" s="305">
        <f t="shared" si="9"/>
        <v>0</v>
      </c>
      <c r="AJ13" s="305">
        <f t="shared" si="9"/>
        <v>0</v>
      </c>
      <c r="AK13" s="305">
        <f t="shared" si="9"/>
        <v>0</v>
      </c>
      <c r="AL13" s="305">
        <f t="shared" si="9"/>
        <v>0</v>
      </c>
      <c r="AM13" s="305">
        <f t="shared" si="9"/>
        <v>0</v>
      </c>
      <c r="AN13" s="305">
        <f t="shared" si="9"/>
        <v>0</v>
      </c>
      <c r="AO13" s="305">
        <f t="shared" si="9"/>
        <v>0</v>
      </c>
      <c r="AP13" s="305">
        <f t="shared" si="9"/>
        <v>0</v>
      </c>
      <c r="AQ13" s="305">
        <f t="shared" si="9"/>
        <v>0</v>
      </c>
      <c r="AR13" s="305">
        <f t="shared" si="9"/>
        <v>0</v>
      </c>
      <c r="AS13" s="305">
        <f t="shared" si="9"/>
        <v>0</v>
      </c>
      <c r="AT13" s="305">
        <f t="shared" si="9"/>
        <v>0</v>
      </c>
      <c r="AU13" s="305">
        <f t="shared" si="9"/>
        <v>0</v>
      </c>
      <c r="AV13" s="305">
        <f t="shared" si="9"/>
        <v>0</v>
      </c>
      <c r="AW13" s="305">
        <f t="shared" si="9"/>
        <v>0</v>
      </c>
      <c r="AX13" s="305">
        <f t="shared" si="9"/>
        <v>0</v>
      </c>
      <c r="AY13" s="305">
        <f t="shared" si="9"/>
        <v>0</v>
      </c>
    </row>
    <row r="14" spans="1:51" s="5" customFormat="1" ht="15.5">
      <c r="A14" s="126" t="s">
        <v>1</v>
      </c>
      <c r="B14" s="127" t="s">
        <v>84</v>
      </c>
      <c r="C14" s="128" t="s">
        <v>85</v>
      </c>
      <c r="D14" s="128"/>
      <c r="E14" s="129">
        <f>J14</f>
        <v>45017369783.67189</v>
      </c>
      <c r="F14" s="129"/>
      <c r="G14" s="129">
        <f>E14</f>
        <v>45017369783.67189</v>
      </c>
      <c r="H14" s="128"/>
      <c r="I14" s="421">
        <f>G14-J14</f>
        <v>0</v>
      </c>
      <c r="J14" s="125">
        <f>SUM(K14:AY14)</f>
        <v>45017369783.67189</v>
      </c>
      <c r="K14" s="131">
        <f>+'4. Vay'!E22</f>
        <v>0</v>
      </c>
      <c r="L14" s="131">
        <f>+'4. Vay'!F22</f>
        <v>0</v>
      </c>
      <c r="M14" s="131">
        <f>+'4. Vay'!G22</f>
        <v>0</v>
      </c>
      <c r="N14" s="131">
        <f>+'4. Vay'!H22</f>
        <v>0</v>
      </c>
      <c r="O14" s="131">
        <f>+'4. Vay'!I22</f>
        <v>0</v>
      </c>
      <c r="P14" s="131">
        <f>+'4. Vay'!J22</f>
        <v>0</v>
      </c>
      <c r="Q14" s="131">
        <f>+'4. Vay'!K22</f>
        <v>0</v>
      </c>
      <c r="R14" s="131">
        <f>+'4. Vay'!L22</f>
        <v>0</v>
      </c>
      <c r="S14" s="131">
        <f>+'4. Vay'!M22</f>
        <v>0</v>
      </c>
      <c r="T14" s="131">
        <f>+'4. Vay'!N22</f>
        <v>1026029837.8992877</v>
      </c>
      <c r="U14" s="131">
        <f>+'4. Vay'!O22</f>
        <v>2833445272.413238</v>
      </c>
      <c r="V14" s="131">
        <f>+'4. Vay'!P22</f>
        <v>4396216465.6425638</v>
      </c>
      <c r="W14" s="131">
        <f>+'4. Vay'!Q22</f>
        <v>5958987658.8718891</v>
      </c>
      <c r="X14" s="131">
        <f>+'4. Vay'!R22</f>
        <v>6980448100.9177208</v>
      </c>
      <c r="Y14" s="131">
        <f>+'4. Vay'!S22</f>
        <v>7460597791.7800589</v>
      </c>
      <c r="Z14" s="131">
        <f>+'4. Vay'!T22</f>
        <v>7940747482.6423979</v>
      </c>
      <c r="AA14" s="131">
        <f>+'4. Vay'!U22</f>
        <v>8420897173.5047359</v>
      </c>
      <c r="AB14" s="131">
        <f>+'4. Vay'!V22</f>
        <v>0</v>
      </c>
      <c r="AC14" s="131">
        <f>+'4. Vay'!W22</f>
        <v>0</v>
      </c>
      <c r="AD14" s="131">
        <f>+'4. Vay'!X22</f>
        <v>0</v>
      </c>
      <c r="AE14" s="131">
        <f>+'4. Vay'!Y22</f>
        <v>0</v>
      </c>
      <c r="AF14" s="131">
        <f>+'4. Vay'!Z22</f>
        <v>0</v>
      </c>
      <c r="AG14" s="131">
        <f>+'4. Vay'!AA22</f>
        <v>0</v>
      </c>
      <c r="AH14" s="131">
        <f>+'4. Vay'!AB22</f>
        <v>0</v>
      </c>
      <c r="AI14" s="131">
        <f>+'4. Vay'!AC22</f>
        <v>0</v>
      </c>
      <c r="AJ14" s="131">
        <f>+'4. Vay'!AD22</f>
        <v>0</v>
      </c>
      <c r="AK14" s="131">
        <f>+'4. Vay'!AE22</f>
        <v>0</v>
      </c>
      <c r="AL14" s="131">
        <f>+'4. Vay'!AF22</f>
        <v>0</v>
      </c>
      <c r="AM14" s="131">
        <f>+'4. Vay'!AG22</f>
        <v>0</v>
      </c>
      <c r="AN14" s="131">
        <f>+'4. Vay'!AH22</f>
        <v>0</v>
      </c>
      <c r="AO14" s="131">
        <f>+'4. Vay'!AI22</f>
        <v>0</v>
      </c>
      <c r="AP14" s="131">
        <f>+'4. Vay'!AJ22</f>
        <v>0</v>
      </c>
      <c r="AQ14" s="131">
        <f>+'4. Vay'!AK22</f>
        <v>0</v>
      </c>
      <c r="AR14" s="131">
        <f>+'4. Vay'!AL22</f>
        <v>0</v>
      </c>
      <c r="AS14" s="131">
        <f>+'4. Vay'!AM22</f>
        <v>0</v>
      </c>
      <c r="AT14" s="131">
        <f>+'4. Vay'!AN22</f>
        <v>0</v>
      </c>
      <c r="AU14" s="131">
        <f>+'4. Vay'!AO22</f>
        <v>0</v>
      </c>
      <c r="AV14" s="131">
        <f>+'4. Vay'!AP22</f>
        <v>0</v>
      </c>
      <c r="AW14" s="131">
        <f>+'4. Vay'!AQ22</f>
        <v>0</v>
      </c>
      <c r="AX14" s="131">
        <f>+'4. Vay'!AR22</f>
        <v>0</v>
      </c>
      <c r="AY14" s="131">
        <f>+'4. Vay'!AS22</f>
        <v>0</v>
      </c>
    </row>
    <row r="15" spans="1:51" s="5" customFormat="1" ht="15.5">
      <c r="A15" s="14"/>
      <c r="B15" s="15" t="s">
        <v>86</v>
      </c>
      <c r="C15" s="16" t="s">
        <v>87</v>
      </c>
      <c r="D15" s="16"/>
      <c r="E15" s="68">
        <f>E13+E14</f>
        <v>1087206131155.1628</v>
      </c>
      <c r="F15" s="68">
        <f>F13+F14</f>
        <v>99917438927.7491</v>
      </c>
      <c r="G15" s="68">
        <f>G13+G14</f>
        <v>1187123570082.9121</v>
      </c>
      <c r="H15" s="16"/>
      <c r="I15" s="421">
        <f>G15-J15</f>
        <v>0</v>
      </c>
      <c r="J15" s="68">
        <f>J13+J14</f>
        <v>1187123570082.9119</v>
      </c>
      <c r="K15" s="68">
        <f>K13+K14</f>
        <v>0</v>
      </c>
      <c r="L15" s="68">
        <f t="shared" ref="L15:AY15" si="10">L13+L14</f>
        <v>0</v>
      </c>
      <c r="M15" s="68">
        <f t="shared" si="10"/>
        <v>0</v>
      </c>
      <c r="N15" s="68">
        <f t="shared" si="10"/>
        <v>0</v>
      </c>
      <c r="O15" s="68">
        <f t="shared" si="10"/>
        <v>0</v>
      </c>
      <c r="P15" s="68">
        <f t="shared" si="10"/>
        <v>0</v>
      </c>
      <c r="Q15" s="68">
        <f t="shared" si="10"/>
        <v>0</v>
      </c>
      <c r="R15" s="68">
        <f t="shared" si="10"/>
        <v>0</v>
      </c>
      <c r="S15" s="68">
        <f t="shared" si="10"/>
        <v>0</v>
      </c>
      <c r="T15" s="68">
        <f t="shared" si="10"/>
        <v>181426880457.55429</v>
      </c>
      <c r="U15" s="68">
        <f t="shared" si="10"/>
        <v>140219923798.06824</v>
      </c>
      <c r="V15" s="68">
        <f t="shared" si="10"/>
        <v>141782694991.29758</v>
      </c>
      <c r="W15" s="68">
        <f t="shared" si="10"/>
        <v>143345466184.52689</v>
      </c>
      <c r="X15" s="68">
        <f t="shared" si="10"/>
        <v>144366926626.57272</v>
      </c>
      <c r="Y15" s="68">
        <f t="shared" si="10"/>
        <v>144847076317.43506</v>
      </c>
      <c r="Z15" s="68">
        <f t="shared" si="10"/>
        <v>145327226008.29739</v>
      </c>
      <c r="AA15" s="68">
        <f t="shared" si="10"/>
        <v>145807375699.15973</v>
      </c>
      <c r="AB15" s="68">
        <f t="shared" si="10"/>
        <v>0</v>
      </c>
      <c r="AC15" s="68">
        <f t="shared" si="10"/>
        <v>0</v>
      </c>
      <c r="AD15" s="68">
        <f t="shared" si="10"/>
        <v>0</v>
      </c>
      <c r="AE15" s="68">
        <f t="shared" si="10"/>
        <v>0</v>
      </c>
      <c r="AF15" s="68">
        <f t="shared" si="10"/>
        <v>0</v>
      </c>
      <c r="AG15" s="68">
        <f t="shared" si="10"/>
        <v>0</v>
      </c>
      <c r="AH15" s="68">
        <f t="shared" si="10"/>
        <v>0</v>
      </c>
      <c r="AI15" s="68">
        <f t="shared" si="10"/>
        <v>0</v>
      </c>
      <c r="AJ15" s="68">
        <f t="shared" si="10"/>
        <v>0</v>
      </c>
      <c r="AK15" s="68">
        <f t="shared" si="10"/>
        <v>0</v>
      </c>
      <c r="AL15" s="68">
        <f t="shared" si="10"/>
        <v>0</v>
      </c>
      <c r="AM15" s="68">
        <f t="shared" si="10"/>
        <v>0</v>
      </c>
      <c r="AN15" s="68">
        <f t="shared" si="10"/>
        <v>0</v>
      </c>
      <c r="AO15" s="68">
        <f t="shared" si="10"/>
        <v>0</v>
      </c>
      <c r="AP15" s="68">
        <f t="shared" si="10"/>
        <v>0</v>
      </c>
      <c r="AQ15" s="68">
        <f t="shared" si="10"/>
        <v>0</v>
      </c>
      <c r="AR15" s="68">
        <f t="shared" si="10"/>
        <v>0</v>
      </c>
      <c r="AS15" s="68">
        <f t="shared" si="10"/>
        <v>0</v>
      </c>
      <c r="AT15" s="68">
        <f t="shared" si="10"/>
        <v>0</v>
      </c>
      <c r="AU15" s="68">
        <f t="shared" si="10"/>
        <v>0</v>
      </c>
      <c r="AV15" s="68">
        <f t="shared" si="10"/>
        <v>0</v>
      </c>
      <c r="AW15" s="68">
        <f t="shared" si="10"/>
        <v>0</v>
      </c>
      <c r="AX15" s="68">
        <f t="shared" si="10"/>
        <v>0</v>
      </c>
      <c r="AY15" s="68">
        <f t="shared" si="10"/>
        <v>0</v>
      </c>
    </row>
    <row r="16" spans="1:51" s="13" customFormat="1" ht="15.5">
      <c r="A16" s="310"/>
      <c r="B16" s="311" t="s">
        <v>72</v>
      </c>
      <c r="C16" s="312"/>
      <c r="D16" s="312"/>
      <c r="E16" s="313"/>
      <c r="F16" s="313"/>
      <c r="G16" s="313">
        <f>ROUND(G15,-6)</f>
        <v>1187124000000</v>
      </c>
      <c r="H16" s="314"/>
      <c r="I16" s="17"/>
      <c r="J16" s="33">
        <f>SUM(K16:T16)</f>
        <v>0</v>
      </c>
      <c r="K16" s="315"/>
      <c r="L16" s="315"/>
      <c r="M16" s="315"/>
      <c r="N16" s="315"/>
      <c r="O16" s="315"/>
      <c r="P16" s="315"/>
      <c r="Q16" s="315"/>
      <c r="R16" s="315"/>
      <c r="S16" s="315"/>
      <c r="T16" s="315"/>
      <c r="U16" s="315"/>
      <c r="V16" s="315"/>
      <c r="W16" s="315"/>
      <c r="X16" s="315"/>
      <c r="Y16" s="315"/>
      <c r="Z16" s="315"/>
      <c r="AA16" s="315"/>
      <c r="AB16" s="315"/>
      <c r="AC16" s="315"/>
      <c r="AD16" s="315"/>
      <c r="AE16" s="315"/>
      <c r="AF16" s="315"/>
      <c r="AG16" s="315"/>
      <c r="AH16" s="315"/>
      <c r="AI16" s="315"/>
      <c r="AJ16" s="315"/>
      <c r="AK16" s="315"/>
      <c r="AL16" s="315"/>
      <c r="AM16" s="315"/>
      <c r="AN16" s="315"/>
      <c r="AO16" s="315"/>
      <c r="AP16" s="315"/>
      <c r="AQ16" s="315"/>
      <c r="AR16" s="315"/>
      <c r="AS16" s="315"/>
      <c r="AT16" s="315"/>
      <c r="AU16" s="315"/>
      <c r="AV16" s="315"/>
      <c r="AW16" s="315"/>
      <c r="AX16" s="315"/>
      <c r="AY16" s="315"/>
    </row>
    <row r="17" spans="5:10" ht="14.5">
      <c r="E17" s="19"/>
      <c r="F17" s="20"/>
      <c r="G17" s="20"/>
      <c r="I17" s="4"/>
      <c r="J17" s="4"/>
    </row>
    <row r="18" spans="5:10" ht="14.5">
      <c r="E18" s="19"/>
      <c r="F18" s="20"/>
      <c r="G18" s="20"/>
      <c r="I18" s="3"/>
      <c r="J18" s="3"/>
    </row>
    <row r="19" spans="5:10" ht="14.5">
      <c r="E19" s="20"/>
      <c r="F19" s="20"/>
      <c r="G19" s="262"/>
      <c r="I19" s="3"/>
      <c r="J19" s="3"/>
    </row>
    <row r="20" spans="5:10" ht="14.5">
      <c r="E20" s="21"/>
      <c r="F20" s="22"/>
      <c r="G20" s="264"/>
      <c r="H20" s="23"/>
      <c r="I20" s="3"/>
      <c r="J20" s="3"/>
    </row>
    <row r="21" spans="5:10" ht="14.5">
      <c r="E21" s="20"/>
      <c r="F21" s="24"/>
      <c r="G21" s="24"/>
      <c r="H21" s="25"/>
      <c r="I21" s="3"/>
      <c r="J21" s="3"/>
    </row>
    <row r="22" spans="5:10" ht="14.5">
      <c r="E22" s="20"/>
      <c r="F22" s="24"/>
      <c r="G22" s="263"/>
      <c r="H22" s="25"/>
      <c r="I22" s="3"/>
      <c r="J22" s="3"/>
    </row>
    <row r="23" spans="5:10" ht="14.5">
      <c r="E23" s="21"/>
      <c r="F23" s="20"/>
      <c r="G23" s="184"/>
      <c r="H23" s="26"/>
    </row>
    <row r="24" spans="5:10" ht="14.5">
      <c r="E24" s="21"/>
      <c r="F24" s="20"/>
      <c r="G24" s="19"/>
      <c r="H24" s="27"/>
    </row>
    <row r="25" spans="5:10" ht="14.5">
      <c r="E25" s="21"/>
      <c r="F25" s="20"/>
      <c r="G25" s="20"/>
      <c r="H25" s="26"/>
    </row>
    <row r="26" spans="5:10" ht="14.5">
      <c r="E26" s="21"/>
      <c r="F26" s="20"/>
      <c r="G26" s="20"/>
      <c r="H26" s="27"/>
    </row>
    <row r="27" spans="5:10" ht="14.5">
      <c r="E27" s="21"/>
      <c r="F27" s="20"/>
      <c r="G27" s="20"/>
      <c r="H27" s="28"/>
    </row>
    <row r="28" spans="5:10">
      <c r="H28" s="27"/>
    </row>
    <row r="29" spans="5:10" ht="14.5">
      <c r="E29" s="21"/>
      <c r="F29" s="20"/>
      <c r="H29" s="25"/>
    </row>
    <row r="30" spans="5:10" ht="14.5">
      <c r="E30" s="20"/>
      <c r="F30" s="20"/>
    </row>
    <row r="31" spans="5:10" ht="14.5">
      <c r="E31" s="29"/>
    </row>
    <row r="34" spans="5:6" ht="14.5">
      <c r="E34" s="20"/>
      <c r="F34" s="20"/>
    </row>
    <row r="35" spans="5:6" ht="14.5">
      <c r="E35" s="20"/>
      <c r="F35" s="20"/>
    </row>
    <row r="36" spans="5:6" ht="14.5">
      <c r="E36" s="29"/>
      <c r="F36" s="20"/>
    </row>
    <row r="41" spans="5:6" ht="14.5">
      <c r="E41" s="29"/>
    </row>
    <row r="42" spans="5:6">
      <c r="E42" s="30"/>
    </row>
  </sheetData>
  <mergeCells count="3">
    <mergeCell ref="A1:K1"/>
    <mergeCell ref="A2:K2"/>
    <mergeCell ref="A3:K3"/>
  </mergeCells>
  <printOptions horizontalCentered="1"/>
  <pageMargins left="0.5" right="0.25" top="0.5" bottom="0.5" header="0.196850393700787" footer="0.31496062992126"/>
  <pageSetup paperSize="9" firstPageNumber="3" orientation="landscape" useFirstPageNumber="1" r:id="rId1"/>
  <headerFooter>
    <oddFooter>&amp;C&amp;P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S24"/>
  <sheetViews>
    <sheetView zoomScale="90" zoomScaleNormal="90" workbookViewId="0">
      <selection activeCell="E8" sqref="E8"/>
    </sheetView>
  </sheetViews>
  <sheetFormatPr defaultColWidth="8.7265625" defaultRowHeight="15.5"/>
  <cols>
    <col min="1" max="1" width="5.453125" style="153" bestFit="1" customWidth="1"/>
    <col min="2" max="2" width="54.54296875" style="153" bestFit="1" customWidth="1"/>
    <col min="3" max="3" width="21.453125" style="153" bestFit="1" customWidth="1"/>
    <col min="4" max="4" width="7.7265625" style="153" bestFit="1" customWidth="1"/>
    <col min="5" max="5" width="24.7265625" style="153" bestFit="1" customWidth="1"/>
    <col min="6" max="6" width="20" style="154" bestFit="1" customWidth="1"/>
    <col min="7" max="7" width="27.453125" style="154" bestFit="1" customWidth="1"/>
    <col min="8" max="8" width="18.26953125" style="154" bestFit="1" customWidth="1"/>
    <col min="9" max="9" width="22.26953125" style="154" bestFit="1" customWidth="1"/>
    <col min="10" max="11" width="18.26953125" style="154" bestFit="1" customWidth="1"/>
    <col min="12" max="12" width="19.26953125" style="154" bestFit="1" customWidth="1"/>
    <col min="13" max="13" width="20" style="154" bestFit="1" customWidth="1"/>
    <col min="14" max="27" width="19.7265625" style="154" bestFit="1" customWidth="1"/>
    <col min="28" max="28" width="26.7265625" style="154" bestFit="1" customWidth="1"/>
    <col min="29" max="45" width="19.7265625" style="154" bestFit="1" customWidth="1"/>
    <col min="46" max="264" width="9.26953125" style="153"/>
    <col min="265" max="265" width="5.26953125" style="153" customWidth="1"/>
    <col min="266" max="266" width="28.453125" style="153" customWidth="1"/>
    <col min="267" max="267" width="18.453125" style="153" customWidth="1"/>
    <col min="268" max="268" width="13.453125" style="153" customWidth="1"/>
    <col min="269" max="269" width="16.453125" style="153" bestFit="1" customWidth="1"/>
    <col min="270" max="271" width="15.7265625" style="153" bestFit="1" customWidth="1"/>
    <col min="272" max="273" width="15.7265625" style="153" customWidth="1"/>
    <col min="274" max="284" width="15.7265625" style="153" bestFit="1" customWidth="1"/>
    <col min="285" max="285" width="14.7265625" style="153" bestFit="1" customWidth="1"/>
    <col min="286" max="286" width="18" style="153" customWidth="1"/>
    <col min="287" max="520" width="9.26953125" style="153"/>
    <col min="521" max="521" width="5.26953125" style="153" customWidth="1"/>
    <col min="522" max="522" width="28.453125" style="153" customWidth="1"/>
    <col min="523" max="523" width="18.453125" style="153" customWidth="1"/>
    <col min="524" max="524" width="13.453125" style="153" customWidth="1"/>
    <col min="525" max="525" width="16.453125" style="153" bestFit="1" customWidth="1"/>
    <col min="526" max="527" width="15.7265625" style="153" bestFit="1" customWidth="1"/>
    <col min="528" max="529" width="15.7265625" style="153" customWidth="1"/>
    <col min="530" max="540" width="15.7265625" style="153" bestFit="1" customWidth="1"/>
    <col min="541" max="541" width="14.7265625" style="153" bestFit="1" customWidth="1"/>
    <col min="542" max="542" width="18" style="153" customWidth="1"/>
    <col min="543" max="776" width="9.26953125" style="153"/>
    <col min="777" max="777" width="5.26953125" style="153" customWidth="1"/>
    <col min="778" max="778" width="28.453125" style="153" customWidth="1"/>
    <col min="779" max="779" width="18.453125" style="153" customWidth="1"/>
    <col min="780" max="780" width="13.453125" style="153" customWidth="1"/>
    <col min="781" max="781" width="16.453125" style="153" bestFit="1" customWidth="1"/>
    <col min="782" max="783" width="15.7265625" style="153" bestFit="1" customWidth="1"/>
    <col min="784" max="785" width="15.7265625" style="153" customWidth="1"/>
    <col min="786" max="796" width="15.7265625" style="153" bestFit="1" customWidth="1"/>
    <col min="797" max="797" width="14.7265625" style="153" bestFit="1" customWidth="1"/>
    <col min="798" max="798" width="18" style="153" customWidth="1"/>
    <col min="799" max="1032" width="9.26953125" style="153"/>
    <col min="1033" max="1033" width="5.26953125" style="153" customWidth="1"/>
    <col min="1034" max="1034" width="28.453125" style="153" customWidth="1"/>
    <col min="1035" max="1035" width="18.453125" style="153" customWidth="1"/>
    <col min="1036" max="1036" width="13.453125" style="153" customWidth="1"/>
    <col min="1037" max="1037" width="16.453125" style="153" bestFit="1" customWidth="1"/>
    <col min="1038" max="1039" width="15.7265625" style="153" bestFit="1" customWidth="1"/>
    <col min="1040" max="1041" width="15.7265625" style="153" customWidth="1"/>
    <col min="1042" max="1052" width="15.7265625" style="153" bestFit="1" customWidth="1"/>
    <col min="1053" max="1053" width="14.7265625" style="153" bestFit="1" customWidth="1"/>
    <col min="1054" max="1054" width="18" style="153" customWidth="1"/>
    <col min="1055" max="1288" width="9.26953125" style="153"/>
    <col min="1289" max="1289" width="5.26953125" style="153" customWidth="1"/>
    <col min="1290" max="1290" width="28.453125" style="153" customWidth="1"/>
    <col min="1291" max="1291" width="18.453125" style="153" customWidth="1"/>
    <col min="1292" max="1292" width="13.453125" style="153" customWidth="1"/>
    <col min="1293" max="1293" width="16.453125" style="153" bestFit="1" customWidth="1"/>
    <col min="1294" max="1295" width="15.7265625" style="153" bestFit="1" customWidth="1"/>
    <col min="1296" max="1297" width="15.7265625" style="153" customWidth="1"/>
    <col min="1298" max="1308" width="15.7265625" style="153" bestFit="1" customWidth="1"/>
    <col min="1309" max="1309" width="14.7265625" style="153" bestFit="1" customWidth="1"/>
    <col min="1310" max="1310" width="18" style="153" customWidth="1"/>
    <col min="1311" max="1544" width="9.26953125" style="153"/>
    <col min="1545" max="1545" width="5.26953125" style="153" customWidth="1"/>
    <col min="1546" max="1546" width="28.453125" style="153" customWidth="1"/>
    <col min="1547" max="1547" width="18.453125" style="153" customWidth="1"/>
    <col min="1548" max="1548" width="13.453125" style="153" customWidth="1"/>
    <col min="1549" max="1549" width="16.453125" style="153" bestFit="1" customWidth="1"/>
    <col min="1550" max="1551" width="15.7265625" style="153" bestFit="1" customWidth="1"/>
    <col min="1552" max="1553" width="15.7265625" style="153" customWidth="1"/>
    <col min="1554" max="1564" width="15.7265625" style="153" bestFit="1" customWidth="1"/>
    <col min="1565" max="1565" width="14.7265625" style="153" bestFit="1" customWidth="1"/>
    <col min="1566" max="1566" width="18" style="153" customWidth="1"/>
    <col min="1567" max="1800" width="9.26953125" style="153"/>
    <col min="1801" max="1801" width="5.26953125" style="153" customWidth="1"/>
    <col min="1802" max="1802" width="28.453125" style="153" customWidth="1"/>
    <col min="1803" max="1803" width="18.453125" style="153" customWidth="1"/>
    <col min="1804" max="1804" width="13.453125" style="153" customWidth="1"/>
    <col min="1805" max="1805" width="16.453125" style="153" bestFit="1" customWidth="1"/>
    <col min="1806" max="1807" width="15.7265625" style="153" bestFit="1" customWidth="1"/>
    <col min="1808" max="1809" width="15.7265625" style="153" customWidth="1"/>
    <col min="1810" max="1820" width="15.7265625" style="153" bestFit="1" customWidth="1"/>
    <col min="1821" max="1821" width="14.7265625" style="153" bestFit="1" customWidth="1"/>
    <col min="1822" max="1822" width="18" style="153" customWidth="1"/>
    <col min="1823" max="2056" width="9.26953125" style="153"/>
    <col min="2057" max="2057" width="5.26953125" style="153" customWidth="1"/>
    <col min="2058" max="2058" width="28.453125" style="153" customWidth="1"/>
    <col min="2059" max="2059" width="18.453125" style="153" customWidth="1"/>
    <col min="2060" max="2060" width="13.453125" style="153" customWidth="1"/>
    <col min="2061" max="2061" width="16.453125" style="153" bestFit="1" customWidth="1"/>
    <col min="2062" max="2063" width="15.7265625" style="153" bestFit="1" customWidth="1"/>
    <col min="2064" max="2065" width="15.7265625" style="153" customWidth="1"/>
    <col min="2066" max="2076" width="15.7265625" style="153" bestFit="1" customWidth="1"/>
    <col min="2077" max="2077" width="14.7265625" style="153" bestFit="1" customWidth="1"/>
    <col min="2078" max="2078" width="18" style="153" customWidth="1"/>
    <col min="2079" max="2312" width="9.26953125" style="153"/>
    <col min="2313" max="2313" width="5.26953125" style="153" customWidth="1"/>
    <col min="2314" max="2314" width="28.453125" style="153" customWidth="1"/>
    <col min="2315" max="2315" width="18.453125" style="153" customWidth="1"/>
    <col min="2316" max="2316" width="13.453125" style="153" customWidth="1"/>
    <col min="2317" max="2317" width="16.453125" style="153" bestFit="1" customWidth="1"/>
    <col min="2318" max="2319" width="15.7265625" style="153" bestFit="1" customWidth="1"/>
    <col min="2320" max="2321" width="15.7265625" style="153" customWidth="1"/>
    <col min="2322" max="2332" width="15.7265625" style="153" bestFit="1" customWidth="1"/>
    <col min="2333" max="2333" width="14.7265625" style="153" bestFit="1" customWidth="1"/>
    <col min="2334" max="2334" width="18" style="153" customWidth="1"/>
    <col min="2335" max="2568" width="9.26953125" style="153"/>
    <col min="2569" max="2569" width="5.26953125" style="153" customWidth="1"/>
    <col min="2570" max="2570" width="28.453125" style="153" customWidth="1"/>
    <col min="2571" max="2571" width="18.453125" style="153" customWidth="1"/>
    <col min="2572" max="2572" width="13.453125" style="153" customWidth="1"/>
    <col min="2573" max="2573" width="16.453125" style="153" bestFit="1" customWidth="1"/>
    <col min="2574" max="2575" width="15.7265625" style="153" bestFit="1" customWidth="1"/>
    <col min="2576" max="2577" width="15.7265625" style="153" customWidth="1"/>
    <col min="2578" max="2588" width="15.7265625" style="153" bestFit="1" customWidth="1"/>
    <col min="2589" max="2589" width="14.7265625" style="153" bestFit="1" customWidth="1"/>
    <col min="2590" max="2590" width="18" style="153" customWidth="1"/>
    <col min="2591" max="2824" width="9.26953125" style="153"/>
    <col min="2825" max="2825" width="5.26953125" style="153" customWidth="1"/>
    <col min="2826" max="2826" width="28.453125" style="153" customWidth="1"/>
    <col min="2827" max="2827" width="18.453125" style="153" customWidth="1"/>
    <col min="2828" max="2828" width="13.453125" style="153" customWidth="1"/>
    <col min="2829" max="2829" width="16.453125" style="153" bestFit="1" customWidth="1"/>
    <col min="2830" max="2831" width="15.7265625" style="153" bestFit="1" customWidth="1"/>
    <col min="2832" max="2833" width="15.7265625" style="153" customWidth="1"/>
    <col min="2834" max="2844" width="15.7265625" style="153" bestFit="1" customWidth="1"/>
    <col min="2845" max="2845" width="14.7265625" style="153" bestFit="1" customWidth="1"/>
    <col min="2846" max="2846" width="18" style="153" customWidth="1"/>
    <col min="2847" max="3080" width="9.26953125" style="153"/>
    <col min="3081" max="3081" width="5.26953125" style="153" customWidth="1"/>
    <col min="3082" max="3082" width="28.453125" style="153" customWidth="1"/>
    <col min="3083" max="3083" width="18.453125" style="153" customWidth="1"/>
    <col min="3084" max="3084" width="13.453125" style="153" customWidth="1"/>
    <col min="3085" max="3085" width="16.453125" style="153" bestFit="1" customWidth="1"/>
    <col min="3086" max="3087" width="15.7265625" style="153" bestFit="1" customWidth="1"/>
    <col min="3088" max="3089" width="15.7265625" style="153" customWidth="1"/>
    <col min="3090" max="3100" width="15.7265625" style="153" bestFit="1" customWidth="1"/>
    <col min="3101" max="3101" width="14.7265625" style="153" bestFit="1" customWidth="1"/>
    <col min="3102" max="3102" width="18" style="153" customWidth="1"/>
    <col min="3103" max="3336" width="9.26953125" style="153"/>
    <col min="3337" max="3337" width="5.26953125" style="153" customWidth="1"/>
    <col min="3338" max="3338" width="28.453125" style="153" customWidth="1"/>
    <col min="3339" max="3339" width="18.453125" style="153" customWidth="1"/>
    <col min="3340" max="3340" width="13.453125" style="153" customWidth="1"/>
    <col min="3341" max="3341" width="16.453125" style="153" bestFit="1" customWidth="1"/>
    <col min="3342" max="3343" width="15.7265625" style="153" bestFit="1" customWidth="1"/>
    <col min="3344" max="3345" width="15.7265625" style="153" customWidth="1"/>
    <col min="3346" max="3356" width="15.7265625" style="153" bestFit="1" customWidth="1"/>
    <col min="3357" max="3357" width="14.7265625" style="153" bestFit="1" customWidth="1"/>
    <col min="3358" max="3358" width="18" style="153" customWidth="1"/>
    <col min="3359" max="3592" width="9.26953125" style="153"/>
    <col min="3593" max="3593" width="5.26953125" style="153" customWidth="1"/>
    <col min="3594" max="3594" width="28.453125" style="153" customWidth="1"/>
    <col min="3595" max="3595" width="18.453125" style="153" customWidth="1"/>
    <col min="3596" max="3596" width="13.453125" style="153" customWidth="1"/>
    <col min="3597" max="3597" width="16.453125" style="153" bestFit="1" customWidth="1"/>
    <col min="3598" max="3599" width="15.7265625" style="153" bestFit="1" customWidth="1"/>
    <col min="3600" max="3601" width="15.7265625" style="153" customWidth="1"/>
    <col min="3602" max="3612" width="15.7265625" style="153" bestFit="1" customWidth="1"/>
    <col min="3613" max="3613" width="14.7265625" style="153" bestFit="1" customWidth="1"/>
    <col min="3614" max="3614" width="18" style="153" customWidth="1"/>
    <col min="3615" max="3848" width="9.26953125" style="153"/>
    <col min="3849" max="3849" width="5.26953125" style="153" customWidth="1"/>
    <col min="3850" max="3850" width="28.453125" style="153" customWidth="1"/>
    <col min="3851" max="3851" width="18.453125" style="153" customWidth="1"/>
    <col min="3852" max="3852" width="13.453125" style="153" customWidth="1"/>
    <col min="3853" max="3853" width="16.453125" style="153" bestFit="1" customWidth="1"/>
    <col min="3854" max="3855" width="15.7265625" style="153" bestFit="1" customWidth="1"/>
    <col min="3856" max="3857" width="15.7265625" style="153" customWidth="1"/>
    <col min="3858" max="3868" width="15.7265625" style="153" bestFit="1" customWidth="1"/>
    <col min="3869" max="3869" width="14.7265625" style="153" bestFit="1" customWidth="1"/>
    <col min="3870" max="3870" width="18" style="153" customWidth="1"/>
    <col min="3871" max="4104" width="9.26953125" style="153"/>
    <col min="4105" max="4105" width="5.26953125" style="153" customWidth="1"/>
    <col min="4106" max="4106" width="28.453125" style="153" customWidth="1"/>
    <col min="4107" max="4107" width="18.453125" style="153" customWidth="1"/>
    <col min="4108" max="4108" width="13.453125" style="153" customWidth="1"/>
    <col min="4109" max="4109" width="16.453125" style="153" bestFit="1" customWidth="1"/>
    <col min="4110" max="4111" width="15.7265625" style="153" bestFit="1" customWidth="1"/>
    <col min="4112" max="4113" width="15.7265625" style="153" customWidth="1"/>
    <col min="4114" max="4124" width="15.7265625" style="153" bestFit="1" customWidth="1"/>
    <col min="4125" max="4125" width="14.7265625" style="153" bestFit="1" customWidth="1"/>
    <col min="4126" max="4126" width="18" style="153" customWidth="1"/>
    <col min="4127" max="4360" width="9.26953125" style="153"/>
    <col min="4361" max="4361" width="5.26953125" style="153" customWidth="1"/>
    <col min="4362" max="4362" width="28.453125" style="153" customWidth="1"/>
    <col min="4363" max="4363" width="18.453125" style="153" customWidth="1"/>
    <col min="4364" max="4364" width="13.453125" style="153" customWidth="1"/>
    <col min="4365" max="4365" width="16.453125" style="153" bestFit="1" customWidth="1"/>
    <col min="4366" max="4367" width="15.7265625" style="153" bestFit="1" customWidth="1"/>
    <col min="4368" max="4369" width="15.7265625" style="153" customWidth="1"/>
    <col min="4370" max="4380" width="15.7265625" style="153" bestFit="1" customWidth="1"/>
    <col min="4381" max="4381" width="14.7265625" style="153" bestFit="1" customWidth="1"/>
    <col min="4382" max="4382" width="18" style="153" customWidth="1"/>
    <col min="4383" max="4616" width="9.26953125" style="153"/>
    <col min="4617" max="4617" width="5.26953125" style="153" customWidth="1"/>
    <col min="4618" max="4618" width="28.453125" style="153" customWidth="1"/>
    <col min="4619" max="4619" width="18.453125" style="153" customWidth="1"/>
    <col min="4620" max="4620" width="13.453125" style="153" customWidth="1"/>
    <col min="4621" max="4621" width="16.453125" style="153" bestFit="1" customWidth="1"/>
    <col min="4622" max="4623" width="15.7265625" style="153" bestFit="1" customWidth="1"/>
    <col min="4624" max="4625" width="15.7265625" style="153" customWidth="1"/>
    <col min="4626" max="4636" width="15.7265625" style="153" bestFit="1" customWidth="1"/>
    <col min="4637" max="4637" width="14.7265625" style="153" bestFit="1" customWidth="1"/>
    <col min="4638" max="4638" width="18" style="153" customWidth="1"/>
    <col min="4639" max="4872" width="9.26953125" style="153"/>
    <col min="4873" max="4873" width="5.26953125" style="153" customWidth="1"/>
    <col min="4874" max="4874" width="28.453125" style="153" customWidth="1"/>
    <col min="4875" max="4875" width="18.453125" style="153" customWidth="1"/>
    <col min="4876" max="4876" width="13.453125" style="153" customWidth="1"/>
    <col min="4877" max="4877" width="16.453125" style="153" bestFit="1" customWidth="1"/>
    <col min="4878" max="4879" width="15.7265625" style="153" bestFit="1" customWidth="1"/>
    <col min="4880" max="4881" width="15.7265625" style="153" customWidth="1"/>
    <col min="4882" max="4892" width="15.7265625" style="153" bestFit="1" customWidth="1"/>
    <col min="4893" max="4893" width="14.7265625" style="153" bestFit="1" customWidth="1"/>
    <col min="4894" max="4894" width="18" style="153" customWidth="1"/>
    <col min="4895" max="5128" width="9.26953125" style="153"/>
    <col min="5129" max="5129" width="5.26953125" style="153" customWidth="1"/>
    <col min="5130" max="5130" width="28.453125" style="153" customWidth="1"/>
    <col min="5131" max="5131" width="18.453125" style="153" customWidth="1"/>
    <col min="5132" max="5132" width="13.453125" style="153" customWidth="1"/>
    <col min="5133" max="5133" width="16.453125" style="153" bestFit="1" customWidth="1"/>
    <col min="5134" max="5135" width="15.7265625" style="153" bestFit="1" customWidth="1"/>
    <col min="5136" max="5137" width="15.7265625" style="153" customWidth="1"/>
    <col min="5138" max="5148" width="15.7265625" style="153" bestFit="1" customWidth="1"/>
    <col min="5149" max="5149" width="14.7265625" style="153" bestFit="1" customWidth="1"/>
    <col min="5150" max="5150" width="18" style="153" customWidth="1"/>
    <col min="5151" max="5384" width="9.26953125" style="153"/>
    <col min="5385" max="5385" width="5.26953125" style="153" customWidth="1"/>
    <col min="5386" max="5386" width="28.453125" style="153" customWidth="1"/>
    <col min="5387" max="5387" width="18.453125" style="153" customWidth="1"/>
    <col min="5388" max="5388" width="13.453125" style="153" customWidth="1"/>
    <col min="5389" max="5389" width="16.453125" style="153" bestFit="1" customWidth="1"/>
    <col min="5390" max="5391" width="15.7265625" style="153" bestFit="1" customWidth="1"/>
    <col min="5392" max="5393" width="15.7265625" style="153" customWidth="1"/>
    <col min="5394" max="5404" width="15.7265625" style="153" bestFit="1" customWidth="1"/>
    <col min="5405" max="5405" width="14.7265625" style="153" bestFit="1" customWidth="1"/>
    <col min="5406" max="5406" width="18" style="153" customWidth="1"/>
    <col min="5407" max="5640" width="9.26953125" style="153"/>
    <col min="5641" max="5641" width="5.26953125" style="153" customWidth="1"/>
    <col min="5642" max="5642" width="28.453125" style="153" customWidth="1"/>
    <col min="5643" max="5643" width="18.453125" style="153" customWidth="1"/>
    <col min="5644" max="5644" width="13.453125" style="153" customWidth="1"/>
    <col min="5645" max="5645" width="16.453125" style="153" bestFit="1" customWidth="1"/>
    <col min="5646" max="5647" width="15.7265625" style="153" bestFit="1" customWidth="1"/>
    <col min="5648" max="5649" width="15.7265625" style="153" customWidth="1"/>
    <col min="5650" max="5660" width="15.7265625" style="153" bestFit="1" customWidth="1"/>
    <col min="5661" max="5661" width="14.7265625" style="153" bestFit="1" customWidth="1"/>
    <col min="5662" max="5662" width="18" style="153" customWidth="1"/>
    <col min="5663" max="5896" width="9.26953125" style="153"/>
    <col min="5897" max="5897" width="5.26953125" style="153" customWidth="1"/>
    <col min="5898" max="5898" width="28.453125" style="153" customWidth="1"/>
    <col min="5899" max="5899" width="18.453125" style="153" customWidth="1"/>
    <col min="5900" max="5900" width="13.453125" style="153" customWidth="1"/>
    <col min="5901" max="5901" width="16.453125" style="153" bestFit="1" customWidth="1"/>
    <col min="5902" max="5903" width="15.7265625" style="153" bestFit="1" customWidth="1"/>
    <col min="5904" max="5905" width="15.7265625" style="153" customWidth="1"/>
    <col min="5906" max="5916" width="15.7265625" style="153" bestFit="1" customWidth="1"/>
    <col min="5917" max="5917" width="14.7265625" style="153" bestFit="1" customWidth="1"/>
    <col min="5918" max="5918" width="18" style="153" customWidth="1"/>
    <col min="5919" max="6152" width="9.26953125" style="153"/>
    <col min="6153" max="6153" width="5.26953125" style="153" customWidth="1"/>
    <col min="6154" max="6154" width="28.453125" style="153" customWidth="1"/>
    <col min="6155" max="6155" width="18.453125" style="153" customWidth="1"/>
    <col min="6156" max="6156" width="13.453125" style="153" customWidth="1"/>
    <col min="6157" max="6157" width="16.453125" style="153" bestFit="1" customWidth="1"/>
    <col min="6158" max="6159" width="15.7265625" style="153" bestFit="1" customWidth="1"/>
    <col min="6160" max="6161" width="15.7265625" style="153" customWidth="1"/>
    <col min="6162" max="6172" width="15.7265625" style="153" bestFit="1" customWidth="1"/>
    <col min="6173" max="6173" width="14.7265625" style="153" bestFit="1" customWidth="1"/>
    <col min="6174" max="6174" width="18" style="153" customWidth="1"/>
    <col min="6175" max="6408" width="9.26953125" style="153"/>
    <col min="6409" max="6409" width="5.26953125" style="153" customWidth="1"/>
    <col min="6410" max="6410" width="28.453125" style="153" customWidth="1"/>
    <col min="6411" max="6411" width="18.453125" style="153" customWidth="1"/>
    <col min="6412" max="6412" width="13.453125" style="153" customWidth="1"/>
    <col min="6413" max="6413" width="16.453125" style="153" bestFit="1" customWidth="1"/>
    <col min="6414" max="6415" width="15.7265625" style="153" bestFit="1" customWidth="1"/>
    <col min="6416" max="6417" width="15.7265625" style="153" customWidth="1"/>
    <col min="6418" max="6428" width="15.7265625" style="153" bestFit="1" customWidth="1"/>
    <col min="6429" max="6429" width="14.7265625" style="153" bestFit="1" customWidth="1"/>
    <col min="6430" max="6430" width="18" style="153" customWidth="1"/>
    <col min="6431" max="6664" width="9.26953125" style="153"/>
    <col min="6665" max="6665" width="5.26953125" style="153" customWidth="1"/>
    <col min="6666" max="6666" width="28.453125" style="153" customWidth="1"/>
    <col min="6667" max="6667" width="18.453125" style="153" customWidth="1"/>
    <col min="6668" max="6668" width="13.453125" style="153" customWidth="1"/>
    <col min="6669" max="6669" width="16.453125" style="153" bestFit="1" customWidth="1"/>
    <col min="6670" max="6671" width="15.7265625" style="153" bestFit="1" customWidth="1"/>
    <col min="6672" max="6673" width="15.7265625" style="153" customWidth="1"/>
    <col min="6674" max="6684" width="15.7265625" style="153" bestFit="1" customWidth="1"/>
    <col min="6685" max="6685" width="14.7265625" style="153" bestFit="1" customWidth="1"/>
    <col min="6686" max="6686" width="18" style="153" customWidth="1"/>
    <col min="6687" max="6920" width="9.26953125" style="153"/>
    <col min="6921" max="6921" width="5.26953125" style="153" customWidth="1"/>
    <col min="6922" max="6922" width="28.453125" style="153" customWidth="1"/>
    <col min="6923" max="6923" width="18.453125" style="153" customWidth="1"/>
    <col min="6924" max="6924" width="13.453125" style="153" customWidth="1"/>
    <col min="6925" max="6925" width="16.453125" style="153" bestFit="1" customWidth="1"/>
    <col min="6926" max="6927" width="15.7265625" style="153" bestFit="1" customWidth="1"/>
    <col min="6928" max="6929" width="15.7265625" style="153" customWidth="1"/>
    <col min="6930" max="6940" width="15.7265625" style="153" bestFit="1" customWidth="1"/>
    <col min="6941" max="6941" width="14.7265625" style="153" bestFit="1" customWidth="1"/>
    <col min="6942" max="6942" width="18" style="153" customWidth="1"/>
    <col min="6943" max="7176" width="9.26953125" style="153"/>
    <col min="7177" max="7177" width="5.26953125" style="153" customWidth="1"/>
    <col min="7178" max="7178" width="28.453125" style="153" customWidth="1"/>
    <col min="7179" max="7179" width="18.453125" style="153" customWidth="1"/>
    <col min="7180" max="7180" width="13.453125" style="153" customWidth="1"/>
    <col min="7181" max="7181" width="16.453125" style="153" bestFit="1" customWidth="1"/>
    <col min="7182" max="7183" width="15.7265625" style="153" bestFit="1" customWidth="1"/>
    <col min="7184" max="7185" width="15.7265625" style="153" customWidth="1"/>
    <col min="7186" max="7196" width="15.7265625" style="153" bestFit="1" customWidth="1"/>
    <col min="7197" max="7197" width="14.7265625" style="153" bestFit="1" customWidth="1"/>
    <col min="7198" max="7198" width="18" style="153" customWidth="1"/>
    <col min="7199" max="7432" width="9.26953125" style="153"/>
    <col min="7433" max="7433" width="5.26953125" style="153" customWidth="1"/>
    <col min="7434" max="7434" width="28.453125" style="153" customWidth="1"/>
    <col min="7435" max="7435" width="18.453125" style="153" customWidth="1"/>
    <col min="7436" max="7436" width="13.453125" style="153" customWidth="1"/>
    <col min="7437" max="7437" width="16.453125" style="153" bestFit="1" customWidth="1"/>
    <col min="7438" max="7439" width="15.7265625" style="153" bestFit="1" customWidth="1"/>
    <col min="7440" max="7441" width="15.7265625" style="153" customWidth="1"/>
    <col min="7442" max="7452" width="15.7265625" style="153" bestFit="1" customWidth="1"/>
    <col min="7453" max="7453" width="14.7265625" style="153" bestFit="1" customWidth="1"/>
    <col min="7454" max="7454" width="18" style="153" customWidth="1"/>
    <col min="7455" max="7688" width="9.26953125" style="153"/>
    <col min="7689" max="7689" width="5.26953125" style="153" customWidth="1"/>
    <col min="7690" max="7690" width="28.453125" style="153" customWidth="1"/>
    <col min="7691" max="7691" width="18.453125" style="153" customWidth="1"/>
    <col min="7692" max="7692" width="13.453125" style="153" customWidth="1"/>
    <col min="7693" max="7693" width="16.453125" style="153" bestFit="1" customWidth="1"/>
    <col min="7694" max="7695" width="15.7265625" style="153" bestFit="1" customWidth="1"/>
    <col min="7696" max="7697" width="15.7265625" style="153" customWidth="1"/>
    <col min="7698" max="7708" width="15.7265625" style="153" bestFit="1" customWidth="1"/>
    <col min="7709" max="7709" width="14.7265625" style="153" bestFit="1" customWidth="1"/>
    <col min="7710" max="7710" width="18" style="153" customWidth="1"/>
    <col min="7711" max="7944" width="9.26953125" style="153"/>
    <col min="7945" max="7945" width="5.26953125" style="153" customWidth="1"/>
    <col min="7946" max="7946" width="28.453125" style="153" customWidth="1"/>
    <col min="7947" max="7947" width="18.453125" style="153" customWidth="1"/>
    <col min="7948" max="7948" width="13.453125" style="153" customWidth="1"/>
    <col min="7949" max="7949" width="16.453125" style="153" bestFit="1" customWidth="1"/>
    <col min="7950" max="7951" width="15.7265625" style="153" bestFit="1" customWidth="1"/>
    <col min="7952" max="7953" width="15.7265625" style="153" customWidth="1"/>
    <col min="7954" max="7964" width="15.7265625" style="153" bestFit="1" customWidth="1"/>
    <col min="7965" max="7965" width="14.7265625" style="153" bestFit="1" customWidth="1"/>
    <col min="7966" max="7966" width="18" style="153" customWidth="1"/>
    <col min="7967" max="8200" width="9.26953125" style="153"/>
    <col min="8201" max="8201" width="5.26953125" style="153" customWidth="1"/>
    <col min="8202" max="8202" width="28.453125" style="153" customWidth="1"/>
    <col min="8203" max="8203" width="18.453125" style="153" customWidth="1"/>
    <col min="8204" max="8204" width="13.453125" style="153" customWidth="1"/>
    <col min="8205" max="8205" width="16.453125" style="153" bestFit="1" customWidth="1"/>
    <col min="8206" max="8207" width="15.7265625" style="153" bestFit="1" customWidth="1"/>
    <col min="8208" max="8209" width="15.7265625" style="153" customWidth="1"/>
    <col min="8210" max="8220" width="15.7265625" style="153" bestFit="1" customWidth="1"/>
    <col min="8221" max="8221" width="14.7265625" style="153" bestFit="1" customWidth="1"/>
    <col min="8222" max="8222" width="18" style="153" customWidth="1"/>
    <col min="8223" max="8456" width="9.26953125" style="153"/>
    <col min="8457" max="8457" width="5.26953125" style="153" customWidth="1"/>
    <col min="8458" max="8458" width="28.453125" style="153" customWidth="1"/>
    <col min="8459" max="8459" width="18.453125" style="153" customWidth="1"/>
    <col min="8460" max="8460" width="13.453125" style="153" customWidth="1"/>
    <col min="8461" max="8461" width="16.453125" style="153" bestFit="1" customWidth="1"/>
    <col min="8462" max="8463" width="15.7265625" style="153" bestFit="1" customWidth="1"/>
    <col min="8464" max="8465" width="15.7265625" style="153" customWidth="1"/>
    <col min="8466" max="8476" width="15.7265625" style="153" bestFit="1" customWidth="1"/>
    <col min="8477" max="8477" width="14.7265625" style="153" bestFit="1" customWidth="1"/>
    <col min="8478" max="8478" width="18" style="153" customWidth="1"/>
    <col min="8479" max="8712" width="9.26953125" style="153"/>
    <col min="8713" max="8713" width="5.26953125" style="153" customWidth="1"/>
    <col min="8714" max="8714" width="28.453125" style="153" customWidth="1"/>
    <col min="8715" max="8715" width="18.453125" style="153" customWidth="1"/>
    <col min="8716" max="8716" width="13.453125" style="153" customWidth="1"/>
    <col min="8717" max="8717" width="16.453125" style="153" bestFit="1" customWidth="1"/>
    <col min="8718" max="8719" width="15.7265625" style="153" bestFit="1" customWidth="1"/>
    <col min="8720" max="8721" width="15.7265625" style="153" customWidth="1"/>
    <col min="8722" max="8732" width="15.7265625" style="153" bestFit="1" customWidth="1"/>
    <col min="8733" max="8733" width="14.7265625" style="153" bestFit="1" customWidth="1"/>
    <col min="8734" max="8734" width="18" style="153" customWidth="1"/>
    <col min="8735" max="8968" width="9.26953125" style="153"/>
    <col min="8969" max="8969" width="5.26953125" style="153" customWidth="1"/>
    <col min="8970" max="8970" width="28.453125" style="153" customWidth="1"/>
    <col min="8971" max="8971" width="18.453125" style="153" customWidth="1"/>
    <col min="8972" max="8972" width="13.453125" style="153" customWidth="1"/>
    <col min="8973" max="8973" width="16.453125" style="153" bestFit="1" customWidth="1"/>
    <col min="8974" max="8975" width="15.7265625" style="153" bestFit="1" customWidth="1"/>
    <col min="8976" max="8977" width="15.7265625" style="153" customWidth="1"/>
    <col min="8978" max="8988" width="15.7265625" style="153" bestFit="1" customWidth="1"/>
    <col min="8989" max="8989" width="14.7265625" style="153" bestFit="1" customWidth="1"/>
    <col min="8990" max="8990" width="18" style="153" customWidth="1"/>
    <col min="8991" max="9224" width="9.26953125" style="153"/>
    <col min="9225" max="9225" width="5.26953125" style="153" customWidth="1"/>
    <col min="9226" max="9226" width="28.453125" style="153" customWidth="1"/>
    <col min="9227" max="9227" width="18.453125" style="153" customWidth="1"/>
    <col min="9228" max="9228" width="13.453125" style="153" customWidth="1"/>
    <col min="9229" max="9229" width="16.453125" style="153" bestFit="1" customWidth="1"/>
    <col min="9230" max="9231" width="15.7265625" style="153" bestFit="1" customWidth="1"/>
    <col min="9232" max="9233" width="15.7265625" style="153" customWidth="1"/>
    <col min="9234" max="9244" width="15.7265625" style="153" bestFit="1" customWidth="1"/>
    <col min="9245" max="9245" width="14.7265625" style="153" bestFit="1" customWidth="1"/>
    <col min="9246" max="9246" width="18" style="153" customWidth="1"/>
    <col min="9247" max="9480" width="9.26953125" style="153"/>
    <col min="9481" max="9481" width="5.26953125" style="153" customWidth="1"/>
    <col min="9482" max="9482" width="28.453125" style="153" customWidth="1"/>
    <col min="9483" max="9483" width="18.453125" style="153" customWidth="1"/>
    <col min="9484" max="9484" width="13.453125" style="153" customWidth="1"/>
    <col min="9485" max="9485" width="16.453125" style="153" bestFit="1" customWidth="1"/>
    <col min="9486" max="9487" width="15.7265625" style="153" bestFit="1" customWidth="1"/>
    <col min="9488" max="9489" width="15.7265625" style="153" customWidth="1"/>
    <col min="9490" max="9500" width="15.7265625" style="153" bestFit="1" customWidth="1"/>
    <col min="9501" max="9501" width="14.7265625" style="153" bestFit="1" customWidth="1"/>
    <col min="9502" max="9502" width="18" style="153" customWidth="1"/>
    <col min="9503" max="9736" width="9.26953125" style="153"/>
    <col min="9737" max="9737" width="5.26953125" style="153" customWidth="1"/>
    <col min="9738" max="9738" width="28.453125" style="153" customWidth="1"/>
    <col min="9739" max="9739" width="18.453125" style="153" customWidth="1"/>
    <col min="9740" max="9740" width="13.453125" style="153" customWidth="1"/>
    <col min="9741" max="9741" width="16.453125" style="153" bestFit="1" customWidth="1"/>
    <col min="9742" max="9743" width="15.7265625" style="153" bestFit="1" customWidth="1"/>
    <col min="9744" max="9745" width="15.7265625" style="153" customWidth="1"/>
    <col min="9746" max="9756" width="15.7265625" style="153" bestFit="1" customWidth="1"/>
    <col min="9757" max="9757" width="14.7265625" style="153" bestFit="1" customWidth="1"/>
    <col min="9758" max="9758" width="18" style="153" customWidth="1"/>
    <col min="9759" max="9992" width="9.26953125" style="153"/>
    <col min="9993" max="9993" width="5.26953125" style="153" customWidth="1"/>
    <col min="9994" max="9994" width="28.453125" style="153" customWidth="1"/>
    <col min="9995" max="9995" width="18.453125" style="153" customWidth="1"/>
    <col min="9996" max="9996" width="13.453125" style="153" customWidth="1"/>
    <col min="9997" max="9997" width="16.453125" style="153" bestFit="1" customWidth="1"/>
    <col min="9998" max="9999" width="15.7265625" style="153" bestFit="1" customWidth="1"/>
    <col min="10000" max="10001" width="15.7265625" style="153" customWidth="1"/>
    <col min="10002" max="10012" width="15.7265625" style="153" bestFit="1" customWidth="1"/>
    <col min="10013" max="10013" width="14.7265625" style="153" bestFit="1" customWidth="1"/>
    <col min="10014" max="10014" width="18" style="153" customWidth="1"/>
    <col min="10015" max="10248" width="9.26953125" style="153"/>
    <col min="10249" max="10249" width="5.26953125" style="153" customWidth="1"/>
    <col min="10250" max="10250" width="28.453125" style="153" customWidth="1"/>
    <col min="10251" max="10251" width="18.453125" style="153" customWidth="1"/>
    <col min="10252" max="10252" width="13.453125" style="153" customWidth="1"/>
    <col min="10253" max="10253" width="16.453125" style="153" bestFit="1" customWidth="1"/>
    <col min="10254" max="10255" width="15.7265625" style="153" bestFit="1" customWidth="1"/>
    <col min="10256" max="10257" width="15.7265625" style="153" customWidth="1"/>
    <col min="10258" max="10268" width="15.7265625" style="153" bestFit="1" customWidth="1"/>
    <col min="10269" max="10269" width="14.7265625" style="153" bestFit="1" customWidth="1"/>
    <col min="10270" max="10270" width="18" style="153" customWidth="1"/>
    <col min="10271" max="10504" width="9.26953125" style="153"/>
    <col min="10505" max="10505" width="5.26953125" style="153" customWidth="1"/>
    <col min="10506" max="10506" width="28.453125" style="153" customWidth="1"/>
    <col min="10507" max="10507" width="18.453125" style="153" customWidth="1"/>
    <col min="10508" max="10508" width="13.453125" style="153" customWidth="1"/>
    <col min="10509" max="10509" width="16.453125" style="153" bestFit="1" customWidth="1"/>
    <col min="10510" max="10511" width="15.7265625" style="153" bestFit="1" customWidth="1"/>
    <col min="10512" max="10513" width="15.7265625" style="153" customWidth="1"/>
    <col min="10514" max="10524" width="15.7265625" style="153" bestFit="1" customWidth="1"/>
    <col min="10525" max="10525" width="14.7265625" style="153" bestFit="1" customWidth="1"/>
    <col min="10526" max="10526" width="18" style="153" customWidth="1"/>
    <col min="10527" max="10760" width="9.26953125" style="153"/>
    <col min="10761" max="10761" width="5.26953125" style="153" customWidth="1"/>
    <col min="10762" max="10762" width="28.453125" style="153" customWidth="1"/>
    <col min="10763" max="10763" width="18.453125" style="153" customWidth="1"/>
    <col min="10764" max="10764" width="13.453125" style="153" customWidth="1"/>
    <col min="10765" max="10765" width="16.453125" style="153" bestFit="1" customWidth="1"/>
    <col min="10766" max="10767" width="15.7265625" style="153" bestFit="1" customWidth="1"/>
    <col min="10768" max="10769" width="15.7265625" style="153" customWidth="1"/>
    <col min="10770" max="10780" width="15.7265625" style="153" bestFit="1" customWidth="1"/>
    <col min="10781" max="10781" width="14.7265625" style="153" bestFit="1" customWidth="1"/>
    <col min="10782" max="10782" width="18" style="153" customWidth="1"/>
    <col min="10783" max="11016" width="9.26953125" style="153"/>
    <col min="11017" max="11017" width="5.26953125" style="153" customWidth="1"/>
    <col min="11018" max="11018" width="28.453125" style="153" customWidth="1"/>
    <col min="11019" max="11019" width="18.453125" style="153" customWidth="1"/>
    <col min="11020" max="11020" width="13.453125" style="153" customWidth="1"/>
    <col min="11021" max="11021" width="16.453125" style="153" bestFit="1" customWidth="1"/>
    <col min="11022" max="11023" width="15.7265625" style="153" bestFit="1" customWidth="1"/>
    <col min="11024" max="11025" width="15.7265625" style="153" customWidth="1"/>
    <col min="11026" max="11036" width="15.7265625" style="153" bestFit="1" customWidth="1"/>
    <col min="11037" max="11037" width="14.7265625" style="153" bestFit="1" customWidth="1"/>
    <col min="11038" max="11038" width="18" style="153" customWidth="1"/>
    <col min="11039" max="11272" width="9.26953125" style="153"/>
    <col min="11273" max="11273" width="5.26953125" style="153" customWidth="1"/>
    <col min="11274" max="11274" width="28.453125" style="153" customWidth="1"/>
    <col min="11275" max="11275" width="18.453125" style="153" customWidth="1"/>
    <col min="11276" max="11276" width="13.453125" style="153" customWidth="1"/>
    <col min="11277" max="11277" width="16.453125" style="153" bestFit="1" customWidth="1"/>
    <col min="11278" max="11279" width="15.7265625" style="153" bestFit="1" customWidth="1"/>
    <col min="11280" max="11281" width="15.7265625" style="153" customWidth="1"/>
    <col min="11282" max="11292" width="15.7265625" style="153" bestFit="1" customWidth="1"/>
    <col min="11293" max="11293" width="14.7265625" style="153" bestFit="1" customWidth="1"/>
    <col min="11294" max="11294" width="18" style="153" customWidth="1"/>
    <col min="11295" max="11528" width="9.26953125" style="153"/>
    <col min="11529" max="11529" width="5.26953125" style="153" customWidth="1"/>
    <col min="11530" max="11530" width="28.453125" style="153" customWidth="1"/>
    <col min="11531" max="11531" width="18.453125" style="153" customWidth="1"/>
    <col min="11532" max="11532" width="13.453125" style="153" customWidth="1"/>
    <col min="11533" max="11533" width="16.453125" style="153" bestFit="1" customWidth="1"/>
    <col min="11534" max="11535" width="15.7265625" style="153" bestFit="1" customWidth="1"/>
    <col min="11536" max="11537" width="15.7265625" style="153" customWidth="1"/>
    <col min="11538" max="11548" width="15.7265625" style="153" bestFit="1" customWidth="1"/>
    <col min="11549" max="11549" width="14.7265625" style="153" bestFit="1" customWidth="1"/>
    <col min="11550" max="11550" width="18" style="153" customWidth="1"/>
    <col min="11551" max="11784" width="9.26953125" style="153"/>
    <col min="11785" max="11785" width="5.26953125" style="153" customWidth="1"/>
    <col min="11786" max="11786" width="28.453125" style="153" customWidth="1"/>
    <col min="11787" max="11787" width="18.453125" style="153" customWidth="1"/>
    <col min="11788" max="11788" width="13.453125" style="153" customWidth="1"/>
    <col min="11789" max="11789" width="16.453125" style="153" bestFit="1" customWidth="1"/>
    <col min="11790" max="11791" width="15.7265625" style="153" bestFit="1" customWidth="1"/>
    <col min="11792" max="11793" width="15.7265625" style="153" customWidth="1"/>
    <col min="11794" max="11804" width="15.7265625" style="153" bestFit="1" customWidth="1"/>
    <col min="11805" max="11805" width="14.7265625" style="153" bestFit="1" customWidth="1"/>
    <col min="11806" max="11806" width="18" style="153" customWidth="1"/>
    <col min="11807" max="12040" width="9.26953125" style="153"/>
    <col min="12041" max="12041" width="5.26953125" style="153" customWidth="1"/>
    <col min="12042" max="12042" width="28.453125" style="153" customWidth="1"/>
    <col min="12043" max="12043" width="18.453125" style="153" customWidth="1"/>
    <col min="12044" max="12044" width="13.453125" style="153" customWidth="1"/>
    <col min="12045" max="12045" width="16.453125" style="153" bestFit="1" customWidth="1"/>
    <col min="12046" max="12047" width="15.7265625" style="153" bestFit="1" customWidth="1"/>
    <col min="12048" max="12049" width="15.7265625" style="153" customWidth="1"/>
    <col min="12050" max="12060" width="15.7265625" style="153" bestFit="1" customWidth="1"/>
    <col min="12061" max="12061" width="14.7265625" style="153" bestFit="1" customWidth="1"/>
    <col min="12062" max="12062" width="18" style="153" customWidth="1"/>
    <col min="12063" max="12296" width="9.26953125" style="153"/>
    <col min="12297" max="12297" width="5.26953125" style="153" customWidth="1"/>
    <col min="12298" max="12298" width="28.453125" style="153" customWidth="1"/>
    <col min="12299" max="12299" width="18.453125" style="153" customWidth="1"/>
    <col min="12300" max="12300" width="13.453125" style="153" customWidth="1"/>
    <col min="12301" max="12301" width="16.453125" style="153" bestFit="1" customWidth="1"/>
    <col min="12302" max="12303" width="15.7265625" style="153" bestFit="1" customWidth="1"/>
    <col min="12304" max="12305" width="15.7265625" style="153" customWidth="1"/>
    <col min="12306" max="12316" width="15.7265625" style="153" bestFit="1" customWidth="1"/>
    <col min="12317" max="12317" width="14.7265625" style="153" bestFit="1" customWidth="1"/>
    <col min="12318" max="12318" width="18" style="153" customWidth="1"/>
    <col min="12319" max="12552" width="9.26953125" style="153"/>
    <col min="12553" max="12553" width="5.26953125" style="153" customWidth="1"/>
    <col min="12554" max="12554" width="28.453125" style="153" customWidth="1"/>
    <col min="12555" max="12555" width="18.453125" style="153" customWidth="1"/>
    <col min="12556" max="12556" width="13.453125" style="153" customWidth="1"/>
    <col min="12557" max="12557" width="16.453125" style="153" bestFit="1" customWidth="1"/>
    <col min="12558" max="12559" width="15.7265625" style="153" bestFit="1" customWidth="1"/>
    <col min="12560" max="12561" width="15.7265625" style="153" customWidth="1"/>
    <col min="12562" max="12572" width="15.7265625" style="153" bestFit="1" customWidth="1"/>
    <col min="12573" max="12573" width="14.7265625" style="153" bestFit="1" customWidth="1"/>
    <col min="12574" max="12574" width="18" style="153" customWidth="1"/>
    <col min="12575" max="12808" width="9.26953125" style="153"/>
    <col min="12809" max="12809" width="5.26953125" style="153" customWidth="1"/>
    <col min="12810" max="12810" width="28.453125" style="153" customWidth="1"/>
    <col min="12811" max="12811" width="18.453125" style="153" customWidth="1"/>
    <col min="12812" max="12812" width="13.453125" style="153" customWidth="1"/>
    <col min="12813" max="12813" width="16.453125" style="153" bestFit="1" customWidth="1"/>
    <col min="12814" max="12815" width="15.7265625" style="153" bestFit="1" customWidth="1"/>
    <col min="12816" max="12817" width="15.7265625" style="153" customWidth="1"/>
    <col min="12818" max="12828" width="15.7265625" style="153" bestFit="1" customWidth="1"/>
    <col min="12829" max="12829" width="14.7265625" style="153" bestFit="1" customWidth="1"/>
    <col min="12830" max="12830" width="18" style="153" customWidth="1"/>
    <col min="12831" max="13064" width="9.26953125" style="153"/>
    <col min="13065" max="13065" width="5.26953125" style="153" customWidth="1"/>
    <col min="13066" max="13066" width="28.453125" style="153" customWidth="1"/>
    <col min="13067" max="13067" width="18.453125" style="153" customWidth="1"/>
    <col min="13068" max="13068" width="13.453125" style="153" customWidth="1"/>
    <col min="13069" max="13069" width="16.453125" style="153" bestFit="1" customWidth="1"/>
    <col min="13070" max="13071" width="15.7265625" style="153" bestFit="1" customWidth="1"/>
    <col min="13072" max="13073" width="15.7265625" style="153" customWidth="1"/>
    <col min="13074" max="13084" width="15.7265625" style="153" bestFit="1" customWidth="1"/>
    <col min="13085" max="13085" width="14.7265625" style="153" bestFit="1" customWidth="1"/>
    <col min="13086" max="13086" width="18" style="153" customWidth="1"/>
    <col min="13087" max="13320" width="9.26953125" style="153"/>
    <col min="13321" max="13321" width="5.26953125" style="153" customWidth="1"/>
    <col min="13322" max="13322" width="28.453125" style="153" customWidth="1"/>
    <col min="13323" max="13323" width="18.453125" style="153" customWidth="1"/>
    <col min="13324" max="13324" width="13.453125" style="153" customWidth="1"/>
    <col min="13325" max="13325" width="16.453125" style="153" bestFit="1" customWidth="1"/>
    <col min="13326" max="13327" width="15.7265625" style="153" bestFit="1" customWidth="1"/>
    <col min="13328" max="13329" width="15.7265625" style="153" customWidth="1"/>
    <col min="13330" max="13340" width="15.7265625" style="153" bestFit="1" customWidth="1"/>
    <col min="13341" max="13341" width="14.7265625" style="153" bestFit="1" customWidth="1"/>
    <col min="13342" max="13342" width="18" style="153" customWidth="1"/>
    <col min="13343" max="13576" width="9.26953125" style="153"/>
    <col min="13577" max="13577" width="5.26953125" style="153" customWidth="1"/>
    <col min="13578" max="13578" width="28.453125" style="153" customWidth="1"/>
    <col min="13579" max="13579" width="18.453125" style="153" customWidth="1"/>
    <col min="13580" max="13580" width="13.453125" style="153" customWidth="1"/>
    <col min="13581" max="13581" width="16.453125" style="153" bestFit="1" customWidth="1"/>
    <col min="13582" max="13583" width="15.7265625" style="153" bestFit="1" customWidth="1"/>
    <col min="13584" max="13585" width="15.7265625" style="153" customWidth="1"/>
    <col min="13586" max="13596" width="15.7265625" style="153" bestFit="1" customWidth="1"/>
    <col min="13597" max="13597" width="14.7265625" style="153" bestFit="1" customWidth="1"/>
    <col min="13598" max="13598" width="18" style="153" customWidth="1"/>
    <col min="13599" max="13832" width="9.26953125" style="153"/>
    <col min="13833" max="13833" width="5.26953125" style="153" customWidth="1"/>
    <col min="13834" max="13834" width="28.453125" style="153" customWidth="1"/>
    <col min="13835" max="13835" width="18.453125" style="153" customWidth="1"/>
    <col min="13836" max="13836" width="13.453125" style="153" customWidth="1"/>
    <col min="13837" max="13837" width="16.453125" style="153" bestFit="1" customWidth="1"/>
    <col min="13838" max="13839" width="15.7265625" style="153" bestFit="1" customWidth="1"/>
    <col min="13840" max="13841" width="15.7265625" style="153" customWidth="1"/>
    <col min="13842" max="13852" width="15.7265625" style="153" bestFit="1" customWidth="1"/>
    <col min="13853" max="13853" width="14.7265625" style="153" bestFit="1" customWidth="1"/>
    <col min="13854" max="13854" width="18" style="153" customWidth="1"/>
    <col min="13855" max="14088" width="9.26953125" style="153"/>
    <col min="14089" max="14089" width="5.26953125" style="153" customWidth="1"/>
    <col min="14090" max="14090" width="28.453125" style="153" customWidth="1"/>
    <col min="14091" max="14091" width="18.453125" style="153" customWidth="1"/>
    <col min="14092" max="14092" width="13.453125" style="153" customWidth="1"/>
    <col min="14093" max="14093" width="16.453125" style="153" bestFit="1" customWidth="1"/>
    <col min="14094" max="14095" width="15.7265625" style="153" bestFit="1" customWidth="1"/>
    <col min="14096" max="14097" width="15.7265625" style="153" customWidth="1"/>
    <col min="14098" max="14108" width="15.7265625" style="153" bestFit="1" customWidth="1"/>
    <col min="14109" max="14109" width="14.7265625" style="153" bestFit="1" customWidth="1"/>
    <col min="14110" max="14110" width="18" style="153" customWidth="1"/>
    <col min="14111" max="14344" width="9.26953125" style="153"/>
    <col min="14345" max="14345" width="5.26953125" style="153" customWidth="1"/>
    <col min="14346" max="14346" width="28.453125" style="153" customWidth="1"/>
    <col min="14347" max="14347" width="18.453125" style="153" customWidth="1"/>
    <col min="14348" max="14348" width="13.453125" style="153" customWidth="1"/>
    <col min="14349" max="14349" width="16.453125" style="153" bestFit="1" customWidth="1"/>
    <col min="14350" max="14351" width="15.7265625" style="153" bestFit="1" customWidth="1"/>
    <col min="14352" max="14353" width="15.7265625" style="153" customWidth="1"/>
    <col min="14354" max="14364" width="15.7265625" style="153" bestFit="1" customWidth="1"/>
    <col min="14365" max="14365" width="14.7265625" style="153" bestFit="1" customWidth="1"/>
    <col min="14366" max="14366" width="18" style="153" customWidth="1"/>
    <col min="14367" max="14600" width="9.26953125" style="153"/>
    <col min="14601" max="14601" width="5.26953125" style="153" customWidth="1"/>
    <col min="14602" max="14602" width="28.453125" style="153" customWidth="1"/>
    <col min="14603" max="14603" width="18.453125" style="153" customWidth="1"/>
    <col min="14604" max="14604" width="13.453125" style="153" customWidth="1"/>
    <col min="14605" max="14605" width="16.453125" style="153" bestFit="1" customWidth="1"/>
    <col min="14606" max="14607" width="15.7265625" style="153" bestFit="1" customWidth="1"/>
    <col min="14608" max="14609" width="15.7265625" style="153" customWidth="1"/>
    <col min="14610" max="14620" width="15.7265625" style="153" bestFit="1" customWidth="1"/>
    <col min="14621" max="14621" width="14.7265625" style="153" bestFit="1" customWidth="1"/>
    <col min="14622" max="14622" width="18" style="153" customWidth="1"/>
    <col min="14623" max="14856" width="9.26953125" style="153"/>
    <col min="14857" max="14857" width="5.26953125" style="153" customWidth="1"/>
    <col min="14858" max="14858" width="28.453125" style="153" customWidth="1"/>
    <col min="14859" max="14859" width="18.453125" style="153" customWidth="1"/>
    <col min="14860" max="14860" width="13.453125" style="153" customWidth="1"/>
    <col min="14861" max="14861" width="16.453125" style="153" bestFit="1" customWidth="1"/>
    <col min="14862" max="14863" width="15.7265625" style="153" bestFit="1" customWidth="1"/>
    <col min="14864" max="14865" width="15.7265625" style="153" customWidth="1"/>
    <col min="14866" max="14876" width="15.7265625" style="153" bestFit="1" customWidth="1"/>
    <col min="14877" max="14877" width="14.7265625" style="153" bestFit="1" customWidth="1"/>
    <col min="14878" max="14878" width="18" style="153" customWidth="1"/>
    <col min="14879" max="15112" width="9.26953125" style="153"/>
    <col min="15113" max="15113" width="5.26953125" style="153" customWidth="1"/>
    <col min="15114" max="15114" width="28.453125" style="153" customWidth="1"/>
    <col min="15115" max="15115" width="18.453125" style="153" customWidth="1"/>
    <col min="15116" max="15116" width="13.453125" style="153" customWidth="1"/>
    <col min="15117" max="15117" width="16.453125" style="153" bestFit="1" customWidth="1"/>
    <col min="15118" max="15119" width="15.7265625" style="153" bestFit="1" customWidth="1"/>
    <col min="15120" max="15121" width="15.7265625" style="153" customWidth="1"/>
    <col min="15122" max="15132" width="15.7265625" style="153" bestFit="1" customWidth="1"/>
    <col min="15133" max="15133" width="14.7265625" style="153" bestFit="1" customWidth="1"/>
    <col min="15134" max="15134" width="18" style="153" customWidth="1"/>
    <col min="15135" max="15368" width="9.26953125" style="153"/>
    <col min="15369" max="15369" width="5.26953125" style="153" customWidth="1"/>
    <col min="15370" max="15370" width="28.453125" style="153" customWidth="1"/>
    <col min="15371" max="15371" width="18.453125" style="153" customWidth="1"/>
    <col min="15372" max="15372" width="13.453125" style="153" customWidth="1"/>
    <col min="15373" max="15373" width="16.453125" style="153" bestFit="1" customWidth="1"/>
    <col min="15374" max="15375" width="15.7265625" style="153" bestFit="1" customWidth="1"/>
    <col min="15376" max="15377" width="15.7265625" style="153" customWidth="1"/>
    <col min="15378" max="15388" width="15.7265625" style="153" bestFit="1" customWidth="1"/>
    <col min="15389" max="15389" width="14.7265625" style="153" bestFit="1" customWidth="1"/>
    <col min="15390" max="15390" width="18" style="153" customWidth="1"/>
    <col min="15391" max="15624" width="9.26953125" style="153"/>
    <col min="15625" max="15625" width="5.26953125" style="153" customWidth="1"/>
    <col min="15626" max="15626" width="28.453125" style="153" customWidth="1"/>
    <col min="15627" max="15627" width="18.453125" style="153" customWidth="1"/>
    <col min="15628" max="15628" width="13.453125" style="153" customWidth="1"/>
    <col min="15629" max="15629" width="16.453125" style="153" bestFit="1" customWidth="1"/>
    <col min="15630" max="15631" width="15.7265625" style="153" bestFit="1" customWidth="1"/>
    <col min="15632" max="15633" width="15.7265625" style="153" customWidth="1"/>
    <col min="15634" max="15644" width="15.7265625" style="153" bestFit="1" customWidth="1"/>
    <col min="15645" max="15645" width="14.7265625" style="153" bestFit="1" customWidth="1"/>
    <col min="15646" max="15646" width="18" style="153" customWidth="1"/>
    <col min="15647" max="15880" width="9.26953125" style="153"/>
    <col min="15881" max="15881" width="5.26953125" style="153" customWidth="1"/>
    <col min="15882" max="15882" width="28.453125" style="153" customWidth="1"/>
    <col min="15883" max="15883" width="18.453125" style="153" customWidth="1"/>
    <col min="15884" max="15884" width="13.453125" style="153" customWidth="1"/>
    <col min="15885" max="15885" width="16.453125" style="153" bestFit="1" customWidth="1"/>
    <col min="15886" max="15887" width="15.7265625" style="153" bestFit="1" customWidth="1"/>
    <col min="15888" max="15889" width="15.7265625" style="153" customWidth="1"/>
    <col min="15890" max="15900" width="15.7265625" style="153" bestFit="1" customWidth="1"/>
    <col min="15901" max="15901" width="14.7265625" style="153" bestFit="1" customWidth="1"/>
    <col min="15902" max="15902" width="18" style="153" customWidth="1"/>
    <col min="15903" max="16136" width="9.26953125" style="153"/>
    <col min="16137" max="16137" width="5.26953125" style="153" customWidth="1"/>
    <col min="16138" max="16138" width="28.453125" style="153" customWidth="1"/>
    <col min="16139" max="16139" width="18.453125" style="153" customWidth="1"/>
    <col min="16140" max="16140" width="13.453125" style="153" customWidth="1"/>
    <col min="16141" max="16141" width="16.453125" style="153" bestFit="1" customWidth="1"/>
    <col min="16142" max="16143" width="15.7265625" style="153" bestFit="1" customWidth="1"/>
    <col min="16144" max="16145" width="15.7265625" style="153" customWidth="1"/>
    <col min="16146" max="16156" width="15.7265625" style="153" bestFit="1" customWidth="1"/>
    <col min="16157" max="16157" width="14.7265625" style="153" bestFit="1" customWidth="1"/>
    <col min="16158" max="16158" width="18" style="153" customWidth="1"/>
    <col min="16159" max="16381" width="9.26953125" style="153"/>
    <col min="16382" max="16384" width="9.26953125" style="153" customWidth="1"/>
  </cols>
  <sheetData>
    <row r="1" spans="1:45" s="8" customFormat="1">
      <c r="A1" s="621" t="s">
        <v>88</v>
      </c>
      <c r="B1" s="621"/>
      <c r="C1" s="621"/>
      <c r="D1" s="621"/>
      <c r="E1" s="621"/>
      <c r="F1" s="621"/>
      <c r="G1" s="621"/>
    </row>
    <row r="2" spans="1:45" s="8" customFormat="1" ht="18" customHeight="1">
      <c r="A2" s="621"/>
      <c r="B2" s="621"/>
      <c r="C2" s="621"/>
      <c r="D2" s="621"/>
      <c r="E2" s="621"/>
      <c r="F2" s="621"/>
      <c r="G2" s="621"/>
      <c r="S2" s="39"/>
    </row>
    <row r="3" spans="1:45" s="8" customFormat="1" ht="18" customHeight="1">
      <c r="A3" s="621"/>
      <c r="B3" s="621"/>
      <c r="C3" s="621"/>
      <c r="D3" s="621"/>
      <c r="E3" s="621"/>
      <c r="F3" s="621"/>
      <c r="G3" s="621"/>
      <c r="K3" s="395"/>
      <c r="S3" s="39"/>
    </row>
    <row r="4" spans="1:45">
      <c r="I4" s="154">
        <v>1</v>
      </c>
      <c r="J4" s="154">
        <f>I4+1</f>
        <v>2</v>
      </c>
      <c r="K4" s="154">
        <f t="shared" ref="K4:AS4" si="0">J4+1</f>
        <v>3</v>
      </c>
      <c r="L4" s="154">
        <f t="shared" si="0"/>
        <v>4</v>
      </c>
      <c r="M4" s="154">
        <f t="shared" si="0"/>
        <v>5</v>
      </c>
      <c r="N4" s="154">
        <f t="shared" si="0"/>
        <v>6</v>
      </c>
      <c r="O4" s="154">
        <f t="shared" si="0"/>
        <v>7</v>
      </c>
      <c r="P4" s="154">
        <f t="shared" si="0"/>
        <v>8</v>
      </c>
      <c r="Q4" s="154">
        <f t="shared" si="0"/>
        <v>9</v>
      </c>
      <c r="R4" s="154">
        <f t="shared" si="0"/>
        <v>10</v>
      </c>
      <c r="S4" s="154">
        <f t="shared" si="0"/>
        <v>11</v>
      </c>
      <c r="T4" s="154">
        <f t="shared" si="0"/>
        <v>12</v>
      </c>
      <c r="U4" s="154">
        <f t="shared" si="0"/>
        <v>13</v>
      </c>
      <c r="V4" s="154">
        <f t="shared" si="0"/>
        <v>14</v>
      </c>
      <c r="W4" s="154">
        <f t="shared" si="0"/>
        <v>15</v>
      </c>
      <c r="X4" s="154">
        <f t="shared" si="0"/>
        <v>16</v>
      </c>
      <c r="Y4" s="154">
        <f t="shared" si="0"/>
        <v>17</v>
      </c>
      <c r="Z4" s="154">
        <f t="shared" si="0"/>
        <v>18</v>
      </c>
      <c r="AA4" s="154">
        <f t="shared" si="0"/>
        <v>19</v>
      </c>
      <c r="AB4" s="154">
        <f t="shared" si="0"/>
        <v>20</v>
      </c>
      <c r="AC4" s="154">
        <f t="shared" si="0"/>
        <v>21</v>
      </c>
      <c r="AD4" s="154">
        <f t="shared" si="0"/>
        <v>22</v>
      </c>
      <c r="AE4" s="154">
        <f t="shared" si="0"/>
        <v>23</v>
      </c>
      <c r="AF4" s="154">
        <f t="shared" si="0"/>
        <v>24</v>
      </c>
      <c r="AG4" s="154">
        <f t="shared" si="0"/>
        <v>25</v>
      </c>
      <c r="AH4" s="154">
        <f t="shared" si="0"/>
        <v>26</v>
      </c>
      <c r="AI4" s="154">
        <f t="shared" si="0"/>
        <v>27</v>
      </c>
      <c r="AJ4" s="154">
        <f t="shared" si="0"/>
        <v>28</v>
      </c>
      <c r="AK4" s="154">
        <f t="shared" si="0"/>
        <v>29</v>
      </c>
      <c r="AL4" s="154">
        <f t="shared" si="0"/>
        <v>30</v>
      </c>
      <c r="AM4" s="154">
        <f t="shared" si="0"/>
        <v>31</v>
      </c>
      <c r="AN4" s="154">
        <f t="shared" si="0"/>
        <v>32</v>
      </c>
      <c r="AO4" s="154">
        <f t="shared" si="0"/>
        <v>33</v>
      </c>
      <c r="AP4" s="154">
        <f t="shared" si="0"/>
        <v>34</v>
      </c>
      <c r="AQ4" s="154">
        <f t="shared" si="0"/>
        <v>35</v>
      </c>
      <c r="AR4" s="154">
        <f t="shared" si="0"/>
        <v>36</v>
      </c>
      <c r="AS4" s="154">
        <f t="shared" si="0"/>
        <v>37</v>
      </c>
    </row>
    <row r="5" spans="1:45" ht="19.5" customHeight="1">
      <c r="A5" s="623" t="s">
        <v>48</v>
      </c>
      <c r="B5" s="623" t="s">
        <v>89</v>
      </c>
      <c r="C5" s="623" t="s">
        <v>90</v>
      </c>
      <c r="D5" s="624" t="s">
        <v>3</v>
      </c>
      <c r="E5" s="626" t="s">
        <v>91</v>
      </c>
      <c r="F5" s="626"/>
      <c r="G5" s="626"/>
      <c r="H5" s="626"/>
      <c r="I5" s="626"/>
      <c r="J5" s="626"/>
      <c r="K5" s="626"/>
      <c r="L5" s="626"/>
      <c r="M5" s="626"/>
      <c r="N5" s="626"/>
      <c r="O5" s="626"/>
      <c r="P5" s="626"/>
      <c r="Q5" s="626"/>
      <c r="R5" s="626"/>
      <c r="S5" s="626"/>
      <c r="T5" s="626"/>
      <c r="U5" s="626"/>
      <c r="V5" s="626"/>
      <c r="W5" s="626"/>
      <c r="X5" s="626"/>
      <c r="Y5" s="626"/>
      <c r="Z5" s="626"/>
      <c r="AA5" s="626"/>
      <c r="AB5" s="626"/>
      <c r="AC5" s="626"/>
      <c r="AD5" s="626"/>
      <c r="AE5" s="626"/>
      <c r="AF5" s="626"/>
      <c r="AG5" s="626"/>
      <c r="AH5" s="626"/>
      <c r="AI5" s="626"/>
      <c r="AJ5" s="626"/>
      <c r="AK5" s="626"/>
      <c r="AL5" s="626"/>
      <c r="AM5" s="626"/>
      <c r="AN5" s="626"/>
      <c r="AO5" s="626"/>
      <c r="AP5" s="626"/>
      <c r="AQ5" s="626"/>
      <c r="AR5" s="626"/>
      <c r="AS5" s="626"/>
    </row>
    <row r="6" spans="1:45" s="155" customFormat="1" ht="23.25" customHeight="1">
      <c r="A6" s="623"/>
      <c r="B6" s="623"/>
      <c r="C6" s="623"/>
      <c r="D6" s="625"/>
      <c r="E6" s="528">
        <f>+'5. KHBH'!FK4</f>
        <v>45291</v>
      </c>
      <c r="F6" s="528">
        <f>+'5. KHBH'!FL4</f>
        <v>45382</v>
      </c>
      <c r="G6" s="528">
        <f>+'5. KHBH'!FM4</f>
        <v>45473</v>
      </c>
      <c r="H6" s="528">
        <f>+'5. KHBH'!FN4</f>
        <v>45565</v>
      </c>
      <c r="I6" s="528">
        <f>+'5. KHBH'!FO4</f>
        <v>45657</v>
      </c>
      <c r="J6" s="528">
        <f>+'5. KHBH'!FP4</f>
        <v>45747</v>
      </c>
      <c r="K6" s="528">
        <f>+'5. KHBH'!FQ4</f>
        <v>45838</v>
      </c>
      <c r="L6" s="528">
        <f>+'5. KHBH'!FR4</f>
        <v>45930</v>
      </c>
      <c r="M6" s="528">
        <f>+'5. KHBH'!FS4</f>
        <v>46022</v>
      </c>
      <c r="N6" s="528">
        <f>+'5. KHBH'!FT4</f>
        <v>46112</v>
      </c>
      <c r="O6" s="528">
        <f>+'5. KHBH'!FU4</f>
        <v>46203</v>
      </c>
      <c r="P6" s="528">
        <f>+'5. KHBH'!FV4</f>
        <v>46295</v>
      </c>
      <c r="Q6" s="528">
        <f>+'5. KHBH'!FW4</f>
        <v>46387</v>
      </c>
      <c r="R6" s="528">
        <f>+'5. KHBH'!FX4</f>
        <v>46477</v>
      </c>
      <c r="S6" s="528">
        <f>+'5. KHBH'!FY4</f>
        <v>46568</v>
      </c>
      <c r="T6" s="528">
        <f>+'5. KHBH'!FZ4</f>
        <v>46660</v>
      </c>
      <c r="U6" s="528">
        <f>+'5. KHBH'!GA4</f>
        <v>46752</v>
      </c>
      <c r="V6" s="528">
        <f>+'5. KHBH'!GB4</f>
        <v>46843</v>
      </c>
      <c r="W6" s="528">
        <f>+'5. KHBH'!GC4</f>
        <v>46934</v>
      </c>
      <c r="X6" s="528">
        <f>+'5. KHBH'!GD4</f>
        <v>47026</v>
      </c>
      <c r="Y6" s="528">
        <f>+'5. KHBH'!GE4</f>
        <v>47118</v>
      </c>
      <c r="Z6" s="528">
        <f>+'5. KHBH'!GF4</f>
        <v>47208</v>
      </c>
      <c r="AA6" s="528">
        <f>+'5. KHBH'!GG4</f>
        <v>47299</v>
      </c>
      <c r="AB6" s="528">
        <f>+'5. KHBH'!GH4</f>
        <v>47391</v>
      </c>
      <c r="AC6" s="528">
        <f>+'5. KHBH'!GI4</f>
        <v>47483</v>
      </c>
      <c r="AD6" s="528">
        <f>+'5. KHBH'!GJ4</f>
        <v>47573</v>
      </c>
      <c r="AE6" s="528">
        <f>+'5. KHBH'!GK4</f>
        <v>47664</v>
      </c>
      <c r="AF6" s="528">
        <f>+'5. KHBH'!GL4</f>
        <v>47756</v>
      </c>
      <c r="AG6" s="528">
        <f>+'5. KHBH'!GM4</f>
        <v>47848</v>
      </c>
      <c r="AH6" s="528">
        <f>+'5. KHBH'!GN4</f>
        <v>47938</v>
      </c>
      <c r="AI6" s="528">
        <f>+'5. KHBH'!GO4</f>
        <v>48029</v>
      </c>
      <c r="AJ6" s="528">
        <f>+'5. KHBH'!GP4</f>
        <v>48121</v>
      </c>
      <c r="AK6" s="528">
        <f>+'5. KHBH'!GQ4</f>
        <v>48213</v>
      </c>
      <c r="AL6" s="528">
        <f>+'5. KHBH'!GR4</f>
        <v>48304</v>
      </c>
      <c r="AM6" s="528">
        <f>+'5. KHBH'!GS4</f>
        <v>48395</v>
      </c>
      <c r="AN6" s="528">
        <f>+'5. KHBH'!GT4</f>
        <v>48487</v>
      </c>
      <c r="AO6" s="528">
        <f>+'5. KHBH'!GU4</f>
        <v>48579</v>
      </c>
      <c r="AP6" s="528">
        <f>+'5. KHBH'!GV4</f>
        <v>48669</v>
      </c>
      <c r="AQ6" s="528">
        <f>+'5. KHBH'!GW4</f>
        <v>48760</v>
      </c>
      <c r="AR6" s="528">
        <f>+'5. KHBH'!GX4</f>
        <v>48852</v>
      </c>
      <c r="AS6" s="528">
        <f>+'5. KHBH'!GY4</f>
        <v>48944</v>
      </c>
    </row>
    <row r="7" spans="1:45" s="155" customFormat="1" ht="15.75" customHeight="1">
      <c r="A7" s="174"/>
      <c r="B7" s="175" t="s">
        <v>92</v>
      </c>
      <c r="C7" s="174"/>
      <c r="D7" s="176" t="s">
        <v>35</v>
      </c>
      <c r="E7" s="156">
        <v>6.5000000000000002E-2</v>
      </c>
      <c r="F7" s="156">
        <f>E7</f>
        <v>6.5000000000000002E-2</v>
      </c>
      <c r="G7" s="156">
        <f>+F7</f>
        <v>6.5000000000000002E-2</v>
      </c>
      <c r="H7" s="156">
        <f t="shared" ref="H7:M7" si="1">+G7</f>
        <v>6.5000000000000002E-2</v>
      </c>
      <c r="I7" s="156">
        <f t="shared" si="1"/>
        <v>6.5000000000000002E-2</v>
      </c>
      <c r="J7" s="156">
        <f>E7</f>
        <v>6.5000000000000002E-2</v>
      </c>
      <c r="K7" s="156">
        <f t="shared" si="1"/>
        <v>6.5000000000000002E-2</v>
      </c>
      <c r="L7" s="156">
        <f t="shared" si="1"/>
        <v>6.5000000000000002E-2</v>
      </c>
      <c r="M7" s="156">
        <f t="shared" si="1"/>
        <v>6.5000000000000002E-2</v>
      </c>
      <c r="N7" s="156">
        <f t="shared" ref="N7:T7" si="2">+M7</f>
        <v>6.5000000000000002E-2</v>
      </c>
      <c r="O7" s="156">
        <f t="shared" si="2"/>
        <v>6.5000000000000002E-2</v>
      </c>
      <c r="P7" s="156">
        <f t="shared" si="2"/>
        <v>6.5000000000000002E-2</v>
      </c>
      <c r="Q7" s="156">
        <f>P7</f>
        <v>6.5000000000000002E-2</v>
      </c>
      <c r="R7" s="156">
        <f>Q7</f>
        <v>6.5000000000000002E-2</v>
      </c>
      <c r="S7" s="156">
        <f t="shared" si="2"/>
        <v>6.5000000000000002E-2</v>
      </c>
      <c r="T7" s="156">
        <f t="shared" si="2"/>
        <v>6.5000000000000002E-2</v>
      </c>
      <c r="U7" s="156">
        <f>T7</f>
        <v>6.5000000000000002E-2</v>
      </c>
      <c r="V7" s="156">
        <f t="shared" ref="V7" si="3">+U7</f>
        <v>6.5000000000000002E-2</v>
      </c>
      <c r="W7" s="156">
        <f t="shared" ref="W7" si="4">+V7</f>
        <v>6.5000000000000002E-2</v>
      </c>
      <c r="X7" s="156">
        <f t="shared" ref="X7:AB7" si="5">+W7</f>
        <v>6.5000000000000002E-2</v>
      </c>
      <c r="Y7" s="156">
        <f t="shared" si="5"/>
        <v>6.5000000000000002E-2</v>
      </c>
      <c r="Z7" s="156">
        <f t="shared" si="5"/>
        <v>6.5000000000000002E-2</v>
      </c>
      <c r="AA7" s="156">
        <f t="shared" si="5"/>
        <v>6.5000000000000002E-2</v>
      </c>
      <c r="AB7" s="156">
        <f t="shared" si="5"/>
        <v>6.5000000000000002E-2</v>
      </c>
      <c r="AC7" s="156">
        <f t="shared" ref="AC7:AS7" si="6">+I7</f>
        <v>6.5000000000000002E-2</v>
      </c>
      <c r="AD7" s="156">
        <f t="shared" si="6"/>
        <v>6.5000000000000002E-2</v>
      </c>
      <c r="AE7" s="156">
        <f t="shared" si="6"/>
        <v>6.5000000000000002E-2</v>
      </c>
      <c r="AF7" s="156">
        <f t="shared" si="6"/>
        <v>6.5000000000000002E-2</v>
      </c>
      <c r="AG7" s="156">
        <f t="shared" si="6"/>
        <v>6.5000000000000002E-2</v>
      </c>
      <c r="AH7" s="156">
        <f t="shared" si="6"/>
        <v>6.5000000000000002E-2</v>
      </c>
      <c r="AI7" s="156">
        <f t="shared" si="6"/>
        <v>6.5000000000000002E-2</v>
      </c>
      <c r="AJ7" s="156">
        <f t="shared" si="6"/>
        <v>6.5000000000000002E-2</v>
      </c>
      <c r="AK7" s="156">
        <f t="shared" si="6"/>
        <v>6.5000000000000002E-2</v>
      </c>
      <c r="AL7" s="156">
        <f t="shared" si="6"/>
        <v>6.5000000000000002E-2</v>
      </c>
      <c r="AM7" s="156">
        <f t="shared" si="6"/>
        <v>6.5000000000000002E-2</v>
      </c>
      <c r="AN7" s="156">
        <f t="shared" si="6"/>
        <v>6.5000000000000002E-2</v>
      </c>
      <c r="AO7" s="156">
        <f t="shared" si="6"/>
        <v>6.5000000000000002E-2</v>
      </c>
      <c r="AP7" s="156">
        <f t="shared" si="6"/>
        <v>6.5000000000000002E-2</v>
      </c>
      <c r="AQ7" s="156">
        <f t="shared" si="6"/>
        <v>6.5000000000000002E-2</v>
      </c>
      <c r="AR7" s="156">
        <f t="shared" si="6"/>
        <v>6.5000000000000002E-2</v>
      </c>
      <c r="AS7" s="156">
        <f t="shared" si="6"/>
        <v>6.5000000000000002E-2</v>
      </c>
    </row>
    <row r="8" spans="1:45" ht="19.149999999999999" customHeight="1">
      <c r="A8" s="316"/>
      <c r="B8" s="317" t="s">
        <v>93</v>
      </c>
      <c r="C8" s="318"/>
      <c r="D8" s="319" t="s">
        <v>94</v>
      </c>
      <c r="E8" s="320"/>
      <c r="F8" s="320"/>
      <c r="G8" s="320"/>
      <c r="H8" s="320"/>
      <c r="I8" s="320">
        <f t="shared" ref="I8:Q8" si="7">+H11</f>
        <v>0</v>
      </c>
      <c r="J8" s="320">
        <f t="shared" si="7"/>
        <v>0</v>
      </c>
      <c r="K8" s="320">
        <f t="shared" si="7"/>
        <v>0</v>
      </c>
      <c r="L8" s="320">
        <f t="shared" si="7"/>
        <v>0</v>
      </c>
      <c r="M8" s="320">
        <f t="shared" si="7"/>
        <v>0</v>
      </c>
      <c r="N8" s="320">
        <f>+M11</f>
        <v>0</v>
      </c>
      <c r="O8" s="320">
        <f t="shared" si="7"/>
        <v>126280595433.75848</v>
      </c>
      <c r="P8" s="320">
        <f t="shared" si="7"/>
        <v>222451130401.71698</v>
      </c>
      <c r="Q8" s="320">
        <f t="shared" si="7"/>
        <v>318621665369.67548</v>
      </c>
      <c r="R8" s="320">
        <f>+Q11</f>
        <v>414792200337.63397</v>
      </c>
      <c r="S8" s="320">
        <f>+R11</f>
        <v>444339873621.47015</v>
      </c>
      <c r="T8" s="320">
        <f>+S11</f>
        <v>473887546905.30634</v>
      </c>
      <c r="U8" s="320">
        <f t="shared" ref="U8" si="8">+T11</f>
        <v>503435220189.14258</v>
      </c>
      <c r="V8" s="320">
        <f t="shared" ref="V8" si="9">+U11</f>
        <v>532982893472.97876</v>
      </c>
      <c r="W8" s="320">
        <f t="shared" ref="W8" si="10">+V11</f>
        <v>466360031788.85645</v>
      </c>
      <c r="X8" s="320">
        <f t="shared" ref="X8:AG8" si="11">+W11</f>
        <v>399737170104.73413</v>
      </c>
      <c r="Y8" s="320">
        <f t="shared" si="11"/>
        <v>333114308420.61182</v>
      </c>
      <c r="Z8" s="320">
        <f t="shared" si="11"/>
        <v>266491446736.48947</v>
      </c>
      <c r="AA8" s="320">
        <f t="shared" si="11"/>
        <v>199868585052.36713</v>
      </c>
      <c r="AB8" s="320">
        <f t="shared" si="11"/>
        <v>133245723368.24478</v>
      </c>
      <c r="AC8" s="320">
        <f t="shared" si="11"/>
        <v>66622861684.122444</v>
      </c>
      <c r="AD8" s="320">
        <f t="shared" si="11"/>
        <v>0</v>
      </c>
      <c r="AE8" s="320">
        <f t="shared" si="11"/>
        <v>0</v>
      </c>
      <c r="AF8" s="320">
        <f t="shared" si="11"/>
        <v>0</v>
      </c>
      <c r="AG8" s="320">
        <f t="shared" si="11"/>
        <v>0</v>
      </c>
      <c r="AH8" s="320">
        <f t="shared" ref="AH8" si="12">+AG11</f>
        <v>0</v>
      </c>
      <c r="AI8" s="320">
        <f t="shared" ref="AI8" si="13">+AH11</f>
        <v>0</v>
      </c>
      <c r="AJ8" s="320">
        <f t="shared" ref="AJ8" si="14">+AI11</f>
        <v>0</v>
      </c>
      <c r="AK8" s="320">
        <f t="shared" ref="AK8" si="15">+AJ11</f>
        <v>0</v>
      </c>
      <c r="AL8" s="320">
        <f t="shared" ref="AL8" si="16">+AK11</f>
        <v>0</v>
      </c>
      <c r="AM8" s="320">
        <f t="shared" ref="AM8" si="17">+AL11</f>
        <v>0</v>
      </c>
      <c r="AN8" s="320">
        <f t="shared" ref="AN8" si="18">+AM11</f>
        <v>0</v>
      </c>
      <c r="AO8" s="320">
        <f t="shared" ref="AO8" si="19">+AN11</f>
        <v>0</v>
      </c>
      <c r="AP8" s="320">
        <f t="shared" ref="AP8" si="20">+AO11</f>
        <v>0</v>
      </c>
      <c r="AQ8" s="320">
        <f t="shared" ref="AQ8" si="21">+AP11</f>
        <v>0</v>
      </c>
      <c r="AR8" s="320">
        <f t="shared" ref="AR8" si="22">+AQ11</f>
        <v>0</v>
      </c>
      <c r="AS8" s="320">
        <f t="shared" ref="AS8" si="23">+AR11</f>
        <v>0</v>
      </c>
    </row>
    <row r="9" spans="1:45" ht="19.149999999999999" customHeight="1">
      <c r="A9" s="316"/>
      <c r="B9" s="317" t="s">
        <v>95</v>
      </c>
      <c r="C9" s="318">
        <f>SUM(E9:AS9)</f>
        <v>799474340209.46802</v>
      </c>
      <c r="D9" s="319" t="s">
        <v>94</v>
      </c>
      <c r="E9" s="320">
        <v>0</v>
      </c>
      <c r="F9" s="320">
        <v>0</v>
      </c>
      <c r="G9" s="320">
        <v>0</v>
      </c>
      <c r="H9" s="320">
        <v>0</v>
      </c>
      <c r="I9" s="320"/>
      <c r="J9" s="320"/>
      <c r="K9" s="320"/>
      <c r="L9" s="320"/>
      <c r="M9" s="320">
        <f>('3. TMDT'!S6+'3. TMDT'!S10)*60%</f>
        <v>0</v>
      </c>
      <c r="N9" s="320">
        <f>('3. TMDT'!T6+'3. TMDT'!T10)*70%</f>
        <v>126280595433.75848</v>
      </c>
      <c r="O9" s="320">
        <f>('3. TMDT'!U6+'3. TMDT'!U10)*70%</f>
        <v>96170534967.958496</v>
      </c>
      <c r="P9" s="320">
        <f>('3. TMDT'!V6+'3. TMDT'!V10)*70%</f>
        <v>96170534967.958496</v>
      </c>
      <c r="Q9" s="320">
        <f>('3. TMDT'!W6+'3. TMDT'!W10)*70%</f>
        <v>96170534967.958496</v>
      </c>
      <c r="R9" s="320">
        <f>('3. TMDT'!X6+'3. TMDT'!X10)*70%</f>
        <v>96170534967.958496</v>
      </c>
      <c r="S9" s="320">
        <f>('3. TMDT'!Y6+'3. TMDT'!Y10)*70%</f>
        <v>96170534967.958496</v>
      </c>
      <c r="T9" s="320">
        <f>('3. TMDT'!Z6+'3. TMDT'!Z10)*70%</f>
        <v>96170534967.958496</v>
      </c>
      <c r="U9" s="320">
        <f>('3. TMDT'!AA6+'3. TMDT'!AA10)*70%</f>
        <v>96170534967.958496</v>
      </c>
      <c r="V9" s="320"/>
      <c r="W9" s="320"/>
      <c r="X9" s="320"/>
      <c r="Y9" s="320"/>
      <c r="Z9" s="320"/>
      <c r="AA9" s="320"/>
      <c r="AB9" s="320"/>
      <c r="AC9" s="320"/>
      <c r="AD9" s="320"/>
      <c r="AE9" s="320"/>
      <c r="AF9" s="320"/>
      <c r="AG9" s="320"/>
      <c r="AH9" s="320"/>
      <c r="AI9" s="320"/>
      <c r="AJ9" s="320"/>
      <c r="AK9" s="320"/>
      <c r="AL9" s="320"/>
      <c r="AM9" s="320"/>
      <c r="AN9" s="320"/>
      <c r="AO9" s="320"/>
      <c r="AP9" s="320"/>
      <c r="AQ9" s="320"/>
      <c r="AR9" s="320"/>
      <c r="AS9" s="320"/>
    </row>
    <row r="10" spans="1:45" ht="19.149999999999999" customHeight="1">
      <c r="A10" s="316"/>
      <c r="B10" s="317" t="s">
        <v>96</v>
      </c>
      <c r="C10" s="318">
        <f>SUM(E10:AS10)</f>
        <v>799474340209.46802</v>
      </c>
      <c r="D10" s="319" t="s">
        <v>94</v>
      </c>
      <c r="E10" s="320"/>
      <c r="F10" s="320"/>
      <c r="G10" s="320"/>
      <c r="H10" s="320"/>
      <c r="I10" s="320"/>
      <c r="J10" s="320"/>
      <c r="K10" s="320"/>
      <c r="L10" s="320"/>
      <c r="M10" s="320"/>
      <c r="N10" s="320"/>
      <c r="O10" s="320"/>
      <c r="P10" s="320"/>
      <c r="Q10" s="320"/>
      <c r="R10" s="320">
        <f>C9/12</f>
        <v>66622861684.122337</v>
      </c>
      <c r="S10" s="320">
        <f>R10</f>
        <v>66622861684.122337</v>
      </c>
      <c r="T10" s="320">
        <f t="shared" ref="T10:AA10" si="24">S10</f>
        <v>66622861684.122337</v>
      </c>
      <c r="U10" s="320">
        <f t="shared" si="24"/>
        <v>66622861684.122337</v>
      </c>
      <c r="V10" s="320">
        <f t="shared" si="24"/>
        <v>66622861684.122337</v>
      </c>
      <c r="W10" s="320">
        <f t="shared" si="24"/>
        <v>66622861684.122337</v>
      </c>
      <c r="X10" s="320">
        <f t="shared" si="24"/>
        <v>66622861684.122337</v>
      </c>
      <c r="Y10" s="320">
        <f t="shared" si="24"/>
        <v>66622861684.122337</v>
      </c>
      <c r="Z10" s="320">
        <f t="shared" si="24"/>
        <v>66622861684.122337</v>
      </c>
      <c r="AA10" s="320">
        <f t="shared" si="24"/>
        <v>66622861684.122337</v>
      </c>
      <c r="AB10" s="320">
        <f t="shared" ref="AB10" si="25">AA10</f>
        <v>66622861684.122337</v>
      </c>
      <c r="AC10" s="320">
        <v>66622861684.122444</v>
      </c>
      <c r="AD10" s="320"/>
      <c r="AE10" s="320"/>
      <c r="AF10" s="320"/>
      <c r="AG10" s="320"/>
      <c r="AH10" s="320"/>
      <c r="AI10" s="320"/>
      <c r="AJ10" s="320"/>
      <c r="AK10" s="320"/>
      <c r="AL10" s="320"/>
      <c r="AM10" s="320"/>
      <c r="AN10" s="320"/>
      <c r="AO10" s="320"/>
      <c r="AP10" s="320"/>
      <c r="AQ10" s="320"/>
      <c r="AR10" s="320"/>
      <c r="AS10" s="320"/>
    </row>
    <row r="11" spans="1:45" ht="19.149999999999999" customHeight="1">
      <c r="A11" s="316"/>
      <c r="B11" s="317" t="s">
        <v>97</v>
      </c>
      <c r="C11" s="321"/>
      <c r="D11" s="319" t="s">
        <v>94</v>
      </c>
      <c r="E11" s="320">
        <f t="shared" ref="E11:R11" si="26">+E8+E9-E10</f>
        <v>0</v>
      </c>
      <c r="F11" s="320">
        <f t="shared" si="26"/>
        <v>0</v>
      </c>
      <c r="G11" s="320">
        <f t="shared" si="26"/>
        <v>0</v>
      </c>
      <c r="H11" s="320">
        <f t="shared" si="26"/>
        <v>0</v>
      </c>
      <c r="I11" s="320">
        <f>+I8+I9-I10</f>
        <v>0</v>
      </c>
      <c r="J11" s="320">
        <f t="shared" si="26"/>
        <v>0</v>
      </c>
      <c r="K11" s="320">
        <f t="shared" si="26"/>
        <v>0</v>
      </c>
      <c r="L11" s="320">
        <f t="shared" si="26"/>
        <v>0</v>
      </c>
      <c r="M11" s="320">
        <f t="shared" si="26"/>
        <v>0</v>
      </c>
      <c r="N11" s="320">
        <f t="shared" si="26"/>
        <v>126280595433.75848</v>
      </c>
      <c r="O11" s="320">
        <f t="shared" si="26"/>
        <v>222451130401.71698</v>
      </c>
      <c r="P11" s="320">
        <f t="shared" si="26"/>
        <v>318621665369.67548</v>
      </c>
      <c r="Q11" s="320">
        <f>+Q8+Q9-Q10</f>
        <v>414792200337.63397</v>
      </c>
      <c r="R11" s="320">
        <f t="shared" si="26"/>
        <v>444339873621.47015</v>
      </c>
      <c r="S11" s="320">
        <f t="shared" ref="S11:AS11" si="27">+S8+S9-S10</f>
        <v>473887546905.30634</v>
      </c>
      <c r="T11" s="320">
        <f t="shared" si="27"/>
        <v>503435220189.14258</v>
      </c>
      <c r="U11" s="320">
        <f t="shared" si="27"/>
        <v>532982893472.97876</v>
      </c>
      <c r="V11" s="320">
        <f t="shared" si="27"/>
        <v>466360031788.85645</v>
      </c>
      <c r="W11" s="320">
        <f t="shared" si="27"/>
        <v>399737170104.73413</v>
      </c>
      <c r="X11" s="320">
        <f t="shared" si="27"/>
        <v>333114308420.61182</v>
      </c>
      <c r="Y11" s="320">
        <f t="shared" si="27"/>
        <v>266491446736.48947</v>
      </c>
      <c r="Z11" s="320">
        <f t="shared" si="27"/>
        <v>199868585052.36713</v>
      </c>
      <c r="AA11" s="320">
        <f t="shared" si="27"/>
        <v>133245723368.24478</v>
      </c>
      <c r="AB11" s="320">
        <f t="shared" si="27"/>
        <v>66622861684.122444</v>
      </c>
      <c r="AC11" s="320">
        <f>+AC8+AC9-AC10</f>
        <v>0</v>
      </c>
      <c r="AD11" s="320">
        <f t="shared" si="27"/>
        <v>0</v>
      </c>
      <c r="AE11" s="320">
        <f t="shared" si="27"/>
        <v>0</v>
      </c>
      <c r="AF11" s="320">
        <f t="shared" si="27"/>
        <v>0</v>
      </c>
      <c r="AG11" s="320">
        <f>+AG8+AG9-AG10</f>
        <v>0</v>
      </c>
      <c r="AH11" s="320">
        <f t="shared" si="27"/>
        <v>0</v>
      </c>
      <c r="AI11" s="320">
        <f t="shared" si="27"/>
        <v>0</v>
      </c>
      <c r="AJ11" s="320">
        <f t="shared" si="27"/>
        <v>0</v>
      </c>
      <c r="AK11" s="320">
        <f t="shared" si="27"/>
        <v>0</v>
      </c>
      <c r="AL11" s="320">
        <f t="shared" si="27"/>
        <v>0</v>
      </c>
      <c r="AM11" s="320">
        <f t="shared" si="27"/>
        <v>0</v>
      </c>
      <c r="AN11" s="320">
        <f t="shared" si="27"/>
        <v>0</v>
      </c>
      <c r="AO11" s="320">
        <f t="shared" si="27"/>
        <v>0</v>
      </c>
      <c r="AP11" s="320">
        <f t="shared" si="27"/>
        <v>0</v>
      </c>
      <c r="AQ11" s="320">
        <f t="shared" si="27"/>
        <v>0</v>
      </c>
      <c r="AR11" s="320">
        <f t="shared" si="27"/>
        <v>0</v>
      </c>
      <c r="AS11" s="320">
        <f t="shared" si="27"/>
        <v>0</v>
      </c>
    </row>
    <row r="12" spans="1:45" ht="19.149999999999999" customHeight="1">
      <c r="A12" s="316"/>
      <c r="B12" s="317" t="s">
        <v>98</v>
      </c>
      <c r="C12" s="318">
        <f>SUM(E12:AS12)</f>
        <v>79661257859.415497</v>
      </c>
      <c r="D12" s="319" t="s">
        <v>94</v>
      </c>
      <c r="E12" s="320">
        <v>0</v>
      </c>
      <c r="F12" s="320">
        <f t="shared" ref="F12:AB12" si="28">+(F8+F11)*F7/(2*4)</f>
        <v>0</v>
      </c>
      <c r="G12" s="320">
        <f>+(G8+G11)*G7/(2*4)</f>
        <v>0</v>
      </c>
      <c r="H12" s="320">
        <f t="shared" si="28"/>
        <v>0</v>
      </c>
      <c r="I12" s="320">
        <f>+(I8+I11)*I7/(2*4)</f>
        <v>0</v>
      </c>
      <c r="J12" s="320">
        <f>+(J8+J11)*J7/(2*4)</f>
        <v>0</v>
      </c>
      <c r="K12" s="320">
        <f>+(K8+K11)*K7/(2*4)</f>
        <v>0</v>
      </c>
      <c r="L12" s="320">
        <f>+(L8+L11)*L7/(2*4)</f>
        <v>0</v>
      </c>
      <c r="M12" s="320">
        <f>+(M8+M11)*M7/(2*4)</f>
        <v>0</v>
      </c>
      <c r="N12" s="320">
        <f t="shared" si="28"/>
        <v>1026029837.8992877</v>
      </c>
      <c r="O12" s="320">
        <f t="shared" si="28"/>
        <v>2833445272.413238</v>
      </c>
      <c r="P12" s="320">
        <f>+(P8+P11)*P7/(2*4)</f>
        <v>4396216465.6425638</v>
      </c>
      <c r="Q12" s="320">
        <f t="shared" si="28"/>
        <v>5958987658.8718891</v>
      </c>
      <c r="R12" s="320">
        <f t="shared" si="28"/>
        <v>6980448100.9177208</v>
      </c>
      <c r="S12" s="320">
        <f t="shared" si="28"/>
        <v>7460597791.7800589</v>
      </c>
      <c r="T12" s="320">
        <f t="shared" si="28"/>
        <v>7940747482.6423979</v>
      </c>
      <c r="U12" s="320">
        <f t="shared" si="28"/>
        <v>8420897173.5047359</v>
      </c>
      <c r="V12" s="320">
        <f t="shared" si="28"/>
        <v>8119661267.7524109</v>
      </c>
      <c r="W12" s="320">
        <f t="shared" si="28"/>
        <v>7037039765.3854237</v>
      </c>
      <c r="X12" s="320">
        <f t="shared" si="28"/>
        <v>5954418263.0184364</v>
      </c>
      <c r="Y12" s="320">
        <f t="shared" si="28"/>
        <v>4871796760.6514482</v>
      </c>
      <c r="Z12" s="320">
        <f t="shared" si="28"/>
        <v>3789175258.2844596</v>
      </c>
      <c r="AA12" s="320">
        <f t="shared" si="28"/>
        <v>2706553755.9174719</v>
      </c>
      <c r="AB12" s="320">
        <f t="shared" si="28"/>
        <v>1623932253.5504837</v>
      </c>
      <c r="AC12" s="320">
        <f>+(AC8+AC11)*AC7/(2*4)</f>
        <v>541310751.18349493</v>
      </c>
      <c r="AD12" s="320">
        <f>+(AD8+AD11)*AD7/(2*4)</f>
        <v>0</v>
      </c>
      <c r="AE12" s="320">
        <f>+(AE8+AE11)*AE7/(2*4)</f>
        <v>0</v>
      </c>
      <c r="AF12" s="320">
        <f>+(AF8+AF11)*AF7/(2*4)</f>
        <v>0</v>
      </c>
      <c r="AG12" s="320">
        <f>+(AG8+AG11)*AG7/(2*4)</f>
        <v>0</v>
      </c>
      <c r="AH12" s="320">
        <f t="shared" ref="AH12:AS12" si="29">+(AH8+AH11)*AH7/(2*4)</f>
        <v>0</v>
      </c>
      <c r="AI12" s="320">
        <f t="shared" si="29"/>
        <v>0</v>
      </c>
      <c r="AJ12" s="320">
        <f t="shared" si="29"/>
        <v>0</v>
      </c>
      <c r="AK12" s="320">
        <f t="shared" si="29"/>
        <v>0</v>
      </c>
      <c r="AL12" s="320">
        <f t="shared" si="29"/>
        <v>0</v>
      </c>
      <c r="AM12" s="320">
        <f t="shared" si="29"/>
        <v>0</v>
      </c>
      <c r="AN12" s="320">
        <f t="shared" si="29"/>
        <v>0</v>
      </c>
      <c r="AO12" s="320">
        <f t="shared" si="29"/>
        <v>0</v>
      </c>
      <c r="AP12" s="320">
        <f t="shared" si="29"/>
        <v>0</v>
      </c>
      <c r="AQ12" s="320">
        <f t="shared" si="29"/>
        <v>0</v>
      </c>
      <c r="AR12" s="320">
        <f t="shared" si="29"/>
        <v>0</v>
      </c>
      <c r="AS12" s="320">
        <f t="shared" si="29"/>
        <v>0</v>
      </c>
    </row>
    <row r="13" spans="1:45" ht="19.149999999999999" customHeight="1">
      <c r="A13" s="316"/>
      <c r="B13" s="317" t="s">
        <v>99</v>
      </c>
      <c r="C13" s="318">
        <f>SUM(E13:AS13)</f>
        <v>79661257859.415497</v>
      </c>
      <c r="D13" s="319" t="s">
        <v>94</v>
      </c>
      <c r="E13" s="320">
        <f>+E12</f>
        <v>0</v>
      </c>
      <c r="F13" s="320">
        <f t="shared" ref="F13:Q13" si="30">+F12</f>
        <v>0</v>
      </c>
      <c r="G13" s="320">
        <f t="shared" si="30"/>
        <v>0</v>
      </c>
      <c r="H13" s="320">
        <f t="shared" si="30"/>
        <v>0</v>
      </c>
      <c r="I13" s="320">
        <f t="shared" si="30"/>
        <v>0</v>
      </c>
      <c r="J13" s="320">
        <f t="shared" si="30"/>
        <v>0</v>
      </c>
      <c r="K13" s="320">
        <f t="shared" si="30"/>
        <v>0</v>
      </c>
      <c r="L13" s="320">
        <f t="shared" si="30"/>
        <v>0</v>
      </c>
      <c r="M13" s="320">
        <f t="shared" si="30"/>
        <v>0</v>
      </c>
      <c r="N13" s="320">
        <f t="shared" si="30"/>
        <v>1026029837.8992877</v>
      </c>
      <c r="O13" s="320">
        <f t="shared" si="30"/>
        <v>2833445272.413238</v>
      </c>
      <c r="P13" s="320">
        <f t="shared" si="30"/>
        <v>4396216465.6425638</v>
      </c>
      <c r="Q13" s="320">
        <f t="shared" si="30"/>
        <v>5958987658.8718891</v>
      </c>
      <c r="R13" s="320">
        <f t="shared" ref="R13:U13" si="31">+R12</f>
        <v>6980448100.9177208</v>
      </c>
      <c r="S13" s="320">
        <f t="shared" si="31"/>
        <v>7460597791.7800589</v>
      </c>
      <c r="T13" s="320">
        <f t="shared" si="31"/>
        <v>7940747482.6423979</v>
      </c>
      <c r="U13" s="320">
        <f t="shared" si="31"/>
        <v>8420897173.5047359</v>
      </c>
      <c r="V13" s="320">
        <f t="shared" ref="V13:X13" si="32">+V12</f>
        <v>8119661267.7524109</v>
      </c>
      <c r="W13" s="320">
        <f t="shared" si="32"/>
        <v>7037039765.3854237</v>
      </c>
      <c r="X13" s="320">
        <f t="shared" si="32"/>
        <v>5954418263.0184364</v>
      </c>
      <c r="Y13" s="320">
        <f t="shared" ref="Y13:AF13" si="33">+Y12</f>
        <v>4871796760.6514482</v>
      </c>
      <c r="Z13" s="320">
        <f t="shared" si="33"/>
        <v>3789175258.2844596</v>
      </c>
      <c r="AA13" s="320">
        <f t="shared" si="33"/>
        <v>2706553755.9174719</v>
      </c>
      <c r="AB13" s="320">
        <f t="shared" si="33"/>
        <v>1623932253.5504837</v>
      </c>
      <c r="AC13" s="320">
        <f t="shared" si="33"/>
        <v>541310751.18349493</v>
      </c>
      <c r="AD13" s="320">
        <f t="shared" si="33"/>
        <v>0</v>
      </c>
      <c r="AE13" s="320">
        <f t="shared" si="33"/>
        <v>0</v>
      </c>
      <c r="AF13" s="320">
        <f t="shared" si="33"/>
        <v>0</v>
      </c>
      <c r="AG13" s="320">
        <f t="shared" ref="AG13:AS13" si="34">+AG12</f>
        <v>0</v>
      </c>
      <c r="AH13" s="320">
        <f t="shared" si="34"/>
        <v>0</v>
      </c>
      <c r="AI13" s="320">
        <f t="shared" si="34"/>
        <v>0</v>
      </c>
      <c r="AJ13" s="320">
        <f t="shared" si="34"/>
        <v>0</v>
      </c>
      <c r="AK13" s="320">
        <f t="shared" si="34"/>
        <v>0</v>
      </c>
      <c r="AL13" s="320">
        <f t="shared" si="34"/>
        <v>0</v>
      </c>
      <c r="AM13" s="320">
        <f t="shared" si="34"/>
        <v>0</v>
      </c>
      <c r="AN13" s="320">
        <f t="shared" si="34"/>
        <v>0</v>
      </c>
      <c r="AO13" s="320">
        <f t="shared" si="34"/>
        <v>0</v>
      </c>
      <c r="AP13" s="320">
        <f t="shared" si="34"/>
        <v>0</v>
      </c>
      <c r="AQ13" s="320">
        <f t="shared" si="34"/>
        <v>0</v>
      </c>
      <c r="AR13" s="320">
        <f t="shared" si="34"/>
        <v>0</v>
      </c>
      <c r="AS13" s="320">
        <f t="shared" si="34"/>
        <v>0</v>
      </c>
    </row>
    <row r="14" spans="1:45" ht="19.149999999999999" customHeight="1">
      <c r="A14" s="157"/>
      <c r="B14" s="158"/>
      <c r="C14" s="159"/>
      <c r="D14" s="159"/>
      <c r="E14" s="158"/>
      <c r="F14" s="320"/>
      <c r="G14" s="320"/>
      <c r="H14" s="320"/>
      <c r="I14" s="320"/>
      <c r="J14" s="320"/>
      <c r="K14" s="320"/>
      <c r="L14" s="320"/>
      <c r="M14" s="320"/>
      <c r="N14" s="320"/>
      <c r="O14" s="320"/>
      <c r="P14" s="320"/>
      <c r="Q14" s="320"/>
      <c r="R14" s="320"/>
      <c r="S14" s="320"/>
      <c r="T14" s="320"/>
      <c r="U14" s="320"/>
      <c r="V14" s="320"/>
      <c r="W14" s="320"/>
      <c r="X14" s="320"/>
      <c r="Y14" s="320"/>
      <c r="Z14" s="320"/>
      <c r="AA14" s="320"/>
      <c r="AB14" s="320"/>
      <c r="AC14" s="320"/>
      <c r="AD14" s="320"/>
      <c r="AE14" s="320"/>
      <c r="AF14" s="320"/>
      <c r="AG14" s="320"/>
      <c r="AH14" s="320"/>
      <c r="AI14" s="320"/>
      <c r="AJ14" s="320"/>
      <c r="AK14" s="320"/>
      <c r="AL14" s="320"/>
      <c r="AM14" s="320"/>
      <c r="AN14" s="320"/>
      <c r="AO14" s="320"/>
      <c r="AP14" s="320"/>
      <c r="AQ14" s="320"/>
      <c r="AR14" s="320"/>
      <c r="AS14" s="320"/>
    </row>
    <row r="15" spans="1:45" ht="19.149999999999999" customHeight="1">
      <c r="A15" s="622" t="s">
        <v>100</v>
      </c>
      <c r="B15" s="622"/>
      <c r="C15" s="530">
        <f>+C10+C13</f>
        <v>879135598068.88354</v>
      </c>
      <c r="D15" s="530"/>
      <c r="E15" s="530"/>
      <c r="F15" s="322"/>
      <c r="G15" s="322"/>
      <c r="H15" s="322"/>
      <c r="I15" s="322"/>
      <c r="J15" s="322">
        <f>J10+J12</f>
        <v>0</v>
      </c>
      <c r="K15" s="322">
        <f t="shared" ref="K15:AS15" si="35">K10+K12</f>
        <v>0</v>
      </c>
      <c r="L15" s="322">
        <f t="shared" si="35"/>
        <v>0</v>
      </c>
      <c r="M15" s="322">
        <f t="shared" si="35"/>
        <v>0</v>
      </c>
      <c r="N15" s="322">
        <f t="shared" si="35"/>
        <v>1026029837.8992877</v>
      </c>
      <c r="O15" s="322">
        <f t="shared" si="35"/>
        <v>2833445272.413238</v>
      </c>
      <c r="P15" s="322">
        <f t="shared" si="35"/>
        <v>4396216465.6425638</v>
      </c>
      <c r="Q15" s="322">
        <f t="shared" si="35"/>
        <v>5958987658.8718891</v>
      </c>
      <c r="R15" s="322">
        <f t="shared" si="35"/>
        <v>73603309785.040054</v>
      </c>
      <c r="S15" s="322">
        <f t="shared" si="35"/>
        <v>74083459475.90239</v>
      </c>
      <c r="T15" s="322">
        <f t="shared" si="35"/>
        <v>74563609166.76474</v>
      </c>
      <c r="U15" s="322">
        <f t="shared" si="35"/>
        <v>75043758857.627075</v>
      </c>
      <c r="V15" s="322">
        <f t="shared" si="35"/>
        <v>74742522951.874756</v>
      </c>
      <c r="W15" s="322">
        <f t="shared" si="35"/>
        <v>73659901449.507767</v>
      </c>
      <c r="X15" s="322">
        <f t="shared" si="35"/>
        <v>72577279947.140778</v>
      </c>
      <c r="Y15" s="322">
        <f t="shared" si="35"/>
        <v>71494658444.773788</v>
      </c>
      <c r="Z15" s="322">
        <f t="shared" si="35"/>
        <v>70412036942.406799</v>
      </c>
      <c r="AA15" s="322">
        <f t="shared" si="35"/>
        <v>69329415440.03981</v>
      </c>
      <c r="AB15" s="322">
        <f t="shared" si="35"/>
        <v>68246793937.672821</v>
      </c>
      <c r="AC15" s="322">
        <f t="shared" si="35"/>
        <v>67164172435.305939</v>
      </c>
      <c r="AD15" s="322">
        <f t="shared" si="35"/>
        <v>0</v>
      </c>
      <c r="AE15" s="322">
        <f t="shared" si="35"/>
        <v>0</v>
      </c>
      <c r="AF15" s="322">
        <f t="shared" si="35"/>
        <v>0</v>
      </c>
      <c r="AG15" s="322">
        <f t="shared" ref="AG15:AJ15" si="36">AG10+AG12</f>
        <v>0</v>
      </c>
      <c r="AH15" s="322">
        <f t="shared" si="36"/>
        <v>0</v>
      </c>
      <c r="AI15" s="322">
        <f t="shared" si="36"/>
        <v>0</v>
      </c>
      <c r="AJ15" s="322">
        <f t="shared" si="36"/>
        <v>0</v>
      </c>
      <c r="AK15" s="322">
        <f t="shared" si="35"/>
        <v>0</v>
      </c>
      <c r="AL15" s="322">
        <f t="shared" si="35"/>
        <v>0</v>
      </c>
      <c r="AM15" s="322">
        <f t="shared" si="35"/>
        <v>0</v>
      </c>
      <c r="AN15" s="322">
        <f t="shared" si="35"/>
        <v>0</v>
      </c>
      <c r="AO15" s="322">
        <f t="shared" ref="AO15:AR15" si="37">AO10+AO12</f>
        <v>0</v>
      </c>
      <c r="AP15" s="322">
        <f t="shared" si="37"/>
        <v>0</v>
      </c>
      <c r="AQ15" s="322">
        <f t="shared" si="37"/>
        <v>0</v>
      </c>
      <c r="AR15" s="322">
        <f t="shared" si="37"/>
        <v>0</v>
      </c>
      <c r="AS15" s="322">
        <f t="shared" si="35"/>
        <v>0</v>
      </c>
    </row>
    <row r="17" spans="1:45">
      <c r="J17" s="154" t="e">
        <f>+#REF!*J7/(2*4)</f>
        <v>#REF!</v>
      </c>
    </row>
    <row r="18" spans="1:45">
      <c r="C18" s="153">
        <f>INDEX(F6:AS6,1,MATCH(C20,F20:AS20,0))</f>
        <v>46752</v>
      </c>
    </row>
    <row r="19" spans="1:45" ht="19.149999999999999" customHeight="1">
      <c r="A19" s="155"/>
      <c r="B19" s="529" t="s">
        <v>101</v>
      </c>
      <c r="C19" s="530"/>
      <c r="D19" s="530"/>
      <c r="E19" s="530"/>
      <c r="F19" s="531"/>
      <c r="G19" s="531"/>
      <c r="H19" s="531"/>
      <c r="I19" s="531"/>
      <c r="J19" s="531"/>
      <c r="K19" s="531"/>
      <c r="L19" s="531"/>
      <c r="M19" s="531"/>
      <c r="N19" s="531"/>
      <c r="O19" s="531"/>
      <c r="P19" s="531"/>
      <c r="Q19" s="531"/>
      <c r="R19" s="531"/>
      <c r="S19" s="531"/>
      <c r="T19" s="531"/>
      <c r="U19" s="531"/>
      <c r="V19" s="531"/>
      <c r="W19" s="531"/>
      <c r="X19" s="531"/>
      <c r="Y19" s="531"/>
      <c r="Z19" s="531"/>
      <c r="AA19" s="531"/>
      <c r="AB19" s="531"/>
      <c r="AC19" s="531"/>
      <c r="AD19" s="531"/>
      <c r="AE19" s="531"/>
      <c r="AF19" s="531"/>
      <c r="AG19" s="531"/>
      <c r="AH19" s="531"/>
      <c r="AI19" s="531"/>
      <c r="AJ19" s="531"/>
      <c r="AK19" s="531"/>
      <c r="AL19" s="531"/>
      <c r="AM19" s="531"/>
      <c r="AN19" s="531"/>
      <c r="AO19" s="531"/>
      <c r="AP19" s="531"/>
      <c r="AQ19" s="531"/>
      <c r="AR19" s="531"/>
      <c r="AS19" s="531"/>
    </row>
    <row r="20" spans="1:45" ht="19.149999999999999" customHeight="1">
      <c r="A20" s="155"/>
      <c r="B20" s="532" t="s">
        <v>102</v>
      </c>
      <c r="C20" s="533">
        <f>'2. CPxaydung'!I6</f>
        <v>955064310000</v>
      </c>
      <c r="D20" s="533"/>
      <c r="E20" s="533"/>
      <c r="F20" s="534">
        <f>SUM('2. CPxaydung'!$N$6:'2. CPxaydung'!N6)</f>
        <v>0</v>
      </c>
      <c r="G20" s="534">
        <f>SUM('2. CPxaydung'!$N$6:'2. CPxaydung'!O6)</f>
        <v>0</v>
      </c>
      <c r="H20" s="534">
        <f>SUM('2. CPxaydung'!$N$6:'2. CPxaydung'!P6)</f>
        <v>0</v>
      </c>
      <c r="I20" s="534">
        <f>SUM('2. CPxaydung'!$N$6:'2. CPxaydung'!Q6)</f>
        <v>0</v>
      </c>
      <c r="J20" s="534">
        <f>SUM('2. CPxaydung'!$N$6:'2. CPxaydung'!R6)</f>
        <v>0</v>
      </c>
      <c r="K20" s="534">
        <f>SUM('2. CPxaydung'!$N$6:'2. CPxaydung'!S6)</f>
        <v>0</v>
      </c>
      <c r="L20" s="534">
        <f>SUM('2. CPxaydung'!$N$6:'2. CPxaydung'!T6)</f>
        <v>0</v>
      </c>
      <c r="M20" s="534">
        <f>SUM('2. CPxaydung'!$N$6:'2. CPxaydung'!U6)</f>
        <v>0</v>
      </c>
      <c r="N20" s="534">
        <f>SUM('2. CPxaydung'!$N$6:'2. CPxaydung'!V6)</f>
        <v>119383038750</v>
      </c>
      <c r="O20" s="534">
        <f>SUM('2. CPxaydung'!$N$6:'2. CPxaydung'!W6)</f>
        <v>238766077500</v>
      </c>
      <c r="P20" s="534">
        <f>SUM('2. CPxaydung'!$N$6:'2. CPxaydung'!X6)</f>
        <v>358149116250</v>
      </c>
      <c r="Q20" s="534">
        <f>SUM('2. CPxaydung'!$N$6:'2. CPxaydung'!Y6)</f>
        <v>477532155000</v>
      </c>
      <c r="R20" s="534">
        <f>SUM('2. CPxaydung'!$N$6:'2. CPxaydung'!Z6)</f>
        <v>596915193750</v>
      </c>
      <c r="S20" s="534">
        <f>SUM('2. CPxaydung'!$N$6:'2. CPxaydung'!AA6)</f>
        <v>716298232500</v>
      </c>
      <c r="T20" s="534">
        <f>SUM('2. CPxaydung'!$N$6:'2. CPxaydung'!AB6)</f>
        <v>835681271250</v>
      </c>
      <c r="U20" s="534">
        <f>SUM('2. CPxaydung'!$N$6:'2. CPxaydung'!AC6)</f>
        <v>955064310000</v>
      </c>
      <c r="V20" s="534">
        <f>SUM('2. CPxaydung'!$N$6:'2. CPxaydung'!AD6)</f>
        <v>955064310000</v>
      </c>
      <c r="W20" s="534">
        <f>SUM('2. CPxaydung'!$N$6:'2. CPxaydung'!AE6)</f>
        <v>955064310000</v>
      </c>
      <c r="X20" s="534">
        <f>SUM('2. CPxaydung'!$N$6:'2. CPxaydung'!AF6)</f>
        <v>955064310000</v>
      </c>
      <c r="Y20" s="534">
        <f>SUM('2. CPxaydung'!$N$6:'2. CPxaydung'!AG6)</f>
        <v>955064310000</v>
      </c>
      <c r="Z20" s="534">
        <f>SUM('2. CPxaydung'!$N$6:'2. CPxaydung'!AH6)</f>
        <v>955064310000</v>
      </c>
      <c r="AA20" s="534">
        <f>SUM('2. CPxaydung'!$N$6:'2. CPxaydung'!AI6)</f>
        <v>955064310000</v>
      </c>
      <c r="AB20" s="534">
        <f>SUM('2. CPxaydung'!$N$6:'2. CPxaydung'!AJ6)</f>
        <v>955064310000</v>
      </c>
      <c r="AC20" s="534">
        <f>SUM('2. CPxaydung'!$N$6:'2. CPxaydung'!AK6)</f>
        <v>955064310000</v>
      </c>
      <c r="AD20" s="534">
        <f>SUM('2. CPxaydung'!$N$6:'2. CPxaydung'!AL6)</f>
        <v>955064310000</v>
      </c>
      <c r="AE20" s="534">
        <f>SUM('2. CPxaydung'!$N$6:'2. CPxaydung'!AM6)</f>
        <v>955064310000</v>
      </c>
      <c r="AF20" s="534">
        <f>SUM('2. CPxaydung'!$N$6:'2. CPxaydung'!AN6)</f>
        <v>955064310000</v>
      </c>
      <c r="AG20" s="534">
        <f>SUM('2. CPxaydung'!$N$6:'2. CPxaydung'!AO6)</f>
        <v>955064310000</v>
      </c>
      <c r="AH20" s="534">
        <f>SUM('2. CPxaydung'!$N$6:'2. CPxaydung'!AP6)</f>
        <v>955064310000</v>
      </c>
      <c r="AI20" s="534">
        <f>SUM('2. CPxaydung'!$N$6:'2. CPxaydung'!AQ6)</f>
        <v>955064310000</v>
      </c>
      <c r="AJ20" s="534">
        <f>SUM('2. CPxaydung'!$N$6:'2. CPxaydung'!AR6)</f>
        <v>955064310000</v>
      </c>
      <c r="AK20" s="534">
        <f>SUM('2. CPxaydung'!$N$6:'2. CPxaydung'!AS6)</f>
        <v>955064310000</v>
      </c>
      <c r="AL20" s="534">
        <f>SUM('2. CPxaydung'!$N$6:'2. CPxaydung'!AT6)</f>
        <v>955064310000</v>
      </c>
      <c r="AM20" s="534">
        <f>SUM('2. CPxaydung'!$N$6:'2. CPxaydung'!AU6)</f>
        <v>955064310000</v>
      </c>
      <c r="AN20" s="534">
        <f>SUM('2. CPxaydung'!$N$6:'2. CPxaydung'!AV6)</f>
        <v>955064310000</v>
      </c>
      <c r="AO20" s="534">
        <f>SUM('2. CPxaydung'!$N$6:'2. CPxaydung'!AW6)</f>
        <v>955064310000</v>
      </c>
      <c r="AP20" s="534">
        <f>SUM('2. CPxaydung'!$N$6:'2. CPxaydung'!AX6)</f>
        <v>955064310000</v>
      </c>
      <c r="AQ20" s="534">
        <f>SUM('2. CPxaydung'!$N$6:'2. CPxaydung'!AY6)</f>
        <v>955064310000</v>
      </c>
      <c r="AR20" s="534">
        <f>SUM('2. CPxaydung'!$N$6:'2. CPxaydung'!AZ6)</f>
        <v>955064310000</v>
      </c>
      <c r="AS20" s="534">
        <f>SUM('2. CPxaydung'!$N$6:'2. CPxaydung'!BA6)</f>
        <v>955064310000</v>
      </c>
    </row>
    <row r="21" spans="1:45">
      <c r="B21" s="535" t="s">
        <v>103</v>
      </c>
      <c r="C21" s="536">
        <v>46752</v>
      </c>
      <c r="D21" s="537"/>
      <c r="E21" s="535"/>
      <c r="F21" s="538"/>
      <c r="G21" s="538"/>
      <c r="H21" s="538"/>
      <c r="I21" s="538"/>
      <c r="J21" s="538"/>
      <c r="K21" s="538"/>
      <c r="L21" s="538"/>
      <c r="M21" s="538"/>
      <c r="N21" s="538"/>
      <c r="O21" s="538"/>
      <c r="P21" s="538"/>
      <c r="Q21" s="538"/>
      <c r="R21" s="538"/>
      <c r="S21" s="538"/>
      <c r="T21" s="538"/>
      <c r="U21" s="538"/>
      <c r="V21" s="538"/>
      <c r="W21" s="538"/>
      <c r="X21" s="538"/>
      <c r="Y21" s="538"/>
      <c r="Z21" s="538"/>
      <c r="AA21" s="538"/>
      <c r="AB21" s="538"/>
      <c r="AC21" s="538"/>
      <c r="AD21" s="538"/>
      <c r="AE21" s="538"/>
      <c r="AF21" s="538"/>
      <c r="AG21" s="538"/>
      <c r="AH21" s="538"/>
      <c r="AI21" s="538"/>
      <c r="AJ21" s="538"/>
      <c r="AK21" s="538"/>
      <c r="AL21" s="538"/>
      <c r="AM21" s="538"/>
      <c r="AN21" s="538"/>
      <c r="AO21" s="538"/>
      <c r="AP21" s="538"/>
      <c r="AQ21" s="538"/>
      <c r="AR21" s="538"/>
      <c r="AS21" s="538"/>
    </row>
    <row r="22" spans="1:45">
      <c r="B22" s="535" t="s">
        <v>84</v>
      </c>
      <c r="C22" s="539">
        <f>SUM(E22:AS22)</f>
        <v>45017369783.67189</v>
      </c>
      <c r="D22" s="537"/>
      <c r="E22" s="535"/>
      <c r="F22" s="540">
        <f>IF(F6&lt;=$C$21,F12,0)</f>
        <v>0</v>
      </c>
      <c r="G22" s="540">
        <f t="shared" ref="G22:AS22" si="38">IF(G6&lt;=$C$21,G12,0)</f>
        <v>0</v>
      </c>
      <c r="H22" s="540">
        <f t="shared" si="38"/>
        <v>0</v>
      </c>
      <c r="I22" s="540">
        <f t="shared" si="38"/>
        <v>0</v>
      </c>
      <c r="J22" s="540">
        <f t="shared" si="38"/>
        <v>0</v>
      </c>
      <c r="K22" s="540">
        <f t="shared" si="38"/>
        <v>0</v>
      </c>
      <c r="L22" s="540">
        <f t="shared" si="38"/>
        <v>0</v>
      </c>
      <c r="M22" s="540">
        <f t="shared" si="38"/>
        <v>0</v>
      </c>
      <c r="N22" s="540">
        <f t="shared" si="38"/>
        <v>1026029837.8992877</v>
      </c>
      <c r="O22" s="540">
        <f t="shared" si="38"/>
        <v>2833445272.413238</v>
      </c>
      <c r="P22" s="540">
        <f t="shared" si="38"/>
        <v>4396216465.6425638</v>
      </c>
      <c r="Q22" s="540">
        <f t="shared" si="38"/>
        <v>5958987658.8718891</v>
      </c>
      <c r="R22" s="540">
        <f t="shared" si="38"/>
        <v>6980448100.9177208</v>
      </c>
      <c r="S22" s="540">
        <f t="shared" si="38"/>
        <v>7460597791.7800589</v>
      </c>
      <c r="T22" s="540">
        <f t="shared" si="38"/>
        <v>7940747482.6423979</v>
      </c>
      <c r="U22" s="540">
        <f t="shared" si="38"/>
        <v>8420897173.5047359</v>
      </c>
      <c r="V22" s="540">
        <f t="shared" si="38"/>
        <v>0</v>
      </c>
      <c r="W22" s="540">
        <f t="shared" si="38"/>
        <v>0</v>
      </c>
      <c r="X22" s="540">
        <f t="shared" si="38"/>
        <v>0</v>
      </c>
      <c r="Y22" s="540">
        <f t="shared" si="38"/>
        <v>0</v>
      </c>
      <c r="Z22" s="540">
        <f t="shared" si="38"/>
        <v>0</v>
      </c>
      <c r="AA22" s="540">
        <f t="shared" si="38"/>
        <v>0</v>
      </c>
      <c r="AB22" s="540">
        <f t="shared" si="38"/>
        <v>0</v>
      </c>
      <c r="AC22" s="540">
        <f t="shared" si="38"/>
        <v>0</v>
      </c>
      <c r="AD22" s="540">
        <f t="shared" si="38"/>
        <v>0</v>
      </c>
      <c r="AE22" s="540">
        <f t="shared" si="38"/>
        <v>0</v>
      </c>
      <c r="AF22" s="540">
        <f t="shared" si="38"/>
        <v>0</v>
      </c>
      <c r="AG22" s="540">
        <f t="shared" si="38"/>
        <v>0</v>
      </c>
      <c r="AH22" s="540">
        <f t="shared" si="38"/>
        <v>0</v>
      </c>
      <c r="AI22" s="540">
        <f t="shared" si="38"/>
        <v>0</v>
      </c>
      <c r="AJ22" s="540">
        <f t="shared" si="38"/>
        <v>0</v>
      </c>
      <c r="AK22" s="540">
        <f t="shared" si="38"/>
        <v>0</v>
      </c>
      <c r="AL22" s="540">
        <f t="shared" si="38"/>
        <v>0</v>
      </c>
      <c r="AM22" s="540">
        <f t="shared" si="38"/>
        <v>0</v>
      </c>
      <c r="AN22" s="540">
        <f t="shared" si="38"/>
        <v>0</v>
      </c>
      <c r="AO22" s="540">
        <f t="shared" si="38"/>
        <v>0</v>
      </c>
      <c r="AP22" s="540">
        <f t="shared" si="38"/>
        <v>0</v>
      </c>
      <c r="AQ22" s="540">
        <f t="shared" si="38"/>
        <v>0</v>
      </c>
      <c r="AR22" s="540">
        <f t="shared" si="38"/>
        <v>0</v>
      </c>
      <c r="AS22" s="540">
        <f t="shared" si="38"/>
        <v>0</v>
      </c>
    </row>
    <row r="23" spans="1:45">
      <c r="B23" s="535" t="s">
        <v>98</v>
      </c>
      <c r="C23" s="539">
        <f>SUM(E23:AS23)</f>
        <v>34643888075.743629</v>
      </c>
      <c r="D23" s="537"/>
      <c r="E23" s="535"/>
      <c r="F23" s="540">
        <f t="shared" ref="F23:AS23" si="39">IF(F6&gt;$C$21,F12,0)</f>
        <v>0</v>
      </c>
      <c r="G23" s="540">
        <f t="shared" si="39"/>
        <v>0</v>
      </c>
      <c r="H23" s="540">
        <f t="shared" si="39"/>
        <v>0</v>
      </c>
      <c r="I23" s="540">
        <f t="shared" si="39"/>
        <v>0</v>
      </c>
      <c r="J23" s="540">
        <f t="shared" si="39"/>
        <v>0</v>
      </c>
      <c r="K23" s="540">
        <f t="shared" si="39"/>
        <v>0</v>
      </c>
      <c r="L23" s="540">
        <f t="shared" si="39"/>
        <v>0</v>
      </c>
      <c r="M23" s="540">
        <f t="shared" si="39"/>
        <v>0</v>
      </c>
      <c r="N23" s="540">
        <f t="shared" si="39"/>
        <v>0</v>
      </c>
      <c r="O23" s="540">
        <f t="shared" si="39"/>
        <v>0</v>
      </c>
      <c r="P23" s="540">
        <f t="shared" si="39"/>
        <v>0</v>
      </c>
      <c r="Q23" s="540">
        <f t="shared" si="39"/>
        <v>0</v>
      </c>
      <c r="R23" s="540">
        <f t="shared" si="39"/>
        <v>0</v>
      </c>
      <c r="S23" s="540">
        <f t="shared" si="39"/>
        <v>0</v>
      </c>
      <c r="T23" s="540">
        <f t="shared" si="39"/>
        <v>0</v>
      </c>
      <c r="U23" s="540">
        <f t="shared" si="39"/>
        <v>0</v>
      </c>
      <c r="V23" s="540">
        <f t="shared" si="39"/>
        <v>8119661267.7524109</v>
      </c>
      <c r="W23" s="540">
        <f t="shared" si="39"/>
        <v>7037039765.3854237</v>
      </c>
      <c r="X23" s="540">
        <f t="shared" si="39"/>
        <v>5954418263.0184364</v>
      </c>
      <c r="Y23" s="540">
        <f t="shared" si="39"/>
        <v>4871796760.6514482</v>
      </c>
      <c r="Z23" s="540">
        <f t="shared" si="39"/>
        <v>3789175258.2844596</v>
      </c>
      <c r="AA23" s="540">
        <f t="shared" si="39"/>
        <v>2706553755.9174719</v>
      </c>
      <c r="AB23" s="540">
        <f t="shared" si="39"/>
        <v>1623932253.5504837</v>
      </c>
      <c r="AC23" s="540">
        <f t="shared" si="39"/>
        <v>541310751.18349493</v>
      </c>
      <c r="AD23" s="540">
        <f t="shared" si="39"/>
        <v>0</v>
      </c>
      <c r="AE23" s="540">
        <f t="shared" si="39"/>
        <v>0</v>
      </c>
      <c r="AF23" s="540">
        <f t="shared" si="39"/>
        <v>0</v>
      </c>
      <c r="AG23" s="540">
        <f t="shared" si="39"/>
        <v>0</v>
      </c>
      <c r="AH23" s="540">
        <f t="shared" si="39"/>
        <v>0</v>
      </c>
      <c r="AI23" s="540">
        <f t="shared" si="39"/>
        <v>0</v>
      </c>
      <c r="AJ23" s="540">
        <f t="shared" si="39"/>
        <v>0</v>
      </c>
      <c r="AK23" s="540">
        <f t="shared" si="39"/>
        <v>0</v>
      </c>
      <c r="AL23" s="540">
        <f t="shared" si="39"/>
        <v>0</v>
      </c>
      <c r="AM23" s="540">
        <f t="shared" si="39"/>
        <v>0</v>
      </c>
      <c r="AN23" s="540">
        <f t="shared" si="39"/>
        <v>0</v>
      </c>
      <c r="AO23" s="540">
        <f t="shared" si="39"/>
        <v>0</v>
      </c>
      <c r="AP23" s="540">
        <f t="shared" si="39"/>
        <v>0</v>
      </c>
      <c r="AQ23" s="540">
        <f t="shared" si="39"/>
        <v>0</v>
      </c>
      <c r="AR23" s="540">
        <f t="shared" si="39"/>
        <v>0</v>
      </c>
      <c r="AS23" s="540">
        <f t="shared" si="39"/>
        <v>0</v>
      </c>
    </row>
    <row r="24" spans="1:45">
      <c r="C24" s="160"/>
      <c r="D24" s="160"/>
    </row>
  </sheetData>
  <mergeCells count="9">
    <mergeCell ref="A15:B15"/>
    <mergeCell ref="A1:G1"/>
    <mergeCell ref="A2:G2"/>
    <mergeCell ref="A3:G3"/>
    <mergeCell ref="A5:A6"/>
    <mergeCell ref="B5:B6"/>
    <mergeCell ref="C5:C6"/>
    <mergeCell ref="D5:D6"/>
    <mergeCell ref="E5:AS5"/>
  </mergeCells>
  <printOptions horizontalCentered="1"/>
  <pageMargins left="0.2" right="0.21" top="0.57999999999999996" bottom="0.69" header="0.45" footer="0.28999999999999998"/>
  <pageSetup paperSize="9" scale="95" firstPageNumber="4" orientation="landscape" useFirstPageNumber="1" r:id="rId1"/>
  <headerFooter alignWithMargins="0">
    <oddFooter>&amp;C&amp;P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Y18"/>
  <sheetViews>
    <sheetView showGridLines="0" zoomScaleNormal="100" zoomScaleSheetLayoutView="100" workbookViewId="0">
      <pane xSplit="4" ySplit="2" topLeftCell="I5" activePane="bottomRight" state="frozen"/>
      <selection pane="topRight" activeCell="C1" sqref="C1"/>
      <selection pane="bottomLeft" activeCell="A15" sqref="A15"/>
      <selection pane="bottomRight" activeCell="N12" sqref="N12"/>
    </sheetView>
  </sheetViews>
  <sheetFormatPr defaultColWidth="9" defaultRowHeight="12.75" customHeight="1" outlineLevelRow="1" outlineLevelCol="1"/>
  <cols>
    <col min="1" max="1" width="7.7265625" style="51" bestFit="1" customWidth="1"/>
    <col min="2" max="2" width="9" style="38" customWidth="1"/>
    <col min="3" max="3" width="24.7265625" style="38" bestFit="1" customWidth="1"/>
    <col min="4" max="7" width="12" style="38" customWidth="1"/>
    <col min="8" max="8" width="10.26953125" style="38" bestFit="1" customWidth="1"/>
    <col min="9" max="9" width="20.26953125" style="38" bestFit="1" customWidth="1"/>
    <col min="10" max="10" width="17.453125" style="38" bestFit="1" customWidth="1"/>
    <col min="11" max="11" width="12.26953125" style="38" bestFit="1" customWidth="1"/>
    <col min="12" max="12" width="12.26953125" style="38" customWidth="1"/>
    <col min="13" max="13" width="15" style="38" bestFit="1" customWidth="1"/>
    <col min="14" max="14" width="16.7265625" style="38" customWidth="1"/>
    <col min="15" max="15" width="18.453125" style="38" customWidth="1"/>
    <col min="16" max="16" width="19.7265625" style="41" customWidth="1"/>
    <col min="17" max="17" width="13.26953125" style="38" bestFit="1" customWidth="1"/>
    <col min="18" max="25" width="8.26953125" style="38" bestFit="1" customWidth="1"/>
    <col min="26" max="26" width="17.54296875" style="51" bestFit="1" customWidth="1"/>
    <col min="27" max="27" width="19" style="41" customWidth="1"/>
    <col min="28" max="57" width="9.81640625" style="38" bestFit="1" customWidth="1" outlineLevel="1"/>
    <col min="58" max="166" width="9.81640625" style="38" bestFit="1" customWidth="1"/>
    <col min="167" max="167" width="35" style="38" bestFit="1" customWidth="1"/>
    <col min="168" max="170" width="9.7265625" style="38" bestFit="1" customWidth="1"/>
    <col min="171" max="171" width="15.7265625" style="38" bestFit="1" customWidth="1"/>
    <col min="172" max="173" width="16.7265625" style="38" bestFit="1" customWidth="1"/>
    <col min="174" max="174" width="15.7265625" style="38" bestFit="1" customWidth="1"/>
    <col min="175" max="185" width="16.7265625" style="38" bestFit="1" customWidth="1"/>
    <col min="186" max="187" width="15.7265625" style="38" bestFit="1" customWidth="1"/>
    <col min="188" max="188" width="14.453125" style="38" bestFit="1" customWidth="1"/>
    <col min="189" max="190" width="9.7265625" style="38" bestFit="1" customWidth="1"/>
    <col min="191" max="191" width="11" style="38" bestFit="1" customWidth="1"/>
    <col min="192" max="192" width="14.453125" style="38" bestFit="1" customWidth="1"/>
    <col min="193" max="194" width="9.7265625" style="38" bestFit="1" customWidth="1"/>
    <col min="195" max="195" width="11" style="38" bestFit="1" customWidth="1"/>
    <col min="196" max="196" width="14.453125" style="38" bestFit="1" customWidth="1"/>
    <col min="197" max="198" width="9.7265625" style="38" bestFit="1" customWidth="1"/>
    <col min="199" max="199" width="11" style="38" bestFit="1" customWidth="1"/>
    <col min="200" max="200" width="14.453125" style="38" bestFit="1" customWidth="1"/>
    <col min="201" max="202" width="9.7265625" style="38" bestFit="1" customWidth="1"/>
    <col min="203" max="203" width="11" style="38" bestFit="1" customWidth="1"/>
    <col min="204" max="204" width="14.453125" style="38" bestFit="1" customWidth="1"/>
    <col min="205" max="206" width="9.7265625" style="38" bestFit="1" customWidth="1"/>
    <col min="207" max="207" width="11" style="38" bestFit="1" customWidth="1"/>
    <col min="208" max="16384" width="9" style="38"/>
  </cols>
  <sheetData>
    <row r="1" spans="1:207" s="8" customFormat="1" ht="25">
      <c r="A1" s="61"/>
      <c r="B1" s="630" t="s">
        <v>104</v>
      </c>
      <c r="C1" s="630"/>
      <c r="D1" s="630"/>
      <c r="E1" s="630"/>
      <c r="F1" s="630"/>
      <c r="G1" s="630"/>
      <c r="H1" s="630"/>
      <c r="I1" s="630"/>
      <c r="J1" s="630"/>
      <c r="K1" s="630"/>
      <c r="L1" s="630"/>
      <c r="M1" s="630"/>
      <c r="N1" s="630"/>
      <c r="O1" s="630"/>
      <c r="P1" s="39">
        <f>SUBTOTAL(9,P8:P11)</f>
        <v>1535939420000</v>
      </c>
      <c r="Z1" s="61"/>
      <c r="AA1" s="39"/>
      <c r="BL1" s="63"/>
    </row>
    <row r="2" spans="1:207" s="36" customFormat="1" ht="13.5">
      <c r="A2" s="67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40">
        <f>SUBTOTAL(9,P8:P11)</f>
        <v>1535939420000</v>
      </c>
      <c r="Z2" s="40">
        <f>SUBTOTAL(9,Z8:Z11)</f>
        <v>0</v>
      </c>
      <c r="AA2" s="40">
        <f>SUBTOTAL(9,AA8:AA11)</f>
        <v>1535939420000</v>
      </c>
      <c r="AB2" s="182">
        <v>44742</v>
      </c>
      <c r="AC2" s="182">
        <v>44834</v>
      </c>
      <c r="AD2" s="182">
        <f>AC2</f>
        <v>44834</v>
      </c>
      <c r="AE2" s="182">
        <f>AD2</f>
        <v>44834</v>
      </c>
      <c r="AF2" s="182">
        <f t="shared" ref="AF2:AJ2" si="0">EOMONTH(AC2,3)</f>
        <v>44926</v>
      </c>
      <c r="AG2" s="182">
        <f t="shared" si="0"/>
        <v>44926</v>
      </c>
      <c r="AH2" s="182">
        <f t="shared" si="0"/>
        <v>44926</v>
      </c>
      <c r="AI2" s="182">
        <f t="shared" si="0"/>
        <v>45016</v>
      </c>
      <c r="AJ2" s="182">
        <f t="shared" si="0"/>
        <v>45016</v>
      </c>
      <c r="AK2" s="182">
        <f t="shared" ref="AK2" si="1">EOMONTH(AH2,3)</f>
        <v>45016</v>
      </c>
      <c r="AL2" s="182">
        <f t="shared" ref="AL2" si="2">EOMONTH(AI2,3)</f>
        <v>45107</v>
      </c>
      <c r="AM2" s="182">
        <f t="shared" ref="AM2" si="3">EOMONTH(AJ2,3)</f>
        <v>45107</v>
      </c>
      <c r="AN2" s="182">
        <f t="shared" ref="AN2" si="4">EOMONTH(AK2,3)</f>
        <v>45107</v>
      </c>
      <c r="AO2" s="182">
        <f t="shared" ref="AO2" si="5">EOMONTH(AL2,3)</f>
        <v>45199</v>
      </c>
      <c r="AP2" s="182">
        <f t="shared" ref="AP2" si="6">EOMONTH(AM2,3)</f>
        <v>45199</v>
      </c>
      <c r="AQ2" s="182">
        <f t="shared" ref="AQ2" si="7">EOMONTH(AN2,3)</f>
        <v>45199</v>
      </c>
      <c r="AR2" s="182">
        <f t="shared" ref="AR2" si="8">EOMONTH(AO2,3)</f>
        <v>45291</v>
      </c>
      <c r="AS2" s="182">
        <f t="shared" ref="AS2" si="9">EOMONTH(AP2,3)</f>
        <v>45291</v>
      </c>
      <c r="AT2" s="182">
        <f t="shared" ref="AT2" si="10">EOMONTH(AQ2,3)</f>
        <v>45291</v>
      </c>
      <c r="AU2" s="182">
        <f t="shared" ref="AU2" si="11">EOMONTH(AR2,3)</f>
        <v>45382</v>
      </c>
      <c r="AV2" s="182">
        <f t="shared" ref="AV2" si="12">EOMONTH(AS2,3)</f>
        <v>45382</v>
      </c>
      <c r="AW2" s="182">
        <f t="shared" ref="AW2" si="13">EOMONTH(AT2,3)</f>
        <v>45382</v>
      </c>
      <c r="AX2" s="182">
        <f t="shared" ref="AX2" si="14">EOMONTH(AU2,3)</f>
        <v>45473</v>
      </c>
      <c r="AY2" s="182">
        <f t="shared" ref="AY2" si="15">EOMONTH(AV2,3)</f>
        <v>45473</v>
      </c>
      <c r="AZ2" s="182">
        <f t="shared" ref="AZ2" si="16">EOMONTH(AW2,3)</f>
        <v>45473</v>
      </c>
      <c r="BA2" s="182">
        <f t="shared" ref="BA2" si="17">EOMONTH(AX2,3)</f>
        <v>45565</v>
      </c>
      <c r="BB2" s="182">
        <f t="shared" ref="BB2" si="18">EOMONTH(AY2,3)</f>
        <v>45565</v>
      </c>
      <c r="BC2" s="182">
        <f t="shared" ref="BC2" si="19">EOMONTH(AZ2,3)</f>
        <v>45565</v>
      </c>
      <c r="BD2" s="182">
        <f t="shared" ref="BD2" si="20">EOMONTH(BA2,3)</f>
        <v>45657</v>
      </c>
      <c r="BE2" s="182">
        <f t="shared" ref="BE2" si="21">EOMONTH(BB2,3)</f>
        <v>45657</v>
      </c>
      <c r="BF2" s="182">
        <f t="shared" ref="BF2" si="22">EOMONTH(BC2,3)</f>
        <v>45657</v>
      </c>
      <c r="BG2" s="182">
        <f t="shared" ref="BG2" si="23">EOMONTH(BD2,3)</f>
        <v>45747</v>
      </c>
      <c r="BH2" s="182">
        <f t="shared" ref="BH2" si="24">EOMONTH(BE2,3)</f>
        <v>45747</v>
      </c>
      <c r="BI2" s="182">
        <f t="shared" ref="BI2" si="25">EOMONTH(BF2,3)</f>
        <v>45747</v>
      </c>
      <c r="BJ2" s="182">
        <f t="shared" ref="BJ2" si="26">EOMONTH(BG2,3)</f>
        <v>45838</v>
      </c>
      <c r="BK2" s="182">
        <f t="shared" ref="BK2" si="27">EOMONTH(BH2,3)</f>
        <v>45838</v>
      </c>
      <c r="BL2" s="182">
        <f t="shared" ref="BL2" si="28">EOMONTH(BI2,3)</f>
        <v>45838</v>
      </c>
      <c r="BM2" s="182">
        <f t="shared" ref="BM2" si="29">EOMONTH(BJ2,3)</f>
        <v>45930</v>
      </c>
      <c r="BN2" s="182">
        <f t="shared" ref="BN2" si="30">EOMONTH(BK2,3)</f>
        <v>45930</v>
      </c>
      <c r="BO2" s="182">
        <f t="shared" ref="BO2" si="31">EOMONTH(BL2,3)</f>
        <v>45930</v>
      </c>
      <c r="BP2" s="182">
        <f t="shared" ref="BP2" si="32">EOMONTH(BM2,3)</f>
        <v>46022</v>
      </c>
      <c r="BQ2" s="182">
        <f t="shared" ref="BQ2" si="33">EOMONTH(BN2,3)</f>
        <v>46022</v>
      </c>
      <c r="BR2" s="182">
        <f t="shared" ref="BR2" si="34">EOMONTH(BO2,3)</f>
        <v>46022</v>
      </c>
      <c r="BS2" s="182">
        <f t="shared" ref="BS2" si="35">EOMONTH(BP2,3)</f>
        <v>46112</v>
      </c>
      <c r="BT2" s="182">
        <f t="shared" ref="BT2" si="36">EOMONTH(BQ2,3)</f>
        <v>46112</v>
      </c>
      <c r="BU2" s="182">
        <f t="shared" ref="BU2" si="37">EOMONTH(BR2,3)</f>
        <v>46112</v>
      </c>
      <c r="BV2" s="182">
        <f t="shared" ref="BV2" si="38">EOMONTH(BS2,3)</f>
        <v>46203</v>
      </c>
      <c r="BW2" s="182">
        <f t="shared" ref="BW2" si="39">EOMONTH(BT2,3)</f>
        <v>46203</v>
      </c>
      <c r="BX2" s="182">
        <f t="shared" ref="BX2" si="40">EOMONTH(BU2,3)</f>
        <v>46203</v>
      </c>
      <c r="BY2" s="182">
        <f t="shared" ref="BY2" si="41">EOMONTH(BV2,3)</f>
        <v>46295</v>
      </c>
      <c r="BZ2" s="182">
        <f t="shared" ref="BZ2" si="42">EOMONTH(BW2,3)</f>
        <v>46295</v>
      </c>
      <c r="CA2" s="182">
        <f t="shared" ref="CA2" si="43">EOMONTH(BX2,3)</f>
        <v>46295</v>
      </c>
      <c r="CB2" s="182">
        <f t="shared" ref="CB2" si="44">EOMONTH(BY2,3)</f>
        <v>46387</v>
      </c>
      <c r="CC2" s="182">
        <f t="shared" ref="CC2" si="45">EOMONTH(BZ2,3)</f>
        <v>46387</v>
      </c>
      <c r="CD2" s="182">
        <f t="shared" ref="CD2" si="46">EOMONTH(CA2,3)</f>
        <v>46387</v>
      </c>
      <c r="CE2" s="182">
        <f t="shared" ref="CE2" si="47">EOMONTH(CB2,3)</f>
        <v>46477</v>
      </c>
      <c r="CF2" s="182">
        <f t="shared" ref="CF2" si="48">EOMONTH(CC2,3)</f>
        <v>46477</v>
      </c>
      <c r="CG2" s="182">
        <f t="shared" ref="CG2" si="49">EOMONTH(CD2,3)</f>
        <v>46477</v>
      </c>
      <c r="CH2" s="182">
        <f t="shared" ref="CH2" si="50">EOMONTH(CE2,3)</f>
        <v>46568</v>
      </c>
      <c r="CI2" s="182">
        <f t="shared" ref="CI2" si="51">EOMONTH(CF2,3)</f>
        <v>46568</v>
      </c>
      <c r="CJ2" s="182">
        <f t="shared" ref="CJ2" si="52">EOMONTH(CG2,3)</f>
        <v>46568</v>
      </c>
      <c r="CK2" s="182">
        <f t="shared" ref="CK2" si="53">EOMONTH(CH2,3)</f>
        <v>46660</v>
      </c>
      <c r="CL2" s="182">
        <f t="shared" ref="CL2" si="54">EOMONTH(CI2,3)</f>
        <v>46660</v>
      </c>
      <c r="CM2" s="182">
        <f t="shared" ref="CM2" si="55">EOMONTH(CJ2,3)</f>
        <v>46660</v>
      </c>
      <c r="CN2" s="182">
        <f t="shared" ref="CN2" si="56">EOMONTH(CK2,3)</f>
        <v>46752</v>
      </c>
      <c r="CO2" s="182">
        <f t="shared" ref="CO2" si="57">EOMONTH(CL2,3)</f>
        <v>46752</v>
      </c>
      <c r="CP2" s="182">
        <f t="shared" ref="CP2" si="58">EOMONTH(CM2,3)</f>
        <v>46752</v>
      </c>
      <c r="CQ2" s="182">
        <f t="shared" ref="CQ2" si="59">EOMONTH(CN2,3)</f>
        <v>46843</v>
      </c>
      <c r="CR2" s="182">
        <f t="shared" ref="CR2" si="60">EOMONTH(CO2,3)</f>
        <v>46843</v>
      </c>
      <c r="CS2" s="182">
        <f t="shared" ref="CS2" si="61">EOMONTH(CP2,3)</f>
        <v>46843</v>
      </c>
      <c r="CT2" s="182">
        <f t="shared" ref="CT2" si="62">EOMONTH(CQ2,3)</f>
        <v>46934</v>
      </c>
      <c r="CU2" s="182">
        <f t="shared" ref="CU2" si="63">EOMONTH(CR2,3)</f>
        <v>46934</v>
      </c>
      <c r="CV2" s="182">
        <f t="shared" ref="CV2" si="64">EOMONTH(CS2,3)</f>
        <v>46934</v>
      </c>
      <c r="CW2" s="182">
        <f t="shared" ref="CW2" si="65">EOMONTH(CT2,3)</f>
        <v>47026</v>
      </c>
      <c r="CX2" s="182">
        <f t="shared" ref="CX2" si="66">EOMONTH(CU2,3)</f>
        <v>47026</v>
      </c>
      <c r="CY2" s="182">
        <f t="shared" ref="CY2" si="67">EOMONTH(CV2,3)</f>
        <v>47026</v>
      </c>
      <c r="CZ2" s="182">
        <f t="shared" ref="CZ2" si="68">EOMONTH(CW2,3)</f>
        <v>47118</v>
      </c>
      <c r="DA2" s="182">
        <f t="shared" ref="DA2" si="69">EOMONTH(CX2,3)</f>
        <v>47118</v>
      </c>
      <c r="DB2" s="182">
        <f t="shared" ref="DB2" si="70">EOMONTH(CY2,3)</f>
        <v>47118</v>
      </c>
      <c r="DC2" s="182">
        <f t="shared" ref="DC2" si="71">EOMONTH(CZ2,3)</f>
        <v>47208</v>
      </c>
      <c r="DD2" s="182">
        <f t="shared" ref="DD2" si="72">EOMONTH(DA2,3)</f>
        <v>47208</v>
      </c>
      <c r="DE2" s="182">
        <f t="shared" ref="DE2" si="73">EOMONTH(DB2,3)</f>
        <v>47208</v>
      </c>
      <c r="DF2" s="182">
        <f t="shared" ref="DF2" si="74">EOMONTH(DC2,3)</f>
        <v>47299</v>
      </c>
      <c r="DG2" s="182">
        <f t="shared" ref="DG2" si="75">EOMONTH(DD2,3)</f>
        <v>47299</v>
      </c>
      <c r="DH2" s="182">
        <f t="shared" ref="DH2" si="76">EOMONTH(DE2,3)</f>
        <v>47299</v>
      </c>
      <c r="DI2" s="182">
        <f t="shared" ref="DI2" si="77">EOMONTH(DF2,3)</f>
        <v>47391</v>
      </c>
      <c r="DJ2" s="182">
        <f t="shared" ref="DJ2" si="78">EOMONTH(DG2,3)</f>
        <v>47391</v>
      </c>
      <c r="DK2" s="182">
        <f t="shared" ref="DK2" si="79">EOMONTH(DH2,3)</f>
        <v>47391</v>
      </c>
      <c r="DL2" s="182">
        <f t="shared" ref="DL2" si="80">EOMONTH(DI2,3)</f>
        <v>47483</v>
      </c>
      <c r="DM2" s="182">
        <f t="shared" ref="DM2" si="81">EOMONTH(DJ2,3)</f>
        <v>47483</v>
      </c>
      <c r="DN2" s="182">
        <f t="shared" ref="DN2" si="82">EOMONTH(DK2,3)</f>
        <v>47483</v>
      </c>
      <c r="DO2" s="182">
        <f t="shared" ref="DO2" si="83">EOMONTH(DL2,3)</f>
        <v>47573</v>
      </c>
      <c r="DP2" s="182">
        <f t="shared" ref="DP2" si="84">EOMONTH(DM2,3)</f>
        <v>47573</v>
      </c>
      <c r="DQ2" s="182">
        <f t="shared" ref="DQ2" si="85">EOMONTH(DN2,3)</f>
        <v>47573</v>
      </c>
      <c r="DR2" s="182">
        <f t="shared" ref="DR2" si="86">EOMONTH(DO2,3)</f>
        <v>47664</v>
      </c>
      <c r="DS2" s="182">
        <f t="shared" ref="DS2" si="87">EOMONTH(DP2,3)</f>
        <v>47664</v>
      </c>
      <c r="DT2" s="182">
        <f t="shared" ref="DT2" si="88">EOMONTH(DQ2,3)</f>
        <v>47664</v>
      </c>
      <c r="DU2" s="182">
        <f t="shared" ref="DU2" si="89">EOMONTH(DR2,3)</f>
        <v>47756</v>
      </c>
      <c r="DV2" s="182">
        <f t="shared" ref="DV2" si="90">EOMONTH(DS2,3)</f>
        <v>47756</v>
      </c>
      <c r="DW2" s="182">
        <f t="shared" ref="DW2" si="91">EOMONTH(DT2,3)</f>
        <v>47756</v>
      </c>
      <c r="DX2" s="182">
        <f t="shared" ref="DX2" si="92">EOMONTH(DU2,3)</f>
        <v>47848</v>
      </c>
      <c r="DY2" s="182">
        <f t="shared" ref="DY2" si="93">EOMONTH(DV2,3)</f>
        <v>47848</v>
      </c>
      <c r="DZ2" s="182">
        <f t="shared" ref="DZ2" si="94">EOMONTH(DW2,3)</f>
        <v>47848</v>
      </c>
      <c r="EA2" s="182">
        <f t="shared" ref="EA2" si="95">EOMONTH(DX2,3)</f>
        <v>47938</v>
      </c>
      <c r="EB2" s="182">
        <f t="shared" ref="EB2" si="96">EOMONTH(DY2,3)</f>
        <v>47938</v>
      </c>
      <c r="EC2" s="182">
        <f t="shared" ref="EC2" si="97">EOMONTH(DZ2,3)</f>
        <v>47938</v>
      </c>
      <c r="ED2" s="182">
        <f t="shared" ref="ED2" si="98">EOMONTH(EA2,3)</f>
        <v>48029</v>
      </c>
      <c r="EE2" s="182">
        <f t="shared" ref="EE2" si="99">EOMONTH(EB2,3)</f>
        <v>48029</v>
      </c>
      <c r="EF2" s="182">
        <f t="shared" ref="EF2" si="100">EOMONTH(EC2,3)</f>
        <v>48029</v>
      </c>
      <c r="EG2" s="182">
        <f t="shared" ref="EG2" si="101">EOMONTH(ED2,3)</f>
        <v>48121</v>
      </c>
      <c r="EH2" s="182">
        <f t="shared" ref="EH2" si="102">EOMONTH(EE2,3)</f>
        <v>48121</v>
      </c>
      <c r="EI2" s="182">
        <f t="shared" ref="EI2" si="103">EOMONTH(EF2,3)</f>
        <v>48121</v>
      </c>
      <c r="EJ2" s="182">
        <f t="shared" ref="EJ2" si="104">EOMONTH(EG2,3)</f>
        <v>48213</v>
      </c>
      <c r="EK2" s="182">
        <f t="shared" ref="EK2" si="105">EOMONTH(EH2,3)</f>
        <v>48213</v>
      </c>
      <c r="EL2" s="182">
        <f t="shared" ref="EL2" si="106">EOMONTH(EI2,3)</f>
        <v>48213</v>
      </c>
      <c r="EM2" s="182">
        <f t="shared" ref="EM2" si="107">EOMONTH(EJ2,3)</f>
        <v>48304</v>
      </c>
      <c r="EN2" s="182">
        <f t="shared" ref="EN2" si="108">EOMONTH(EK2,3)</f>
        <v>48304</v>
      </c>
      <c r="EO2" s="182">
        <f t="shared" ref="EO2" si="109">EOMONTH(EL2,3)</f>
        <v>48304</v>
      </c>
      <c r="EP2" s="182">
        <f t="shared" ref="EP2" si="110">EOMONTH(EM2,3)</f>
        <v>48395</v>
      </c>
      <c r="EQ2" s="182">
        <f t="shared" ref="EQ2" si="111">EOMONTH(EN2,3)</f>
        <v>48395</v>
      </c>
      <c r="ER2" s="182">
        <f t="shared" ref="ER2" si="112">EOMONTH(EO2,3)</f>
        <v>48395</v>
      </c>
      <c r="ES2" s="182">
        <f t="shared" ref="ES2" si="113">EOMONTH(EP2,3)</f>
        <v>48487</v>
      </c>
      <c r="ET2" s="182">
        <f t="shared" ref="ET2" si="114">EOMONTH(EQ2,3)</f>
        <v>48487</v>
      </c>
      <c r="EU2" s="182">
        <f t="shared" ref="EU2" si="115">EOMONTH(ER2,3)</f>
        <v>48487</v>
      </c>
      <c r="EV2" s="182">
        <f t="shared" ref="EV2" si="116">EOMONTH(ES2,3)</f>
        <v>48579</v>
      </c>
      <c r="EW2" s="182">
        <f t="shared" ref="EW2" si="117">EOMONTH(ET2,3)</f>
        <v>48579</v>
      </c>
      <c r="EX2" s="182">
        <f t="shared" ref="EX2" si="118">EOMONTH(EU2,3)</f>
        <v>48579</v>
      </c>
      <c r="EY2" s="182">
        <f t="shared" ref="EY2" si="119">EOMONTH(EV2,3)</f>
        <v>48669</v>
      </c>
      <c r="EZ2" s="182">
        <f t="shared" ref="EZ2" si="120">EOMONTH(EW2,3)</f>
        <v>48669</v>
      </c>
      <c r="FA2" s="182">
        <f t="shared" ref="FA2" si="121">EOMONTH(EX2,3)</f>
        <v>48669</v>
      </c>
      <c r="FB2" s="182">
        <f t="shared" ref="FB2" si="122">EOMONTH(EY2,3)</f>
        <v>48760</v>
      </c>
      <c r="FC2" s="182">
        <f t="shared" ref="FC2" si="123">EOMONTH(EZ2,3)</f>
        <v>48760</v>
      </c>
      <c r="FD2" s="182">
        <f t="shared" ref="FD2" si="124">EOMONTH(FA2,3)</f>
        <v>48760</v>
      </c>
      <c r="FE2" s="182">
        <f t="shared" ref="FE2" si="125">EOMONTH(FB2,3)</f>
        <v>48852</v>
      </c>
      <c r="FF2" s="182">
        <f t="shared" ref="FF2" si="126">EOMONTH(FC2,3)</f>
        <v>48852</v>
      </c>
      <c r="FG2" s="182">
        <f t="shared" ref="FG2" si="127">EOMONTH(FD2,3)</f>
        <v>48852</v>
      </c>
      <c r="FH2" s="182">
        <f t="shared" ref="FH2" si="128">EOMONTH(FE2,3)</f>
        <v>48944</v>
      </c>
      <c r="FI2" s="182">
        <f t="shared" ref="FI2" si="129">EOMONTH(FF2,3)</f>
        <v>48944</v>
      </c>
      <c r="FJ2" s="182">
        <f t="shared" ref="FJ2" si="130">EOMONTH(FG2,3)</f>
        <v>48944</v>
      </c>
    </row>
    <row r="3" spans="1:207" s="36" customFormat="1" ht="15" customHeight="1">
      <c r="A3" s="67"/>
      <c r="B3" s="631" t="s">
        <v>48</v>
      </c>
      <c r="C3" s="631" t="s">
        <v>105</v>
      </c>
      <c r="D3" s="400"/>
      <c r="E3" s="400"/>
      <c r="F3" s="400"/>
      <c r="G3" s="400"/>
      <c r="H3" s="389"/>
      <c r="I3" s="631" t="s">
        <v>106</v>
      </c>
      <c r="J3" s="631" t="s">
        <v>107</v>
      </c>
      <c r="K3" s="627" t="s">
        <v>108</v>
      </c>
      <c r="L3" s="628"/>
      <c r="M3" s="628"/>
      <c r="N3" s="628"/>
      <c r="O3" s="628"/>
      <c r="P3" s="628"/>
      <c r="Q3" s="323"/>
      <c r="R3" s="627" t="s">
        <v>109</v>
      </c>
      <c r="S3" s="628"/>
      <c r="T3" s="628"/>
      <c r="U3" s="628"/>
      <c r="V3" s="628"/>
      <c r="W3" s="628"/>
      <c r="X3" s="628"/>
      <c r="Y3" s="628"/>
      <c r="Z3" s="629"/>
      <c r="AA3" s="324"/>
      <c r="AB3" s="407" t="s">
        <v>110</v>
      </c>
      <c r="AC3" s="407"/>
      <c r="AD3" s="325"/>
      <c r="AE3" s="325"/>
      <c r="AF3" s="325"/>
      <c r="AG3" s="325"/>
      <c r="AH3" s="325"/>
      <c r="AI3" s="325"/>
      <c r="AJ3" s="325"/>
      <c r="AK3" s="325"/>
      <c r="AL3" s="325"/>
      <c r="AM3" s="325"/>
      <c r="AN3" s="325"/>
      <c r="AO3" s="325"/>
      <c r="AP3" s="325"/>
      <c r="AQ3" s="325"/>
      <c r="AR3" s="325"/>
      <c r="AS3" s="325"/>
      <c r="AT3" s="325"/>
      <c r="AU3" s="325"/>
      <c r="AV3" s="325"/>
      <c r="AW3" s="325"/>
      <c r="AX3" s="325"/>
      <c r="AY3" s="325"/>
      <c r="AZ3" s="325"/>
      <c r="BA3" s="325"/>
      <c r="BB3" s="325"/>
      <c r="BC3" s="325"/>
      <c r="BD3" s="325"/>
      <c r="BE3" s="325"/>
      <c r="BF3" s="325"/>
      <c r="BG3" s="325"/>
      <c r="BH3" s="325"/>
      <c r="BI3" s="325"/>
      <c r="BJ3" s="325"/>
      <c r="BK3" s="325"/>
      <c r="BL3" s="325"/>
      <c r="BM3" s="325"/>
      <c r="BN3" s="325"/>
      <c r="BO3" s="325"/>
      <c r="BP3" s="325"/>
      <c r="BQ3" s="325"/>
      <c r="BR3" s="325"/>
      <c r="BS3" s="325"/>
      <c r="BT3" s="325"/>
      <c r="BU3" s="325"/>
      <c r="BV3" s="325"/>
      <c r="BW3" s="325"/>
      <c r="BX3" s="325"/>
      <c r="BY3" s="325"/>
      <c r="BZ3" s="325"/>
      <c r="CA3" s="325"/>
      <c r="CB3" s="325"/>
      <c r="CC3" s="325"/>
      <c r="CD3" s="325"/>
      <c r="CE3" s="325"/>
      <c r="CF3" s="325"/>
      <c r="CG3" s="325"/>
      <c r="CH3" s="325"/>
      <c r="CI3" s="325"/>
      <c r="CJ3" s="325"/>
      <c r="CK3" s="325"/>
      <c r="CL3" s="325"/>
      <c r="CM3" s="325"/>
      <c r="CN3" s="325"/>
      <c r="CO3" s="325"/>
      <c r="CP3" s="325"/>
      <c r="CQ3" s="325"/>
      <c r="CR3" s="325"/>
      <c r="CS3" s="325"/>
      <c r="CT3" s="325"/>
      <c r="CU3" s="325"/>
      <c r="CV3" s="325"/>
      <c r="CW3" s="325"/>
      <c r="CX3" s="325"/>
      <c r="CY3" s="325"/>
      <c r="CZ3" s="325"/>
      <c r="DA3" s="325"/>
      <c r="DB3" s="325"/>
      <c r="DC3" s="325"/>
      <c r="DD3" s="325"/>
      <c r="DE3" s="325"/>
      <c r="DF3" s="325"/>
      <c r="DG3" s="325"/>
      <c r="DH3" s="325"/>
      <c r="DI3" s="325"/>
      <c r="DJ3" s="325"/>
      <c r="DK3" s="325"/>
      <c r="DL3" s="325"/>
      <c r="DM3" s="325"/>
      <c r="DN3" s="325"/>
      <c r="DO3" s="325"/>
      <c r="DP3" s="325"/>
      <c r="DQ3" s="325"/>
      <c r="DR3" s="325"/>
      <c r="DS3" s="325"/>
      <c r="DT3" s="325"/>
      <c r="DU3" s="325"/>
      <c r="DV3" s="325"/>
      <c r="DW3" s="325"/>
      <c r="DX3" s="325"/>
      <c r="DY3" s="325"/>
      <c r="DZ3" s="325"/>
      <c r="EA3" s="325"/>
      <c r="EB3" s="325"/>
      <c r="EC3" s="325"/>
      <c r="ED3" s="325"/>
      <c r="EE3" s="325"/>
      <c r="EF3" s="325"/>
      <c r="EG3" s="325"/>
      <c r="EH3" s="325"/>
      <c r="EI3" s="325"/>
      <c r="EJ3" s="325"/>
      <c r="EK3" s="325"/>
      <c r="EL3" s="325"/>
      <c r="EM3" s="325"/>
      <c r="EN3" s="325"/>
      <c r="EO3" s="325"/>
      <c r="EP3" s="325"/>
      <c r="EQ3" s="325"/>
      <c r="ER3" s="325"/>
      <c r="ES3" s="325"/>
      <c r="ET3" s="325"/>
      <c r="EU3" s="325"/>
      <c r="EV3" s="325"/>
      <c r="EW3" s="325"/>
      <c r="EX3" s="325"/>
      <c r="EY3" s="325"/>
      <c r="EZ3" s="325"/>
      <c r="FA3" s="325"/>
      <c r="FB3" s="325"/>
      <c r="FC3" s="325"/>
      <c r="FD3" s="325"/>
      <c r="FE3" s="325"/>
      <c r="FF3" s="325"/>
      <c r="FG3" s="325"/>
      <c r="FH3" s="325"/>
      <c r="FI3" s="325"/>
      <c r="FJ3" s="325"/>
      <c r="FK3" s="407" t="s">
        <v>111</v>
      </c>
      <c r="FL3" s="325"/>
      <c r="FM3" s="325"/>
      <c r="FN3" s="325"/>
      <c r="FO3" s="325"/>
      <c r="FP3" s="325"/>
      <c r="FQ3" s="325"/>
      <c r="FR3" s="325"/>
      <c r="FS3" s="325"/>
      <c r="FT3" s="325"/>
      <c r="FU3" s="325"/>
      <c r="FV3" s="325"/>
      <c r="FW3" s="325"/>
      <c r="FX3" s="325"/>
      <c r="FY3" s="325"/>
      <c r="FZ3" s="325"/>
      <c r="GA3" s="325"/>
      <c r="GB3" s="325"/>
      <c r="GC3" s="325"/>
      <c r="GD3" s="325"/>
      <c r="GE3" s="325"/>
      <c r="GF3" s="325"/>
      <c r="GG3" s="325"/>
      <c r="GH3" s="325"/>
      <c r="GI3" s="325"/>
      <c r="GJ3" s="325"/>
      <c r="GK3" s="325"/>
      <c r="GL3" s="325"/>
      <c r="GM3" s="325"/>
      <c r="GN3" s="325"/>
      <c r="GO3" s="325"/>
      <c r="GP3" s="325"/>
      <c r="GQ3" s="325"/>
      <c r="GR3" s="325"/>
      <c r="GS3" s="325"/>
      <c r="GT3" s="325"/>
      <c r="GU3" s="325"/>
      <c r="GV3" s="325"/>
      <c r="GW3" s="325"/>
      <c r="GX3" s="325"/>
      <c r="GY3" s="325"/>
    </row>
    <row r="4" spans="1:207" s="66" customFormat="1" ht="41.65" customHeight="1">
      <c r="A4" s="397"/>
      <c r="B4" s="632" t="s">
        <v>48</v>
      </c>
      <c r="C4" s="632"/>
      <c r="D4" s="542" t="s">
        <v>112</v>
      </c>
      <c r="E4" s="542" t="s">
        <v>113</v>
      </c>
      <c r="F4" s="542" t="s">
        <v>114</v>
      </c>
      <c r="G4" s="542" t="s">
        <v>115</v>
      </c>
      <c r="H4" s="541" t="s">
        <v>116</v>
      </c>
      <c r="I4" s="632"/>
      <c r="J4" s="632"/>
      <c r="K4" s="491" t="s">
        <v>117</v>
      </c>
      <c r="L4" s="491" t="s">
        <v>118</v>
      </c>
      <c r="M4" s="541" t="s">
        <v>119</v>
      </c>
      <c r="N4" s="543" t="s">
        <v>120</v>
      </c>
      <c r="O4" s="541" t="s">
        <v>121</v>
      </c>
      <c r="P4" s="544" t="s">
        <v>122</v>
      </c>
      <c r="Q4" s="541" t="s">
        <v>123</v>
      </c>
      <c r="R4" s="545" t="s">
        <v>124</v>
      </c>
      <c r="S4" s="545" t="s">
        <v>125</v>
      </c>
      <c r="T4" s="545" t="s">
        <v>126</v>
      </c>
      <c r="U4" s="545" t="s">
        <v>127</v>
      </c>
      <c r="V4" s="545" t="s">
        <v>128</v>
      </c>
      <c r="W4" s="545" t="s">
        <v>129</v>
      </c>
      <c r="X4" s="545" t="s">
        <v>130</v>
      </c>
      <c r="Y4" s="545" t="s">
        <v>131</v>
      </c>
      <c r="Z4" s="546"/>
      <c r="AA4" s="547"/>
      <c r="AB4" s="548">
        <v>44713</v>
      </c>
      <c r="AC4" s="548">
        <f>+EDATE(AB4,1)</f>
        <v>44743</v>
      </c>
      <c r="AD4" s="548">
        <f t="shared" ref="AD4:BR4" si="131">+EDATE(AC4,1)</f>
        <v>44774</v>
      </c>
      <c r="AE4" s="548">
        <f t="shared" si="131"/>
        <v>44805</v>
      </c>
      <c r="AF4" s="548">
        <f t="shared" si="131"/>
        <v>44835</v>
      </c>
      <c r="AG4" s="548">
        <f t="shared" si="131"/>
        <v>44866</v>
      </c>
      <c r="AH4" s="548">
        <f t="shared" si="131"/>
        <v>44896</v>
      </c>
      <c r="AI4" s="548">
        <f t="shared" si="131"/>
        <v>44927</v>
      </c>
      <c r="AJ4" s="548">
        <f t="shared" si="131"/>
        <v>44958</v>
      </c>
      <c r="AK4" s="548">
        <f t="shared" si="131"/>
        <v>44986</v>
      </c>
      <c r="AL4" s="548">
        <f t="shared" si="131"/>
        <v>45017</v>
      </c>
      <c r="AM4" s="548">
        <f t="shared" si="131"/>
        <v>45047</v>
      </c>
      <c r="AN4" s="548">
        <f t="shared" si="131"/>
        <v>45078</v>
      </c>
      <c r="AO4" s="548">
        <f t="shared" si="131"/>
        <v>45108</v>
      </c>
      <c r="AP4" s="548">
        <f t="shared" si="131"/>
        <v>45139</v>
      </c>
      <c r="AQ4" s="548">
        <f t="shared" si="131"/>
        <v>45170</v>
      </c>
      <c r="AR4" s="548">
        <f t="shared" si="131"/>
        <v>45200</v>
      </c>
      <c r="AS4" s="548">
        <f t="shared" si="131"/>
        <v>45231</v>
      </c>
      <c r="AT4" s="548">
        <f t="shared" si="131"/>
        <v>45261</v>
      </c>
      <c r="AU4" s="548">
        <f t="shared" si="131"/>
        <v>45292</v>
      </c>
      <c r="AV4" s="548">
        <f t="shared" si="131"/>
        <v>45323</v>
      </c>
      <c r="AW4" s="548">
        <f t="shared" si="131"/>
        <v>45352</v>
      </c>
      <c r="AX4" s="548">
        <f t="shared" si="131"/>
        <v>45383</v>
      </c>
      <c r="AY4" s="548">
        <f t="shared" si="131"/>
        <v>45413</v>
      </c>
      <c r="AZ4" s="548">
        <f t="shared" si="131"/>
        <v>45444</v>
      </c>
      <c r="BA4" s="548">
        <f t="shared" si="131"/>
        <v>45474</v>
      </c>
      <c r="BB4" s="548">
        <f t="shared" si="131"/>
        <v>45505</v>
      </c>
      <c r="BC4" s="548">
        <f t="shared" si="131"/>
        <v>45536</v>
      </c>
      <c r="BD4" s="548">
        <f t="shared" si="131"/>
        <v>45566</v>
      </c>
      <c r="BE4" s="548">
        <f t="shared" si="131"/>
        <v>45597</v>
      </c>
      <c r="BF4" s="548">
        <f t="shared" si="131"/>
        <v>45627</v>
      </c>
      <c r="BG4" s="548">
        <f t="shared" si="131"/>
        <v>45658</v>
      </c>
      <c r="BH4" s="548">
        <f t="shared" si="131"/>
        <v>45689</v>
      </c>
      <c r="BI4" s="548">
        <f t="shared" si="131"/>
        <v>45717</v>
      </c>
      <c r="BJ4" s="548">
        <f t="shared" si="131"/>
        <v>45748</v>
      </c>
      <c r="BK4" s="548">
        <f t="shared" si="131"/>
        <v>45778</v>
      </c>
      <c r="BL4" s="548">
        <f t="shared" si="131"/>
        <v>45809</v>
      </c>
      <c r="BM4" s="548">
        <f t="shared" si="131"/>
        <v>45839</v>
      </c>
      <c r="BN4" s="548">
        <f t="shared" si="131"/>
        <v>45870</v>
      </c>
      <c r="BO4" s="548">
        <f t="shared" si="131"/>
        <v>45901</v>
      </c>
      <c r="BP4" s="548">
        <f t="shared" si="131"/>
        <v>45931</v>
      </c>
      <c r="BQ4" s="548">
        <f t="shared" si="131"/>
        <v>45962</v>
      </c>
      <c r="BR4" s="548">
        <f t="shared" si="131"/>
        <v>45992</v>
      </c>
      <c r="BS4" s="548">
        <f t="shared" ref="BS4" si="132">+EDATE(BR4,1)</f>
        <v>46023</v>
      </c>
      <c r="BT4" s="548">
        <f t="shared" ref="BT4" si="133">+EDATE(BS4,1)</f>
        <v>46054</v>
      </c>
      <c r="BU4" s="548">
        <f t="shared" ref="BU4" si="134">+EDATE(BT4,1)</f>
        <v>46082</v>
      </c>
      <c r="BV4" s="548">
        <f t="shared" ref="BV4" si="135">+EDATE(BU4,1)</f>
        <v>46113</v>
      </c>
      <c r="BW4" s="548">
        <f t="shared" ref="BW4" si="136">+EDATE(BV4,1)</f>
        <v>46143</v>
      </c>
      <c r="BX4" s="548">
        <f t="shared" ref="BX4" si="137">+EDATE(BW4,1)</f>
        <v>46174</v>
      </c>
      <c r="BY4" s="548">
        <f t="shared" ref="BY4" si="138">+EDATE(BX4,1)</f>
        <v>46204</v>
      </c>
      <c r="BZ4" s="548">
        <f t="shared" ref="BZ4" si="139">+EDATE(BY4,1)</f>
        <v>46235</v>
      </c>
      <c r="CA4" s="548">
        <f t="shared" ref="CA4" si="140">+EDATE(BZ4,1)</f>
        <v>46266</v>
      </c>
      <c r="CB4" s="548">
        <f t="shared" ref="CB4" si="141">+EDATE(CA4,1)</f>
        <v>46296</v>
      </c>
      <c r="CC4" s="548">
        <f t="shared" ref="CC4" si="142">+EDATE(CB4,1)</f>
        <v>46327</v>
      </c>
      <c r="CD4" s="548">
        <f t="shared" ref="CD4" si="143">+EDATE(CC4,1)</f>
        <v>46357</v>
      </c>
      <c r="CE4" s="548">
        <f t="shared" ref="CE4" si="144">+EDATE(CD4,1)</f>
        <v>46388</v>
      </c>
      <c r="CF4" s="548">
        <f t="shared" ref="CF4" si="145">+EDATE(CE4,1)</f>
        <v>46419</v>
      </c>
      <c r="CG4" s="548">
        <f t="shared" ref="CG4" si="146">+EDATE(CF4,1)</f>
        <v>46447</v>
      </c>
      <c r="CH4" s="548">
        <f t="shared" ref="CH4" si="147">+EDATE(CG4,1)</f>
        <v>46478</v>
      </c>
      <c r="CI4" s="548">
        <f t="shared" ref="CI4" si="148">+EDATE(CH4,1)</f>
        <v>46508</v>
      </c>
      <c r="CJ4" s="548">
        <f t="shared" ref="CJ4" si="149">+EDATE(CI4,1)</f>
        <v>46539</v>
      </c>
      <c r="CK4" s="548">
        <f t="shared" ref="CK4" si="150">+EDATE(CJ4,1)</f>
        <v>46569</v>
      </c>
      <c r="CL4" s="548">
        <f t="shared" ref="CL4" si="151">+EDATE(CK4,1)</f>
        <v>46600</v>
      </c>
      <c r="CM4" s="548">
        <f t="shared" ref="CM4" si="152">+EDATE(CL4,1)</f>
        <v>46631</v>
      </c>
      <c r="CN4" s="548">
        <f t="shared" ref="CN4" si="153">+EDATE(CM4,1)</f>
        <v>46661</v>
      </c>
      <c r="CO4" s="548">
        <f t="shared" ref="CO4" si="154">+EDATE(CN4,1)</f>
        <v>46692</v>
      </c>
      <c r="CP4" s="548">
        <f t="shared" ref="CP4" si="155">+EDATE(CO4,1)</f>
        <v>46722</v>
      </c>
      <c r="CQ4" s="548">
        <f t="shared" ref="CQ4" si="156">+EDATE(CP4,1)</f>
        <v>46753</v>
      </c>
      <c r="CR4" s="548">
        <f t="shared" ref="CR4" si="157">+EDATE(CQ4,1)</f>
        <v>46784</v>
      </c>
      <c r="CS4" s="548">
        <f t="shared" ref="CS4" si="158">+EDATE(CR4,1)</f>
        <v>46813</v>
      </c>
      <c r="CT4" s="548">
        <f t="shared" ref="CT4" si="159">+EDATE(CS4,1)</f>
        <v>46844</v>
      </c>
      <c r="CU4" s="548">
        <f t="shared" ref="CU4" si="160">+EDATE(CT4,1)</f>
        <v>46874</v>
      </c>
      <c r="CV4" s="548">
        <f t="shared" ref="CV4" si="161">+EDATE(CU4,1)</f>
        <v>46905</v>
      </c>
      <c r="CW4" s="548">
        <f t="shared" ref="CW4" si="162">+EDATE(CV4,1)</f>
        <v>46935</v>
      </c>
      <c r="CX4" s="548">
        <f t="shared" ref="CX4" si="163">+EDATE(CW4,1)</f>
        <v>46966</v>
      </c>
      <c r="CY4" s="548">
        <f t="shared" ref="CY4" si="164">+EDATE(CX4,1)</f>
        <v>46997</v>
      </c>
      <c r="CZ4" s="548">
        <f t="shared" ref="CZ4" si="165">+EDATE(CY4,1)</f>
        <v>47027</v>
      </c>
      <c r="DA4" s="548">
        <f t="shared" ref="DA4:DC4" si="166">+EDATE(CZ4,1)</f>
        <v>47058</v>
      </c>
      <c r="DB4" s="548">
        <f t="shared" si="166"/>
        <v>47088</v>
      </c>
      <c r="DC4" s="548">
        <f t="shared" si="166"/>
        <v>47119</v>
      </c>
      <c r="DD4" s="548">
        <f t="shared" ref="DD4" si="167">+EDATE(DC4,1)</f>
        <v>47150</v>
      </c>
      <c r="DE4" s="548">
        <f t="shared" ref="DE4" si="168">+EDATE(DD4,1)</f>
        <v>47178</v>
      </c>
      <c r="DF4" s="548">
        <f t="shared" ref="DF4" si="169">+EDATE(DE4,1)</f>
        <v>47209</v>
      </c>
      <c r="DG4" s="548">
        <f t="shared" ref="DG4" si="170">+EDATE(DF4,1)</f>
        <v>47239</v>
      </c>
      <c r="DH4" s="548">
        <f t="shared" ref="DH4" si="171">+EDATE(DG4,1)</f>
        <v>47270</v>
      </c>
      <c r="DI4" s="548">
        <f t="shared" ref="DI4" si="172">+EDATE(DH4,1)</f>
        <v>47300</v>
      </c>
      <c r="DJ4" s="548">
        <f t="shared" ref="DJ4" si="173">+EDATE(DI4,1)</f>
        <v>47331</v>
      </c>
      <c r="DK4" s="548">
        <f t="shared" ref="DK4" si="174">+EDATE(DJ4,1)</f>
        <v>47362</v>
      </c>
      <c r="DL4" s="548">
        <f t="shared" ref="DL4" si="175">+EDATE(DK4,1)</f>
        <v>47392</v>
      </c>
      <c r="DM4" s="548">
        <f t="shared" ref="DM4" si="176">+EDATE(DL4,1)</f>
        <v>47423</v>
      </c>
      <c r="DN4" s="548">
        <f t="shared" ref="DN4:DO4" si="177">+EDATE(DM4,1)</f>
        <v>47453</v>
      </c>
      <c r="DO4" s="548">
        <f t="shared" si="177"/>
        <v>47484</v>
      </c>
      <c r="DP4" s="548">
        <f t="shared" ref="DP4" si="178">+EDATE(DO4,1)</f>
        <v>47515</v>
      </c>
      <c r="DQ4" s="548">
        <f t="shared" ref="DQ4" si="179">+EDATE(DP4,1)</f>
        <v>47543</v>
      </c>
      <c r="DR4" s="548">
        <f t="shared" ref="DR4" si="180">+EDATE(DQ4,1)</f>
        <v>47574</v>
      </c>
      <c r="DS4" s="548">
        <f t="shared" ref="DS4" si="181">+EDATE(DR4,1)</f>
        <v>47604</v>
      </c>
      <c r="DT4" s="548">
        <f t="shared" ref="DT4" si="182">+EDATE(DS4,1)</f>
        <v>47635</v>
      </c>
      <c r="DU4" s="548">
        <f t="shared" ref="DU4" si="183">+EDATE(DT4,1)</f>
        <v>47665</v>
      </c>
      <c r="DV4" s="548">
        <f t="shared" ref="DV4" si="184">+EDATE(DU4,1)</f>
        <v>47696</v>
      </c>
      <c r="DW4" s="548">
        <f t="shared" ref="DW4" si="185">+EDATE(DV4,1)</f>
        <v>47727</v>
      </c>
      <c r="DX4" s="548">
        <f t="shared" ref="DX4" si="186">+EDATE(DW4,1)</f>
        <v>47757</v>
      </c>
      <c r="DY4" s="548">
        <f t="shared" ref="DY4" si="187">+EDATE(DX4,1)</f>
        <v>47788</v>
      </c>
      <c r="DZ4" s="548">
        <f t="shared" ref="DZ4:EA4" si="188">+EDATE(DY4,1)</f>
        <v>47818</v>
      </c>
      <c r="EA4" s="548">
        <f t="shared" si="188"/>
        <v>47849</v>
      </c>
      <c r="EB4" s="548">
        <f t="shared" ref="EB4" si="189">+EDATE(EA4,1)</f>
        <v>47880</v>
      </c>
      <c r="EC4" s="548">
        <f t="shared" ref="EC4" si="190">+EDATE(EB4,1)</f>
        <v>47908</v>
      </c>
      <c r="ED4" s="548">
        <f t="shared" ref="ED4" si="191">+EDATE(EC4,1)</f>
        <v>47939</v>
      </c>
      <c r="EE4" s="548">
        <f t="shared" ref="EE4" si="192">+EDATE(ED4,1)</f>
        <v>47969</v>
      </c>
      <c r="EF4" s="548">
        <f t="shared" ref="EF4" si="193">+EDATE(EE4,1)</f>
        <v>48000</v>
      </c>
      <c r="EG4" s="548">
        <f t="shared" ref="EG4" si="194">+EDATE(EF4,1)</f>
        <v>48030</v>
      </c>
      <c r="EH4" s="548">
        <f t="shared" ref="EH4" si="195">+EDATE(EG4,1)</f>
        <v>48061</v>
      </c>
      <c r="EI4" s="548">
        <f t="shared" ref="EI4" si="196">+EDATE(EH4,1)</f>
        <v>48092</v>
      </c>
      <c r="EJ4" s="548">
        <f t="shared" ref="EJ4" si="197">+EDATE(EI4,1)</f>
        <v>48122</v>
      </c>
      <c r="EK4" s="548">
        <f t="shared" ref="EK4" si="198">+EDATE(EJ4,1)</f>
        <v>48153</v>
      </c>
      <c r="EL4" s="548">
        <f t="shared" ref="EL4:EM4" si="199">+EDATE(EK4,1)</f>
        <v>48183</v>
      </c>
      <c r="EM4" s="548">
        <f t="shared" si="199"/>
        <v>48214</v>
      </c>
      <c r="EN4" s="548">
        <f t="shared" ref="EN4" si="200">+EDATE(EM4,1)</f>
        <v>48245</v>
      </c>
      <c r="EO4" s="548">
        <f t="shared" ref="EO4" si="201">+EDATE(EN4,1)</f>
        <v>48274</v>
      </c>
      <c r="EP4" s="548">
        <f t="shared" ref="EP4" si="202">+EDATE(EO4,1)</f>
        <v>48305</v>
      </c>
      <c r="EQ4" s="548">
        <f t="shared" ref="EQ4" si="203">+EDATE(EP4,1)</f>
        <v>48335</v>
      </c>
      <c r="ER4" s="548">
        <f t="shared" ref="ER4" si="204">+EDATE(EQ4,1)</f>
        <v>48366</v>
      </c>
      <c r="ES4" s="548">
        <f t="shared" ref="ES4" si="205">+EDATE(ER4,1)</f>
        <v>48396</v>
      </c>
      <c r="ET4" s="548">
        <f t="shared" ref="ET4" si="206">+EDATE(ES4,1)</f>
        <v>48427</v>
      </c>
      <c r="EU4" s="548">
        <f t="shared" ref="EU4" si="207">+EDATE(ET4,1)</f>
        <v>48458</v>
      </c>
      <c r="EV4" s="548">
        <f t="shared" ref="EV4" si="208">+EDATE(EU4,1)</f>
        <v>48488</v>
      </c>
      <c r="EW4" s="548">
        <f t="shared" ref="EW4" si="209">+EDATE(EV4,1)</f>
        <v>48519</v>
      </c>
      <c r="EX4" s="548">
        <f t="shared" ref="EX4:EY4" si="210">+EDATE(EW4,1)</f>
        <v>48549</v>
      </c>
      <c r="EY4" s="548">
        <f t="shared" si="210"/>
        <v>48580</v>
      </c>
      <c r="EZ4" s="548">
        <f t="shared" ref="EZ4" si="211">+EDATE(EY4,1)</f>
        <v>48611</v>
      </c>
      <c r="FA4" s="548">
        <f t="shared" ref="FA4" si="212">+EDATE(EZ4,1)</f>
        <v>48639</v>
      </c>
      <c r="FB4" s="548">
        <f t="shared" ref="FB4" si="213">+EDATE(FA4,1)</f>
        <v>48670</v>
      </c>
      <c r="FC4" s="548">
        <f t="shared" ref="FC4" si="214">+EDATE(FB4,1)</f>
        <v>48700</v>
      </c>
      <c r="FD4" s="548">
        <f t="shared" ref="FD4" si="215">+EDATE(FC4,1)</f>
        <v>48731</v>
      </c>
      <c r="FE4" s="548">
        <f t="shared" ref="FE4" si="216">+EDATE(FD4,1)</f>
        <v>48761</v>
      </c>
      <c r="FF4" s="548">
        <f t="shared" ref="FF4" si="217">+EDATE(FE4,1)</f>
        <v>48792</v>
      </c>
      <c r="FG4" s="548">
        <f t="shared" ref="FG4" si="218">+EDATE(FF4,1)</f>
        <v>48823</v>
      </c>
      <c r="FH4" s="548">
        <f t="shared" ref="FH4" si="219">+EDATE(FG4,1)</f>
        <v>48853</v>
      </c>
      <c r="FI4" s="548">
        <f t="shared" ref="FI4" si="220">+EDATE(FH4,1)</f>
        <v>48884</v>
      </c>
      <c r="FJ4" s="548">
        <f t="shared" ref="FJ4" si="221">+EDATE(FI4,1)</f>
        <v>48914</v>
      </c>
      <c r="FK4" s="549">
        <f>+'3. TMDT'!K5</f>
        <v>45291</v>
      </c>
      <c r="FL4" s="549">
        <f>+'3. TMDT'!L5</f>
        <v>45382</v>
      </c>
      <c r="FM4" s="549">
        <f>+'3. TMDT'!M5</f>
        <v>45473</v>
      </c>
      <c r="FN4" s="549">
        <f>+'3. TMDT'!N5</f>
        <v>45565</v>
      </c>
      <c r="FO4" s="549">
        <f>+'3. TMDT'!O5</f>
        <v>45657</v>
      </c>
      <c r="FP4" s="549">
        <f>+'3. TMDT'!P5</f>
        <v>45747</v>
      </c>
      <c r="FQ4" s="549">
        <f>+'3. TMDT'!Q5</f>
        <v>45838</v>
      </c>
      <c r="FR4" s="549">
        <f>+'3. TMDT'!R5</f>
        <v>45930</v>
      </c>
      <c r="FS4" s="549">
        <f>+'3. TMDT'!S5</f>
        <v>46022</v>
      </c>
      <c r="FT4" s="549">
        <f>+'3. TMDT'!T5</f>
        <v>46112</v>
      </c>
      <c r="FU4" s="549">
        <f>+'3. TMDT'!U5</f>
        <v>46203</v>
      </c>
      <c r="FV4" s="549">
        <f>+'3. TMDT'!V5</f>
        <v>46295</v>
      </c>
      <c r="FW4" s="549">
        <f>+'3. TMDT'!W5</f>
        <v>46387</v>
      </c>
      <c r="FX4" s="549">
        <f>+'3. TMDT'!X5</f>
        <v>46477</v>
      </c>
      <c r="FY4" s="549">
        <f>+'3. TMDT'!Y5</f>
        <v>46568</v>
      </c>
      <c r="FZ4" s="549">
        <f>+'3. TMDT'!Z5</f>
        <v>46660</v>
      </c>
      <c r="GA4" s="549">
        <f>+'3. TMDT'!AA5</f>
        <v>46752</v>
      </c>
      <c r="GB4" s="549">
        <f>+'3. TMDT'!AB5</f>
        <v>46843</v>
      </c>
      <c r="GC4" s="549">
        <f>+'3. TMDT'!AC5</f>
        <v>46934</v>
      </c>
      <c r="GD4" s="549">
        <f>+'3. TMDT'!AD5</f>
        <v>47026</v>
      </c>
      <c r="GE4" s="549">
        <f>+'3. TMDT'!AE5</f>
        <v>47118</v>
      </c>
      <c r="GF4" s="549">
        <f>+'3. TMDT'!AF5</f>
        <v>47208</v>
      </c>
      <c r="GG4" s="549">
        <f>+'3. TMDT'!AG5</f>
        <v>47299</v>
      </c>
      <c r="GH4" s="549">
        <f>+'3. TMDT'!AH5</f>
        <v>47391</v>
      </c>
      <c r="GI4" s="549">
        <f>+'3. TMDT'!AI5</f>
        <v>47483</v>
      </c>
      <c r="GJ4" s="549">
        <f>+'3. TMDT'!AJ5</f>
        <v>47573</v>
      </c>
      <c r="GK4" s="549">
        <f>+'3. TMDT'!AK5</f>
        <v>47664</v>
      </c>
      <c r="GL4" s="549">
        <f>+'3. TMDT'!AL5</f>
        <v>47756</v>
      </c>
      <c r="GM4" s="549">
        <f>+'3. TMDT'!AM5</f>
        <v>47848</v>
      </c>
      <c r="GN4" s="549">
        <f>+'3. TMDT'!AN5</f>
        <v>47938</v>
      </c>
      <c r="GO4" s="549">
        <f>+'3. TMDT'!AO5</f>
        <v>48029</v>
      </c>
      <c r="GP4" s="549">
        <f>+'3. TMDT'!AP5</f>
        <v>48121</v>
      </c>
      <c r="GQ4" s="549">
        <f>+'3. TMDT'!AQ5</f>
        <v>48213</v>
      </c>
      <c r="GR4" s="549">
        <f>+'3. TMDT'!AR5</f>
        <v>48304</v>
      </c>
      <c r="GS4" s="549">
        <f>+'3. TMDT'!AS5</f>
        <v>48395</v>
      </c>
      <c r="GT4" s="549">
        <f>+'3. TMDT'!AT5</f>
        <v>48487</v>
      </c>
      <c r="GU4" s="549">
        <f>+'3. TMDT'!AU5</f>
        <v>48579</v>
      </c>
      <c r="GV4" s="549">
        <f>+'3. TMDT'!AV5</f>
        <v>48669</v>
      </c>
      <c r="GW4" s="549">
        <f>+'3. TMDT'!AW5</f>
        <v>48760</v>
      </c>
      <c r="GX4" s="549">
        <f>+'3. TMDT'!AX5</f>
        <v>48852</v>
      </c>
      <c r="GY4" s="549">
        <f>+'3. TMDT'!AY5</f>
        <v>48944</v>
      </c>
    </row>
    <row r="5" spans="1:207" s="66" customFormat="1" ht="29.25" customHeight="1" outlineLevel="1">
      <c r="A5" s="397"/>
      <c r="B5" s="177"/>
      <c r="C5" s="550" t="s">
        <v>132</v>
      </c>
      <c r="D5" s="550"/>
      <c r="E5" s="550"/>
      <c r="F5" s="550"/>
      <c r="G5" s="550"/>
      <c r="H5" s="550"/>
      <c r="I5" s="551"/>
      <c r="J5" s="551"/>
      <c r="K5" s="492"/>
      <c r="L5" s="492"/>
      <c r="M5" s="551"/>
      <c r="N5" s="551"/>
      <c r="O5" s="551"/>
      <c r="P5" s="552"/>
      <c r="Q5" s="551"/>
      <c r="R5" s="553">
        <v>0.3</v>
      </c>
      <c r="S5" s="553">
        <v>0.1</v>
      </c>
      <c r="T5" s="553">
        <v>0.1</v>
      </c>
      <c r="U5" s="553">
        <v>0.1</v>
      </c>
      <c r="V5" s="553">
        <v>0.1</v>
      </c>
      <c r="W5" s="553">
        <v>0.25</v>
      </c>
      <c r="X5" s="553">
        <v>0</v>
      </c>
      <c r="Y5" s="553">
        <v>0.05</v>
      </c>
      <c r="Z5" s="390"/>
      <c r="AA5" s="402"/>
      <c r="AB5" s="392"/>
      <c r="AC5" s="392"/>
      <c r="AD5" s="392"/>
      <c r="AE5" s="392"/>
      <c r="AF5" s="392"/>
      <c r="AG5" s="392"/>
      <c r="AH5" s="392"/>
      <c r="AI5" s="392"/>
      <c r="AJ5" s="392"/>
      <c r="AK5" s="392"/>
      <c r="AL5" s="392"/>
      <c r="AM5" s="392"/>
      <c r="AN5" s="392"/>
      <c r="AO5" s="392"/>
      <c r="AP5" s="392"/>
      <c r="AQ5" s="392"/>
      <c r="AR5" s="392"/>
      <c r="AS5" s="392"/>
      <c r="AT5" s="392"/>
      <c r="AU5" s="392"/>
      <c r="AV5" s="392"/>
      <c r="AW5" s="392"/>
      <c r="AX5" s="392"/>
      <c r="AY5" s="392"/>
      <c r="AZ5" s="392"/>
      <c r="BA5" s="392"/>
      <c r="BB5" s="392"/>
      <c r="BC5" s="392"/>
      <c r="BD5" s="392"/>
      <c r="BE5" s="392"/>
      <c r="BF5" s="392"/>
      <c r="BG5" s="392"/>
      <c r="BH5" s="392"/>
      <c r="BI5" s="392"/>
      <c r="BJ5" s="392"/>
      <c r="BK5" s="392"/>
      <c r="BL5" s="392"/>
      <c r="BM5" s="392"/>
      <c r="BN5" s="392"/>
      <c r="BO5" s="392"/>
      <c r="BP5" s="392"/>
      <c r="BQ5" s="392"/>
      <c r="BR5" s="392"/>
      <c r="BS5" s="392"/>
      <c r="BT5" s="392"/>
      <c r="BU5" s="392"/>
      <c r="BV5" s="392"/>
      <c r="BW5" s="392"/>
      <c r="BX5" s="392"/>
      <c r="BY5" s="392"/>
      <c r="BZ5" s="392"/>
      <c r="CA5" s="392"/>
      <c r="CB5" s="392"/>
      <c r="CC5" s="392"/>
      <c r="CD5" s="392"/>
      <c r="CE5" s="392"/>
      <c r="CF5" s="392"/>
      <c r="CG5" s="392"/>
      <c r="CH5" s="392"/>
      <c r="CI5" s="392"/>
      <c r="CJ5" s="392"/>
      <c r="CK5" s="392"/>
      <c r="CL5" s="392"/>
      <c r="CM5" s="392"/>
      <c r="CN5" s="392"/>
      <c r="CO5" s="392"/>
      <c r="CP5" s="392"/>
      <c r="CQ5" s="392"/>
      <c r="CR5" s="392"/>
      <c r="CS5" s="392"/>
      <c r="CT5" s="392"/>
      <c r="CU5" s="392"/>
      <c r="CV5" s="392"/>
      <c r="CW5" s="392"/>
      <c r="CX5" s="392"/>
      <c r="CY5" s="392"/>
      <c r="CZ5" s="392"/>
      <c r="DA5" s="392"/>
      <c r="DB5" s="392"/>
      <c r="DC5" s="392"/>
      <c r="DD5" s="392"/>
      <c r="DE5" s="392"/>
      <c r="DF5" s="392"/>
      <c r="DG5" s="392"/>
      <c r="DH5" s="392"/>
      <c r="DI5" s="392"/>
      <c r="DJ5" s="392"/>
      <c r="DK5" s="392"/>
      <c r="DL5" s="392"/>
      <c r="DM5" s="392"/>
      <c r="DN5" s="392"/>
      <c r="DO5" s="392"/>
      <c r="DP5" s="392"/>
      <c r="DQ5" s="392"/>
      <c r="DR5" s="392"/>
      <c r="DS5" s="392"/>
      <c r="DT5" s="392"/>
      <c r="DU5" s="392"/>
      <c r="DV5" s="392"/>
      <c r="DW5" s="392"/>
      <c r="DX5" s="392"/>
      <c r="DY5" s="392"/>
      <c r="DZ5" s="392"/>
      <c r="EA5" s="392"/>
      <c r="EB5" s="392"/>
      <c r="EC5" s="392"/>
      <c r="ED5" s="392"/>
      <c r="EE5" s="392"/>
      <c r="EF5" s="392"/>
      <c r="EG5" s="392"/>
      <c r="EH5" s="392"/>
      <c r="EI5" s="392"/>
      <c r="EJ5" s="392"/>
      <c r="EK5" s="392"/>
      <c r="EL5" s="392"/>
      <c r="EM5" s="392"/>
      <c r="EN5" s="392"/>
      <c r="EO5" s="392"/>
      <c r="EP5" s="392"/>
      <c r="EQ5" s="392"/>
      <c r="ER5" s="392"/>
      <c r="ES5" s="392"/>
      <c r="ET5" s="392"/>
      <c r="EU5" s="392"/>
      <c r="EV5" s="392"/>
      <c r="EW5" s="392"/>
      <c r="EX5" s="392"/>
      <c r="EY5" s="392"/>
      <c r="EZ5" s="392"/>
      <c r="FA5" s="392"/>
      <c r="FB5" s="392"/>
      <c r="FC5" s="392"/>
      <c r="FD5" s="392"/>
      <c r="FE5" s="392"/>
      <c r="FF5" s="392"/>
      <c r="FG5" s="392"/>
      <c r="FH5" s="392"/>
      <c r="FI5" s="392"/>
      <c r="FJ5" s="392"/>
      <c r="FK5" s="391"/>
      <c r="FL5" s="391"/>
      <c r="FM5" s="391"/>
      <c r="FN5" s="391"/>
      <c r="FO5" s="391"/>
      <c r="FP5" s="391"/>
      <c r="FQ5" s="391"/>
      <c r="FR5" s="391"/>
      <c r="FS5" s="391"/>
      <c r="FT5" s="391"/>
      <c r="FU5" s="391"/>
      <c r="FV5" s="391"/>
      <c r="FW5" s="391"/>
      <c r="FX5" s="391"/>
      <c r="FY5" s="391"/>
      <c r="FZ5" s="391"/>
      <c r="GA5" s="391"/>
      <c r="GB5" s="391"/>
      <c r="GC5" s="391"/>
      <c r="GD5" s="391"/>
      <c r="GE5" s="391"/>
      <c r="GF5" s="391"/>
      <c r="GG5" s="391"/>
      <c r="GH5" s="391"/>
      <c r="GI5" s="391"/>
      <c r="GJ5" s="391"/>
      <c r="GK5" s="391"/>
      <c r="GL5" s="391"/>
      <c r="GM5" s="391"/>
      <c r="GN5" s="391"/>
      <c r="GO5" s="391"/>
      <c r="GP5" s="391"/>
      <c r="GQ5" s="391"/>
      <c r="GR5" s="391"/>
      <c r="GS5" s="391"/>
      <c r="GT5" s="391"/>
      <c r="GU5" s="391"/>
      <c r="GV5" s="391"/>
      <c r="GW5" s="391"/>
      <c r="GX5" s="391"/>
      <c r="GY5" s="391"/>
    </row>
    <row r="6" spans="1:207" s="66" customFormat="1" ht="29.25" customHeight="1" outlineLevel="1">
      <c r="A6" s="397"/>
      <c r="B6" s="177"/>
      <c r="C6" s="550" t="s">
        <v>133</v>
      </c>
      <c r="D6" s="494"/>
      <c r="E6" s="494"/>
      <c r="F6" s="494"/>
      <c r="G6" s="494"/>
      <c r="H6" s="494"/>
      <c r="I6" s="177"/>
      <c r="J6" s="177"/>
      <c r="K6" s="495"/>
      <c r="L6" s="495"/>
      <c r="M6" s="177"/>
      <c r="N6" s="177"/>
      <c r="O6" s="177"/>
      <c r="P6" s="496"/>
      <c r="Q6" s="177"/>
      <c r="R6" s="497">
        <v>0.3</v>
      </c>
      <c r="S6" s="497">
        <v>0.15</v>
      </c>
      <c r="T6" s="497">
        <v>0.15</v>
      </c>
      <c r="U6" s="497">
        <v>0.1</v>
      </c>
      <c r="V6" s="497">
        <v>0.25</v>
      </c>
      <c r="W6" s="497">
        <v>0</v>
      </c>
      <c r="X6" s="497">
        <v>0</v>
      </c>
      <c r="Y6" s="497">
        <v>0.05</v>
      </c>
      <c r="Z6" s="390"/>
      <c r="AA6" s="402"/>
      <c r="AB6" s="392"/>
      <c r="AC6" s="392"/>
      <c r="AD6" s="392"/>
      <c r="AE6" s="392"/>
      <c r="AF6" s="392"/>
      <c r="AG6" s="392"/>
      <c r="AH6" s="392"/>
      <c r="AI6" s="392"/>
      <c r="AJ6" s="392"/>
      <c r="AK6" s="392"/>
      <c r="AL6" s="392"/>
      <c r="AM6" s="392"/>
      <c r="AN6" s="392"/>
      <c r="AO6" s="392"/>
      <c r="AP6" s="392"/>
      <c r="AQ6" s="392"/>
      <c r="AR6" s="392"/>
      <c r="AS6" s="392"/>
      <c r="AT6" s="392"/>
      <c r="AU6" s="392"/>
      <c r="AV6" s="392"/>
      <c r="AW6" s="392"/>
      <c r="AX6" s="392"/>
      <c r="AY6" s="392"/>
      <c r="AZ6" s="392"/>
      <c r="BA6" s="392"/>
      <c r="BB6" s="392"/>
      <c r="BC6" s="392"/>
      <c r="BD6" s="392"/>
      <c r="BE6" s="392"/>
      <c r="BF6" s="392"/>
      <c r="BG6" s="392"/>
      <c r="BH6" s="392"/>
      <c r="BI6" s="392"/>
      <c r="BJ6" s="392"/>
      <c r="BK6" s="392"/>
      <c r="BL6" s="392"/>
      <c r="BM6" s="392"/>
      <c r="BN6" s="392"/>
      <c r="BO6" s="392"/>
      <c r="BP6" s="392"/>
      <c r="BQ6" s="392"/>
      <c r="BR6" s="392"/>
      <c r="BS6" s="392"/>
      <c r="BT6" s="392"/>
      <c r="BU6" s="392"/>
      <c r="BV6" s="392"/>
      <c r="BW6" s="392"/>
      <c r="BX6" s="392"/>
      <c r="BY6" s="392"/>
      <c r="BZ6" s="392"/>
      <c r="CA6" s="392"/>
      <c r="CB6" s="392"/>
      <c r="CC6" s="392"/>
      <c r="CD6" s="392"/>
      <c r="CE6" s="392"/>
      <c r="CF6" s="392"/>
      <c r="CG6" s="392"/>
      <c r="CH6" s="392"/>
      <c r="CI6" s="392"/>
      <c r="CJ6" s="392"/>
      <c r="CK6" s="392"/>
      <c r="CL6" s="392"/>
      <c r="CM6" s="392"/>
      <c r="CN6" s="392"/>
      <c r="CO6" s="392"/>
      <c r="CP6" s="392"/>
      <c r="CQ6" s="392"/>
      <c r="CR6" s="392"/>
      <c r="CS6" s="392"/>
      <c r="CT6" s="392"/>
      <c r="CU6" s="392"/>
      <c r="CV6" s="392"/>
      <c r="CW6" s="392"/>
      <c r="CX6" s="392"/>
      <c r="CY6" s="392"/>
      <c r="CZ6" s="392"/>
      <c r="DA6" s="392"/>
      <c r="DB6" s="392"/>
      <c r="DC6" s="392"/>
      <c r="DD6" s="392"/>
      <c r="DE6" s="392"/>
      <c r="DF6" s="392"/>
      <c r="DG6" s="392"/>
      <c r="DH6" s="392"/>
      <c r="DI6" s="392"/>
      <c r="DJ6" s="392"/>
      <c r="DK6" s="392"/>
      <c r="DL6" s="392"/>
      <c r="DM6" s="392"/>
      <c r="DN6" s="392"/>
      <c r="DO6" s="392"/>
      <c r="DP6" s="392"/>
      <c r="DQ6" s="392"/>
      <c r="DR6" s="392"/>
      <c r="DS6" s="392"/>
      <c r="DT6" s="392"/>
      <c r="DU6" s="392"/>
      <c r="DV6" s="392"/>
      <c r="DW6" s="392"/>
      <c r="DX6" s="392"/>
      <c r="DY6" s="392"/>
      <c r="DZ6" s="392"/>
      <c r="EA6" s="392"/>
      <c r="EB6" s="392"/>
      <c r="EC6" s="392"/>
      <c r="ED6" s="392"/>
      <c r="EE6" s="392"/>
      <c r="EF6" s="392"/>
      <c r="EG6" s="392"/>
      <c r="EH6" s="392"/>
      <c r="EI6" s="392"/>
      <c r="EJ6" s="392"/>
      <c r="EK6" s="392"/>
      <c r="EL6" s="392"/>
      <c r="EM6" s="392"/>
      <c r="EN6" s="392"/>
      <c r="EO6" s="392"/>
      <c r="EP6" s="392"/>
      <c r="EQ6" s="392"/>
      <c r="ER6" s="392"/>
      <c r="ES6" s="392"/>
      <c r="ET6" s="392"/>
      <c r="EU6" s="392"/>
      <c r="EV6" s="392"/>
      <c r="EW6" s="392"/>
      <c r="EX6" s="392"/>
      <c r="EY6" s="392"/>
      <c r="EZ6" s="392"/>
      <c r="FA6" s="392"/>
      <c r="FB6" s="392"/>
      <c r="FC6" s="392"/>
      <c r="FD6" s="392"/>
      <c r="FE6" s="392"/>
      <c r="FF6" s="392"/>
      <c r="FG6" s="392"/>
      <c r="FH6" s="392"/>
      <c r="FI6" s="392"/>
      <c r="FJ6" s="392"/>
      <c r="FK6" s="391"/>
      <c r="FL6" s="391"/>
      <c r="FM6" s="391"/>
      <c r="FN6" s="391"/>
      <c r="FO6" s="391"/>
      <c r="FP6" s="391"/>
      <c r="FQ6" s="391"/>
      <c r="FR6" s="391"/>
      <c r="FS6" s="391"/>
      <c r="FT6" s="391"/>
      <c r="FU6" s="391"/>
      <c r="FV6" s="391"/>
      <c r="FW6" s="391"/>
      <c r="FX6" s="391"/>
      <c r="FY6" s="391"/>
      <c r="FZ6" s="391"/>
      <c r="GA6" s="391"/>
      <c r="GB6" s="391"/>
      <c r="GC6" s="391"/>
      <c r="GD6" s="391"/>
      <c r="GE6" s="391"/>
      <c r="GF6" s="391"/>
      <c r="GG6" s="391"/>
      <c r="GH6" s="391"/>
      <c r="GI6" s="391"/>
      <c r="GJ6" s="391"/>
      <c r="GK6" s="391"/>
      <c r="GL6" s="391"/>
      <c r="GM6" s="391"/>
      <c r="GN6" s="391"/>
      <c r="GO6" s="391"/>
      <c r="GP6" s="391"/>
      <c r="GQ6" s="391"/>
      <c r="GR6" s="391"/>
      <c r="GS6" s="391"/>
      <c r="GT6" s="391"/>
      <c r="GU6" s="391"/>
      <c r="GV6" s="391"/>
      <c r="GW6" s="391"/>
      <c r="GX6" s="391"/>
      <c r="GY6" s="391"/>
    </row>
    <row r="7" spans="1:207" s="172" customFormat="1" ht="14">
      <c r="A7" s="397"/>
      <c r="B7" s="132"/>
      <c r="C7" s="132"/>
      <c r="D7" s="401"/>
      <c r="E7" s="401"/>
      <c r="F7" s="401"/>
      <c r="G7" s="401"/>
      <c r="H7" s="173"/>
      <c r="I7" s="133"/>
      <c r="J7" s="134"/>
      <c r="K7" s="135"/>
      <c r="L7" s="135"/>
      <c r="M7" s="135"/>
      <c r="N7" s="135"/>
      <c r="O7" s="136"/>
      <c r="P7" s="137"/>
      <c r="Q7" s="136"/>
      <c r="R7" s="138"/>
      <c r="S7" s="138"/>
      <c r="T7" s="138"/>
      <c r="U7" s="138"/>
      <c r="V7" s="138"/>
      <c r="W7" s="138"/>
      <c r="X7" s="138"/>
      <c r="Y7" s="138"/>
      <c r="Z7" s="139"/>
      <c r="AA7" s="140"/>
      <c r="AB7" s="70"/>
      <c r="AC7" s="70"/>
      <c r="AD7" s="70"/>
      <c r="AE7" s="70"/>
      <c r="AF7" s="70"/>
      <c r="AG7" s="70"/>
      <c r="AH7" s="70"/>
      <c r="AI7" s="70"/>
      <c r="AJ7" s="70"/>
      <c r="AK7" s="70"/>
      <c r="AL7" s="70"/>
      <c r="AM7" s="70"/>
      <c r="AN7" s="70"/>
      <c r="AO7" s="70"/>
      <c r="AP7" s="70"/>
      <c r="AQ7" s="70"/>
      <c r="AR7" s="70"/>
      <c r="AS7" s="70"/>
      <c r="AT7" s="70"/>
      <c r="AU7" s="141"/>
      <c r="AV7" s="141"/>
      <c r="AW7" s="141"/>
      <c r="AX7" s="141"/>
      <c r="AY7" s="141"/>
      <c r="AZ7" s="141"/>
      <c r="BA7" s="141"/>
      <c r="BB7" s="141"/>
      <c r="BC7" s="141"/>
      <c r="BD7" s="141"/>
      <c r="BE7" s="141"/>
      <c r="BF7" s="141"/>
      <c r="BG7" s="141"/>
      <c r="BH7" s="141"/>
      <c r="BI7" s="141"/>
      <c r="BJ7" s="141"/>
      <c r="BK7" s="141"/>
      <c r="BL7" s="141"/>
      <c r="BM7" s="141"/>
      <c r="BN7" s="141"/>
      <c r="BO7" s="142"/>
      <c r="BP7" s="142"/>
      <c r="BQ7" s="142"/>
      <c r="BR7" s="142"/>
      <c r="BS7" s="142"/>
      <c r="BT7" s="142"/>
      <c r="BU7" s="142"/>
      <c r="BV7" s="142"/>
      <c r="BW7" s="142"/>
      <c r="BX7" s="142"/>
      <c r="BY7" s="142"/>
      <c r="BZ7" s="142"/>
      <c r="CA7" s="142"/>
      <c r="CB7" s="142"/>
      <c r="CC7" s="142"/>
      <c r="CD7" s="142"/>
      <c r="CE7" s="142"/>
      <c r="CF7" s="142"/>
      <c r="CG7" s="142"/>
      <c r="CH7" s="142"/>
      <c r="CI7" s="142"/>
      <c r="CJ7" s="142"/>
      <c r="CK7" s="142"/>
      <c r="CL7" s="142"/>
      <c r="CM7" s="142"/>
      <c r="CN7" s="142"/>
      <c r="CO7" s="142"/>
      <c r="CP7" s="142"/>
      <c r="CQ7" s="142"/>
      <c r="CR7" s="142"/>
      <c r="CS7" s="142"/>
      <c r="CT7" s="142"/>
      <c r="CU7" s="142"/>
      <c r="CV7" s="142"/>
      <c r="CW7" s="142"/>
      <c r="CX7" s="142"/>
      <c r="CY7" s="142"/>
      <c r="CZ7" s="142"/>
      <c r="DA7" s="142"/>
      <c r="DB7" s="142"/>
      <c r="DC7" s="142"/>
      <c r="DD7" s="142"/>
      <c r="DE7" s="142"/>
      <c r="DF7" s="142"/>
      <c r="DG7" s="142"/>
      <c r="DH7" s="142"/>
      <c r="DI7" s="142"/>
      <c r="DJ7" s="142"/>
      <c r="DK7" s="142"/>
      <c r="DL7" s="142"/>
      <c r="DM7" s="142"/>
      <c r="DN7" s="142"/>
      <c r="DO7" s="142"/>
      <c r="DP7" s="142"/>
      <c r="DQ7" s="142"/>
      <c r="DR7" s="142"/>
      <c r="DS7" s="142"/>
      <c r="DT7" s="142"/>
      <c r="DU7" s="142"/>
      <c r="DV7" s="142"/>
      <c r="DW7" s="142"/>
      <c r="DX7" s="142"/>
      <c r="DY7" s="142"/>
      <c r="DZ7" s="142"/>
      <c r="EA7" s="142"/>
      <c r="EB7" s="142"/>
      <c r="EC7" s="142"/>
      <c r="ED7" s="142"/>
      <c r="EE7" s="142"/>
      <c r="EF7" s="142"/>
      <c r="EG7" s="142"/>
      <c r="EH7" s="142"/>
      <c r="EI7" s="142"/>
      <c r="EJ7" s="142"/>
      <c r="EK7" s="142"/>
      <c r="EL7" s="142"/>
      <c r="EM7" s="142"/>
      <c r="EN7" s="142"/>
      <c r="EO7" s="142"/>
      <c r="EP7" s="142"/>
      <c r="EQ7" s="142"/>
      <c r="ER7" s="142"/>
      <c r="ES7" s="142"/>
      <c r="ET7" s="142"/>
      <c r="EU7" s="142"/>
      <c r="EV7" s="142"/>
      <c r="EW7" s="142"/>
      <c r="EX7" s="142"/>
      <c r="EY7" s="142"/>
      <c r="EZ7" s="142"/>
      <c r="FA7" s="142"/>
      <c r="FB7" s="142"/>
      <c r="FC7" s="142"/>
      <c r="FD7" s="142"/>
      <c r="FE7" s="142"/>
      <c r="FF7" s="142"/>
      <c r="FG7" s="142"/>
      <c r="FH7" s="142"/>
      <c r="FI7" s="142"/>
      <c r="FJ7" s="142"/>
      <c r="FK7" s="141"/>
      <c r="FL7" s="70"/>
      <c r="FM7" s="70"/>
      <c r="FN7" s="70"/>
      <c r="FO7" s="70"/>
      <c r="FP7" s="141"/>
      <c r="FQ7" s="141"/>
      <c r="FR7" s="141"/>
      <c r="FS7" s="141"/>
      <c r="FT7" s="141"/>
      <c r="FU7" s="141"/>
      <c r="FV7" s="141"/>
      <c r="FW7" s="141"/>
      <c r="FX7" s="141"/>
      <c r="FY7" s="141"/>
      <c r="FZ7" s="141"/>
      <c r="GA7" s="141"/>
      <c r="GB7" s="141"/>
      <c r="GC7" s="141"/>
      <c r="GD7" s="141"/>
      <c r="GE7" s="141"/>
      <c r="GF7" s="141"/>
      <c r="GG7" s="141"/>
      <c r="GH7" s="141"/>
      <c r="GI7" s="141"/>
      <c r="GJ7" s="141"/>
      <c r="GK7" s="141"/>
      <c r="GL7" s="141"/>
      <c r="GM7" s="141"/>
      <c r="GN7" s="141"/>
      <c r="GO7" s="141"/>
      <c r="GP7" s="141"/>
      <c r="GQ7" s="141"/>
      <c r="GR7" s="141"/>
      <c r="GS7" s="141"/>
      <c r="GT7" s="141"/>
      <c r="GU7" s="141"/>
      <c r="GV7" s="141"/>
      <c r="GW7" s="141"/>
      <c r="GX7" s="141"/>
      <c r="GY7" s="141"/>
    </row>
    <row r="8" spans="1:207" s="35" customFormat="1" ht="14">
      <c r="A8" s="398"/>
      <c r="B8" s="64">
        <v>1</v>
      </c>
      <c r="C8" s="65" t="s">
        <v>134</v>
      </c>
      <c r="D8" s="65"/>
      <c r="E8" s="65"/>
      <c r="F8" s="65"/>
      <c r="G8" s="65"/>
      <c r="H8" s="65"/>
      <c r="I8" s="65" t="str">
        <f t="shared" ref="I8:I11" si="222">C8</f>
        <v>Nhà ở xã hội 1</v>
      </c>
      <c r="J8" s="327">
        <v>46388</v>
      </c>
      <c r="K8" s="328">
        <v>429.23495999999994</v>
      </c>
      <c r="L8" s="328">
        <v>2787.24</v>
      </c>
      <c r="M8" s="328">
        <v>21461.747999999996</v>
      </c>
      <c r="N8" s="326">
        <v>22500000</v>
      </c>
      <c r="O8" s="326" cm="1">
        <f t="array" ref="O8">_xlfn.IFS( YEAR(R8)=2027,N8,YEAR(R8)=2028,N8*(1+'1. Tổng hợp'!$C$16),YEAR(R8)=2029,N8*(1+'1. Tổng hợp'!$C$16)^2, YEAR(R8)=2030,N8*(1+'1. Tổng hợp'!$C$16)^3,YEAR(R8)=2031,N8*(1+'1. Tổng hợp'!$C$16)^3)</f>
        <v>22500000</v>
      </c>
      <c r="P8" s="326">
        <f t="shared" ref="P8:P11" si="223">M8*O8</f>
        <v>482889329999.99994</v>
      </c>
      <c r="Q8" s="329">
        <f t="shared" ref="Q8:Q11" si="224">+X8</f>
        <v>47119</v>
      </c>
      <c r="R8" s="327">
        <f>J8</f>
        <v>46388</v>
      </c>
      <c r="S8" s="327">
        <f t="shared" ref="S8:V9" si="225">EDATE(R8,2)</f>
        <v>46447</v>
      </c>
      <c r="T8" s="327">
        <f t="shared" si="225"/>
        <v>46508</v>
      </c>
      <c r="U8" s="327">
        <f t="shared" si="225"/>
        <v>46569</v>
      </c>
      <c r="V8" s="327">
        <f t="shared" si="225"/>
        <v>46631</v>
      </c>
      <c r="W8" s="327">
        <f>EDATE(V8,16)</f>
        <v>47119</v>
      </c>
      <c r="X8" s="327">
        <f t="shared" ref="X8" si="226">W8</f>
        <v>47119</v>
      </c>
      <c r="Y8" s="327">
        <f>EDATE(X8,1)</f>
        <v>47150</v>
      </c>
      <c r="Z8" s="332">
        <f t="shared" ref="Z8:Z11" si="227">+P8-AA8</f>
        <v>0</v>
      </c>
      <c r="AA8" s="330">
        <f t="shared" ref="AA8:AA11" si="228">SUM(AB8:FJ8)</f>
        <v>482889330000</v>
      </c>
      <c r="AB8" s="331">
        <f t="shared" ref="AB8:AK11" si="229">SUMIF($R8:$Y8,AB$4,$R$5:$Y$5)*$P8</f>
        <v>0</v>
      </c>
      <c r="AC8" s="331">
        <f t="shared" si="229"/>
        <v>0</v>
      </c>
      <c r="AD8" s="331">
        <f t="shared" si="229"/>
        <v>0</v>
      </c>
      <c r="AE8" s="331">
        <f t="shared" si="229"/>
        <v>0</v>
      </c>
      <c r="AF8" s="331">
        <f t="shared" si="229"/>
        <v>0</v>
      </c>
      <c r="AG8" s="331">
        <f t="shared" si="229"/>
        <v>0</v>
      </c>
      <c r="AH8" s="331">
        <f t="shared" si="229"/>
        <v>0</v>
      </c>
      <c r="AI8" s="331">
        <f t="shared" si="229"/>
        <v>0</v>
      </c>
      <c r="AJ8" s="331">
        <f t="shared" si="229"/>
        <v>0</v>
      </c>
      <c r="AK8" s="331">
        <f t="shared" si="229"/>
        <v>0</v>
      </c>
      <c r="AL8" s="331">
        <f t="shared" ref="AL8:AU11" si="230">SUMIF($R8:$Y8,AL$4,$R$5:$Y$5)*$P8</f>
        <v>0</v>
      </c>
      <c r="AM8" s="331">
        <f t="shared" si="230"/>
        <v>0</v>
      </c>
      <c r="AN8" s="331">
        <f t="shared" si="230"/>
        <v>0</v>
      </c>
      <c r="AO8" s="331">
        <f t="shared" si="230"/>
        <v>0</v>
      </c>
      <c r="AP8" s="331">
        <f t="shared" si="230"/>
        <v>0</v>
      </c>
      <c r="AQ8" s="331">
        <f t="shared" si="230"/>
        <v>0</v>
      </c>
      <c r="AR8" s="331">
        <f t="shared" si="230"/>
        <v>0</v>
      </c>
      <c r="AS8" s="331">
        <f t="shared" si="230"/>
        <v>0</v>
      </c>
      <c r="AT8" s="331">
        <f t="shared" si="230"/>
        <v>0</v>
      </c>
      <c r="AU8" s="331">
        <f t="shared" si="230"/>
        <v>0</v>
      </c>
      <c r="AV8" s="331">
        <f t="shared" ref="AV8:BE11" si="231">SUMIF($R8:$Y8,AV$4,$R$5:$Y$5)*$P8</f>
        <v>0</v>
      </c>
      <c r="AW8" s="331">
        <f t="shared" si="231"/>
        <v>0</v>
      </c>
      <c r="AX8" s="331">
        <f t="shared" si="231"/>
        <v>0</v>
      </c>
      <c r="AY8" s="331">
        <f t="shared" si="231"/>
        <v>0</v>
      </c>
      <c r="AZ8" s="331">
        <f t="shared" si="231"/>
        <v>0</v>
      </c>
      <c r="BA8" s="331">
        <f t="shared" si="231"/>
        <v>0</v>
      </c>
      <c r="BB8" s="331">
        <f t="shared" si="231"/>
        <v>0</v>
      </c>
      <c r="BC8" s="331">
        <f t="shared" si="231"/>
        <v>0</v>
      </c>
      <c r="BD8" s="331">
        <f t="shared" si="231"/>
        <v>0</v>
      </c>
      <c r="BE8" s="331">
        <f t="shared" si="231"/>
        <v>0</v>
      </c>
      <c r="BF8" s="331">
        <f t="shared" ref="BF8:BO11" si="232">SUMIF($R8:$Y8,BF$4,$R$5:$Y$5)*$P8</f>
        <v>0</v>
      </c>
      <c r="BG8" s="331">
        <f t="shared" si="232"/>
        <v>0</v>
      </c>
      <c r="BH8" s="331">
        <f t="shared" si="232"/>
        <v>0</v>
      </c>
      <c r="BI8" s="331">
        <f t="shared" si="232"/>
        <v>0</v>
      </c>
      <c r="BJ8" s="331">
        <f t="shared" si="232"/>
        <v>0</v>
      </c>
      <c r="BK8" s="331">
        <f t="shared" si="232"/>
        <v>0</v>
      </c>
      <c r="BL8" s="331">
        <f t="shared" si="232"/>
        <v>0</v>
      </c>
      <c r="BM8" s="331">
        <f t="shared" si="232"/>
        <v>0</v>
      </c>
      <c r="BN8" s="331">
        <f t="shared" si="232"/>
        <v>0</v>
      </c>
      <c r="BO8" s="331">
        <f t="shared" si="232"/>
        <v>0</v>
      </c>
      <c r="BP8" s="331">
        <f t="shared" ref="BP8:BY11" si="233">SUMIF($R8:$Y8,BP$4,$R$5:$Y$5)*$P8</f>
        <v>0</v>
      </c>
      <c r="BQ8" s="331">
        <f t="shared" si="233"/>
        <v>0</v>
      </c>
      <c r="BR8" s="331">
        <f t="shared" si="233"/>
        <v>0</v>
      </c>
      <c r="BS8" s="331">
        <f t="shared" si="233"/>
        <v>0</v>
      </c>
      <c r="BT8" s="331">
        <f t="shared" si="233"/>
        <v>0</v>
      </c>
      <c r="BU8" s="331">
        <f t="shared" si="233"/>
        <v>0</v>
      </c>
      <c r="BV8" s="331">
        <f t="shared" si="233"/>
        <v>0</v>
      </c>
      <c r="BW8" s="331">
        <f t="shared" si="233"/>
        <v>0</v>
      </c>
      <c r="BX8" s="331">
        <f t="shared" si="233"/>
        <v>0</v>
      </c>
      <c r="BY8" s="331">
        <f t="shared" si="233"/>
        <v>0</v>
      </c>
      <c r="BZ8" s="331">
        <f t="shared" ref="BZ8:CI11" si="234">SUMIF($R8:$Y8,BZ$4,$R$5:$Y$5)*$P8</f>
        <v>0</v>
      </c>
      <c r="CA8" s="331">
        <f t="shared" si="234"/>
        <v>0</v>
      </c>
      <c r="CB8" s="331">
        <f t="shared" si="234"/>
        <v>0</v>
      </c>
      <c r="CC8" s="331">
        <f t="shared" si="234"/>
        <v>0</v>
      </c>
      <c r="CD8" s="331">
        <f t="shared" si="234"/>
        <v>0</v>
      </c>
      <c r="CE8" s="331">
        <f t="shared" si="234"/>
        <v>144866798999.99997</v>
      </c>
      <c r="CF8" s="331">
        <f t="shared" si="234"/>
        <v>0</v>
      </c>
      <c r="CG8" s="331">
        <f t="shared" si="234"/>
        <v>48288933000</v>
      </c>
      <c r="CH8" s="331">
        <f t="shared" si="234"/>
        <v>0</v>
      </c>
      <c r="CI8" s="331">
        <f t="shared" si="234"/>
        <v>48288933000</v>
      </c>
      <c r="CJ8" s="331">
        <f t="shared" ref="CJ8:CS11" si="235">SUMIF($R8:$Y8,CJ$4,$R$5:$Y$5)*$P8</f>
        <v>0</v>
      </c>
      <c r="CK8" s="331">
        <f t="shared" si="235"/>
        <v>48288933000</v>
      </c>
      <c r="CL8" s="331">
        <f t="shared" si="235"/>
        <v>0</v>
      </c>
      <c r="CM8" s="331">
        <f t="shared" si="235"/>
        <v>48288933000</v>
      </c>
      <c r="CN8" s="331">
        <f t="shared" si="235"/>
        <v>0</v>
      </c>
      <c r="CO8" s="331">
        <f t="shared" si="235"/>
        <v>0</v>
      </c>
      <c r="CP8" s="331">
        <f t="shared" si="235"/>
        <v>0</v>
      </c>
      <c r="CQ8" s="331">
        <f t="shared" si="235"/>
        <v>0</v>
      </c>
      <c r="CR8" s="331">
        <f t="shared" si="235"/>
        <v>0</v>
      </c>
      <c r="CS8" s="331">
        <f t="shared" si="235"/>
        <v>0</v>
      </c>
      <c r="CT8" s="331">
        <f t="shared" ref="CT8:DC11" si="236">SUMIF($R8:$Y8,CT$4,$R$5:$Y$5)*$P8</f>
        <v>0</v>
      </c>
      <c r="CU8" s="331">
        <f t="shared" si="236"/>
        <v>0</v>
      </c>
      <c r="CV8" s="331">
        <f t="shared" si="236"/>
        <v>0</v>
      </c>
      <c r="CW8" s="331">
        <f t="shared" si="236"/>
        <v>0</v>
      </c>
      <c r="CX8" s="331">
        <f t="shared" si="236"/>
        <v>0</v>
      </c>
      <c r="CY8" s="331">
        <f t="shared" si="236"/>
        <v>0</v>
      </c>
      <c r="CZ8" s="331">
        <f t="shared" si="236"/>
        <v>0</v>
      </c>
      <c r="DA8" s="331">
        <f t="shared" si="236"/>
        <v>0</v>
      </c>
      <c r="DB8" s="331">
        <f t="shared" si="236"/>
        <v>0</v>
      </c>
      <c r="DC8" s="331">
        <f t="shared" si="236"/>
        <v>120722332499.99998</v>
      </c>
      <c r="DD8" s="331">
        <f t="shared" ref="DD8:DM11" si="237">SUMIF($R8:$Y8,DD$4,$R$5:$Y$5)*$P8</f>
        <v>24144466500</v>
      </c>
      <c r="DE8" s="331">
        <f t="shared" si="237"/>
        <v>0</v>
      </c>
      <c r="DF8" s="331">
        <f t="shared" si="237"/>
        <v>0</v>
      </c>
      <c r="DG8" s="331">
        <f t="shared" si="237"/>
        <v>0</v>
      </c>
      <c r="DH8" s="331">
        <f t="shared" si="237"/>
        <v>0</v>
      </c>
      <c r="DI8" s="331">
        <f t="shared" si="237"/>
        <v>0</v>
      </c>
      <c r="DJ8" s="331">
        <f t="shared" si="237"/>
        <v>0</v>
      </c>
      <c r="DK8" s="331">
        <f t="shared" si="237"/>
        <v>0</v>
      </c>
      <c r="DL8" s="331">
        <f t="shared" si="237"/>
        <v>0</v>
      </c>
      <c r="DM8" s="331">
        <f t="shared" si="237"/>
        <v>0</v>
      </c>
      <c r="DN8" s="331">
        <f t="shared" ref="DN8:DW11" si="238">SUMIF($R8:$Y8,DN$4,$R$5:$Y$5)*$P8</f>
        <v>0</v>
      </c>
      <c r="DO8" s="331">
        <f t="shared" si="238"/>
        <v>0</v>
      </c>
      <c r="DP8" s="331">
        <f t="shared" si="238"/>
        <v>0</v>
      </c>
      <c r="DQ8" s="331">
        <f t="shared" si="238"/>
        <v>0</v>
      </c>
      <c r="DR8" s="331">
        <f t="shared" si="238"/>
        <v>0</v>
      </c>
      <c r="DS8" s="331">
        <f t="shared" si="238"/>
        <v>0</v>
      </c>
      <c r="DT8" s="331">
        <f t="shared" si="238"/>
        <v>0</v>
      </c>
      <c r="DU8" s="331">
        <f t="shared" si="238"/>
        <v>0</v>
      </c>
      <c r="DV8" s="331">
        <f t="shared" si="238"/>
        <v>0</v>
      </c>
      <c r="DW8" s="331">
        <f t="shared" si="238"/>
        <v>0</v>
      </c>
      <c r="DX8" s="331">
        <f t="shared" ref="DX8:EG11" si="239">SUMIF($R8:$Y8,DX$4,$R$5:$Y$5)*$P8</f>
        <v>0</v>
      </c>
      <c r="DY8" s="331">
        <f t="shared" si="239"/>
        <v>0</v>
      </c>
      <c r="DZ8" s="331">
        <f t="shared" si="239"/>
        <v>0</v>
      </c>
      <c r="EA8" s="331">
        <f t="shared" si="239"/>
        <v>0</v>
      </c>
      <c r="EB8" s="331">
        <f t="shared" si="239"/>
        <v>0</v>
      </c>
      <c r="EC8" s="331">
        <f t="shared" si="239"/>
        <v>0</v>
      </c>
      <c r="ED8" s="331">
        <f t="shared" si="239"/>
        <v>0</v>
      </c>
      <c r="EE8" s="331">
        <f t="shared" si="239"/>
        <v>0</v>
      </c>
      <c r="EF8" s="331">
        <f t="shared" si="239"/>
        <v>0</v>
      </c>
      <c r="EG8" s="331">
        <f t="shared" si="239"/>
        <v>0</v>
      </c>
      <c r="EH8" s="331">
        <f t="shared" ref="EH8:EQ11" si="240">SUMIF($R8:$Y8,EH$4,$R$5:$Y$5)*$P8</f>
        <v>0</v>
      </c>
      <c r="EI8" s="331">
        <f t="shared" si="240"/>
        <v>0</v>
      </c>
      <c r="EJ8" s="331">
        <f t="shared" si="240"/>
        <v>0</v>
      </c>
      <c r="EK8" s="331">
        <f t="shared" si="240"/>
        <v>0</v>
      </c>
      <c r="EL8" s="331">
        <f t="shared" si="240"/>
        <v>0</v>
      </c>
      <c r="EM8" s="331">
        <f t="shared" si="240"/>
        <v>0</v>
      </c>
      <c r="EN8" s="331">
        <f t="shared" si="240"/>
        <v>0</v>
      </c>
      <c r="EO8" s="331">
        <f t="shared" si="240"/>
        <v>0</v>
      </c>
      <c r="EP8" s="331">
        <f t="shared" si="240"/>
        <v>0</v>
      </c>
      <c r="EQ8" s="331">
        <f t="shared" si="240"/>
        <v>0</v>
      </c>
      <c r="ER8" s="331">
        <f t="shared" ref="ER8:FA11" si="241">SUMIF($R8:$Y8,ER$4,$R$5:$Y$5)*$P8</f>
        <v>0</v>
      </c>
      <c r="ES8" s="331">
        <f t="shared" si="241"/>
        <v>0</v>
      </c>
      <c r="ET8" s="331">
        <f t="shared" si="241"/>
        <v>0</v>
      </c>
      <c r="EU8" s="331">
        <f t="shared" si="241"/>
        <v>0</v>
      </c>
      <c r="EV8" s="331">
        <f t="shared" si="241"/>
        <v>0</v>
      </c>
      <c r="EW8" s="331">
        <f t="shared" si="241"/>
        <v>0</v>
      </c>
      <c r="EX8" s="331">
        <f t="shared" si="241"/>
        <v>0</v>
      </c>
      <c r="EY8" s="331">
        <f t="shared" si="241"/>
        <v>0</v>
      </c>
      <c r="EZ8" s="331">
        <f t="shared" si="241"/>
        <v>0</v>
      </c>
      <c r="FA8" s="331">
        <f t="shared" si="241"/>
        <v>0</v>
      </c>
      <c r="FB8" s="331">
        <f t="shared" ref="FB8:FJ11" si="242">SUMIF($R8:$Y8,FB$4,$R$5:$Y$5)*$P8</f>
        <v>0</v>
      </c>
      <c r="FC8" s="331">
        <f t="shared" si="242"/>
        <v>0</v>
      </c>
      <c r="FD8" s="331">
        <f t="shared" si="242"/>
        <v>0</v>
      </c>
      <c r="FE8" s="331">
        <f t="shared" si="242"/>
        <v>0</v>
      </c>
      <c r="FF8" s="331">
        <f t="shared" si="242"/>
        <v>0</v>
      </c>
      <c r="FG8" s="331">
        <f t="shared" si="242"/>
        <v>0</v>
      </c>
      <c r="FH8" s="331">
        <f t="shared" si="242"/>
        <v>0</v>
      </c>
      <c r="FI8" s="331">
        <f t="shared" si="242"/>
        <v>0</v>
      </c>
      <c r="FJ8" s="331">
        <f t="shared" si="242"/>
        <v>0</v>
      </c>
      <c r="FK8" s="331"/>
      <c r="FL8" s="331">
        <f t="shared" ref="FL8:FU11" si="243">SUMIFS($AB8:$FF8,$AB$2:$FF$2,FL$4)</f>
        <v>0</v>
      </c>
      <c r="FM8" s="331">
        <f t="shared" si="243"/>
        <v>0</v>
      </c>
      <c r="FN8" s="331">
        <f t="shared" si="243"/>
        <v>0</v>
      </c>
      <c r="FO8" s="331">
        <f t="shared" si="243"/>
        <v>0</v>
      </c>
      <c r="FP8" s="331">
        <f t="shared" si="243"/>
        <v>0</v>
      </c>
      <c r="FQ8" s="331">
        <f t="shared" si="243"/>
        <v>0</v>
      </c>
      <c r="FR8" s="331">
        <f t="shared" si="243"/>
        <v>0</v>
      </c>
      <c r="FS8" s="331">
        <f t="shared" si="243"/>
        <v>0</v>
      </c>
      <c r="FT8" s="331">
        <f t="shared" si="243"/>
        <v>0</v>
      </c>
      <c r="FU8" s="331">
        <f t="shared" si="243"/>
        <v>0</v>
      </c>
      <c r="FV8" s="331">
        <f t="shared" ref="FV8:GE11" si="244">SUMIFS($AB8:$FF8,$AB$2:$FF$2,FV$4)</f>
        <v>0</v>
      </c>
      <c r="FW8" s="331">
        <f t="shared" si="244"/>
        <v>0</v>
      </c>
      <c r="FX8" s="331">
        <f t="shared" si="244"/>
        <v>193155731999.99997</v>
      </c>
      <c r="FY8" s="331">
        <f t="shared" si="244"/>
        <v>48288933000</v>
      </c>
      <c r="FZ8" s="331">
        <f t="shared" si="244"/>
        <v>96577866000</v>
      </c>
      <c r="GA8" s="331">
        <f t="shared" si="244"/>
        <v>0</v>
      </c>
      <c r="GB8" s="331">
        <f t="shared" si="244"/>
        <v>0</v>
      </c>
      <c r="GC8" s="331">
        <f t="shared" si="244"/>
        <v>0</v>
      </c>
      <c r="GD8" s="331">
        <f t="shared" si="244"/>
        <v>0</v>
      </c>
      <c r="GE8" s="331">
        <f t="shared" si="244"/>
        <v>0</v>
      </c>
      <c r="GF8" s="331">
        <f t="shared" ref="GF8:GO11" si="245">SUMIFS($AB8:$FF8,$AB$2:$FF$2,GF$4)</f>
        <v>144866799000</v>
      </c>
      <c r="GG8" s="331">
        <f t="shared" si="245"/>
        <v>0</v>
      </c>
      <c r="GH8" s="331">
        <f t="shared" si="245"/>
        <v>0</v>
      </c>
      <c r="GI8" s="331">
        <f t="shared" si="245"/>
        <v>0</v>
      </c>
      <c r="GJ8" s="331">
        <f t="shared" si="245"/>
        <v>0</v>
      </c>
      <c r="GK8" s="331">
        <f t="shared" si="245"/>
        <v>0</v>
      </c>
      <c r="GL8" s="331">
        <f t="shared" si="245"/>
        <v>0</v>
      </c>
      <c r="GM8" s="331">
        <f t="shared" si="245"/>
        <v>0</v>
      </c>
      <c r="GN8" s="331">
        <f t="shared" si="245"/>
        <v>0</v>
      </c>
      <c r="GO8" s="331">
        <f t="shared" si="245"/>
        <v>0</v>
      </c>
      <c r="GP8" s="331">
        <f t="shared" ref="GP8:GY11" si="246">SUMIFS($AB8:$FF8,$AB$2:$FF$2,GP$4)</f>
        <v>0</v>
      </c>
      <c r="GQ8" s="331">
        <f t="shared" si="246"/>
        <v>0</v>
      </c>
      <c r="GR8" s="331">
        <f t="shared" si="246"/>
        <v>0</v>
      </c>
      <c r="GS8" s="331">
        <f t="shared" si="246"/>
        <v>0</v>
      </c>
      <c r="GT8" s="331">
        <f t="shared" si="246"/>
        <v>0</v>
      </c>
      <c r="GU8" s="331">
        <f t="shared" si="246"/>
        <v>0</v>
      </c>
      <c r="GV8" s="331">
        <f t="shared" si="246"/>
        <v>0</v>
      </c>
      <c r="GW8" s="331">
        <f t="shared" si="246"/>
        <v>0</v>
      </c>
      <c r="GX8" s="331">
        <f t="shared" si="246"/>
        <v>0</v>
      </c>
      <c r="GY8" s="331">
        <f t="shared" si="246"/>
        <v>0</v>
      </c>
    </row>
    <row r="9" spans="1:207" s="35" customFormat="1" ht="14">
      <c r="A9" s="398"/>
      <c r="B9" s="64">
        <v>2</v>
      </c>
      <c r="C9" s="65" t="s">
        <v>135</v>
      </c>
      <c r="D9" s="65"/>
      <c r="E9" s="65"/>
      <c r="F9" s="65"/>
      <c r="G9" s="65"/>
      <c r="H9" s="65"/>
      <c r="I9" s="65" t="str">
        <f t="shared" si="222"/>
        <v>Nhà ở xã hội 2</v>
      </c>
      <c r="J9" s="327">
        <v>46753</v>
      </c>
      <c r="K9" s="328">
        <v>349.12415999999996</v>
      </c>
      <c r="L9" s="328">
        <v>2267.04</v>
      </c>
      <c r="M9" s="328">
        <v>17456.207999999999</v>
      </c>
      <c r="N9" s="326">
        <v>22500000</v>
      </c>
      <c r="O9" s="326" cm="1">
        <f t="array" ref="O9">_xlfn.IFS( YEAR(R9)=2027,N9,YEAR(R9)=2028,N9*(1+'1. Tổng hợp'!$C$16),YEAR(R9)=2029,N9*(1+'1. Tổng hợp'!$C$16)^2, YEAR(R9)=2030,N9*(1+'1. Tổng hợp'!$C$16)^3,YEAR(R9)=2031,N9*(1+'1. Tổng hợp'!$C$16)^3)</f>
        <v>22500000</v>
      </c>
      <c r="P9" s="326">
        <f t="shared" si="223"/>
        <v>392764680000</v>
      </c>
      <c r="Q9" s="329">
        <f t="shared" ref="Q9:Q10" si="247">+X9</f>
        <v>47484</v>
      </c>
      <c r="R9" s="327">
        <f>J9</f>
        <v>46753</v>
      </c>
      <c r="S9" s="327">
        <f t="shared" si="225"/>
        <v>46813</v>
      </c>
      <c r="T9" s="327">
        <f t="shared" si="225"/>
        <v>46874</v>
      </c>
      <c r="U9" s="327">
        <f t="shared" si="225"/>
        <v>46935</v>
      </c>
      <c r="V9" s="327">
        <f t="shared" si="225"/>
        <v>46997</v>
      </c>
      <c r="W9" s="327">
        <f>EDATE(V9,16)</f>
        <v>47484</v>
      </c>
      <c r="X9" s="327">
        <f t="shared" ref="X9:X11" si="248">W9</f>
        <v>47484</v>
      </c>
      <c r="Y9" s="327">
        <f>EDATE(X9,1)</f>
        <v>47515</v>
      </c>
      <c r="Z9" s="332">
        <f t="shared" ref="Z9:Z10" si="249">+P9-AA9</f>
        <v>0</v>
      </c>
      <c r="AA9" s="330">
        <f t="shared" si="228"/>
        <v>392764680000</v>
      </c>
      <c r="AB9" s="331">
        <f t="shared" si="229"/>
        <v>0</v>
      </c>
      <c r="AC9" s="331">
        <f t="shared" si="229"/>
        <v>0</v>
      </c>
      <c r="AD9" s="331">
        <f t="shared" si="229"/>
        <v>0</v>
      </c>
      <c r="AE9" s="331">
        <f t="shared" si="229"/>
        <v>0</v>
      </c>
      <c r="AF9" s="331">
        <f t="shared" si="229"/>
        <v>0</v>
      </c>
      <c r="AG9" s="331">
        <f t="shared" si="229"/>
        <v>0</v>
      </c>
      <c r="AH9" s="331">
        <f t="shared" si="229"/>
        <v>0</v>
      </c>
      <c r="AI9" s="331">
        <f t="shared" si="229"/>
        <v>0</v>
      </c>
      <c r="AJ9" s="331">
        <f t="shared" si="229"/>
        <v>0</v>
      </c>
      <c r="AK9" s="331">
        <f t="shared" si="229"/>
        <v>0</v>
      </c>
      <c r="AL9" s="331">
        <f t="shared" si="230"/>
        <v>0</v>
      </c>
      <c r="AM9" s="331">
        <f t="shared" si="230"/>
        <v>0</v>
      </c>
      <c r="AN9" s="331">
        <f t="shared" si="230"/>
        <v>0</v>
      </c>
      <c r="AO9" s="331">
        <f t="shared" si="230"/>
        <v>0</v>
      </c>
      <c r="AP9" s="331">
        <f t="shared" si="230"/>
        <v>0</v>
      </c>
      <c r="AQ9" s="331">
        <f t="shared" si="230"/>
        <v>0</v>
      </c>
      <c r="AR9" s="331">
        <f t="shared" si="230"/>
        <v>0</v>
      </c>
      <c r="AS9" s="331">
        <f t="shared" si="230"/>
        <v>0</v>
      </c>
      <c r="AT9" s="331">
        <f t="shared" si="230"/>
        <v>0</v>
      </c>
      <c r="AU9" s="331">
        <f t="shared" si="230"/>
        <v>0</v>
      </c>
      <c r="AV9" s="331">
        <f t="shared" si="231"/>
        <v>0</v>
      </c>
      <c r="AW9" s="331">
        <f t="shared" si="231"/>
        <v>0</v>
      </c>
      <c r="AX9" s="331">
        <f t="shared" si="231"/>
        <v>0</v>
      </c>
      <c r="AY9" s="331">
        <f t="shared" si="231"/>
        <v>0</v>
      </c>
      <c r="AZ9" s="331">
        <f t="shared" si="231"/>
        <v>0</v>
      </c>
      <c r="BA9" s="331">
        <f t="shared" si="231"/>
        <v>0</v>
      </c>
      <c r="BB9" s="331">
        <f t="shared" si="231"/>
        <v>0</v>
      </c>
      <c r="BC9" s="331">
        <f t="shared" si="231"/>
        <v>0</v>
      </c>
      <c r="BD9" s="331">
        <f t="shared" si="231"/>
        <v>0</v>
      </c>
      <c r="BE9" s="331">
        <f t="shared" si="231"/>
        <v>0</v>
      </c>
      <c r="BF9" s="331">
        <f t="shared" si="232"/>
        <v>0</v>
      </c>
      <c r="BG9" s="331">
        <f t="shared" si="232"/>
        <v>0</v>
      </c>
      <c r="BH9" s="331">
        <f t="shared" si="232"/>
        <v>0</v>
      </c>
      <c r="BI9" s="331">
        <f t="shared" si="232"/>
        <v>0</v>
      </c>
      <c r="BJ9" s="331">
        <f t="shared" si="232"/>
        <v>0</v>
      </c>
      <c r="BK9" s="331">
        <f t="shared" si="232"/>
        <v>0</v>
      </c>
      <c r="BL9" s="331">
        <f t="shared" si="232"/>
        <v>0</v>
      </c>
      <c r="BM9" s="331">
        <f t="shared" si="232"/>
        <v>0</v>
      </c>
      <c r="BN9" s="331">
        <f t="shared" si="232"/>
        <v>0</v>
      </c>
      <c r="BO9" s="331">
        <f t="shared" si="232"/>
        <v>0</v>
      </c>
      <c r="BP9" s="331">
        <f t="shared" si="233"/>
        <v>0</v>
      </c>
      <c r="BQ9" s="331">
        <f t="shared" si="233"/>
        <v>0</v>
      </c>
      <c r="BR9" s="331">
        <f t="shared" si="233"/>
        <v>0</v>
      </c>
      <c r="BS9" s="331">
        <f t="shared" si="233"/>
        <v>0</v>
      </c>
      <c r="BT9" s="331">
        <f t="shared" si="233"/>
        <v>0</v>
      </c>
      <c r="BU9" s="331">
        <f t="shared" si="233"/>
        <v>0</v>
      </c>
      <c r="BV9" s="331">
        <f t="shared" si="233"/>
        <v>0</v>
      </c>
      <c r="BW9" s="331">
        <f t="shared" si="233"/>
        <v>0</v>
      </c>
      <c r="BX9" s="331">
        <f t="shared" si="233"/>
        <v>0</v>
      </c>
      <c r="BY9" s="331">
        <f t="shared" si="233"/>
        <v>0</v>
      </c>
      <c r="BZ9" s="331">
        <f t="shared" si="234"/>
        <v>0</v>
      </c>
      <c r="CA9" s="331">
        <f t="shared" si="234"/>
        <v>0</v>
      </c>
      <c r="CB9" s="331">
        <f t="shared" si="234"/>
        <v>0</v>
      </c>
      <c r="CC9" s="331">
        <f t="shared" si="234"/>
        <v>0</v>
      </c>
      <c r="CD9" s="331">
        <f t="shared" si="234"/>
        <v>0</v>
      </c>
      <c r="CE9" s="331">
        <f t="shared" si="234"/>
        <v>0</v>
      </c>
      <c r="CF9" s="331">
        <f t="shared" si="234"/>
        <v>0</v>
      </c>
      <c r="CG9" s="331">
        <f t="shared" si="234"/>
        <v>0</v>
      </c>
      <c r="CH9" s="331">
        <f t="shared" si="234"/>
        <v>0</v>
      </c>
      <c r="CI9" s="331">
        <f t="shared" si="234"/>
        <v>0</v>
      </c>
      <c r="CJ9" s="331">
        <f t="shared" si="235"/>
        <v>0</v>
      </c>
      <c r="CK9" s="331">
        <f t="shared" si="235"/>
        <v>0</v>
      </c>
      <c r="CL9" s="331">
        <f t="shared" si="235"/>
        <v>0</v>
      </c>
      <c r="CM9" s="331">
        <f t="shared" si="235"/>
        <v>0</v>
      </c>
      <c r="CN9" s="331">
        <f t="shared" si="235"/>
        <v>0</v>
      </c>
      <c r="CO9" s="331">
        <f t="shared" si="235"/>
        <v>0</v>
      </c>
      <c r="CP9" s="331">
        <f t="shared" si="235"/>
        <v>0</v>
      </c>
      <c r="CQ9" s="331">
        <f t="shared" si="235"/>
        <v>117829404000</v>
      </c>
      <c r="CR9" s="331">
        <f t="shared" si="235"/>
        <v>0</v>
      </c>
      <c r="CS9" s="331">
        <f t="shared" si="235"/>
        <v>39276468000</v>
      </c>
      <c r="CT9" s="331">
        <f t="shared" si="236"/>
        <v>0</v>
      </c>
      <c r="CU9" s="331">
        <f t="shared" si="236"/>
        <v>39276468000</v>
      </c>
      <c r="CV9" s="331">
        <f t="shared" si="236"/>
        <v>0</v>
      </c>
      <c r="CW9" s="331">
        <f t="shared" si="236"/>
        <v>39276468000</v>
      </c>
      <c r="CX9" s="331">
        <f t="shared" si="236"/>
        <v>0</v>
      </c>
      <c r="CY9" s="331">
        <f t="shared" si="236"/>
        <v>39276468000</v>
      </c>
      <c r="CZ9" s="331">
        <f t="shared" si="236"/>
        <v>0</v>
      </c>
      <c r="DA9" s="331">
        <f t="shared" si="236"/>
        <v>0</v>
      </c>
      <c r="DB9" s="331">
        <f t="shared" si="236"/>
        <v>0</v>
      </c>
      <c r="DC9" s="331">
        <f t="shared" si="236"/>
        <v>0</v>
      </c>
      <c r="DD9" s="331">
        <f t="shared" si="237"/>
        <v>0</v>
      </c>
      <c r="DE9" s="331">
        <f t="shared" si="237"/>
        <v>0</v>
      </c>
      <c r="DF9" s="331">
        <f t="shared" si="237"/>
        <v>0</v>
      </c>
      <c r="DG9" s="331">
        <f t="shared" si="237"/>
        <v>0</v>
      </c>
      <c r="DH9" s="331">
        <f t="shared" si="237"/>
        <v>0</v>
      </c>
      <c r="DI9" s="331">
        <f t="shared" si="237"/>
        <v>0</v>
      </c>
      <c r="DJ9" s="331">
        <f t="shared" si="237"/>
        <v>0</v>
      </c>
      <c r="DK9" s="331">
        <f t="shared" si="237"/>
        <v>0</v>
      </c>
      <c r="DL9" s="331">
        <f t="shared" si="237"/>
        <v>0</v>
      </c>
      <c r="DM9" s="331">
        <f t="shared" si="237"/>
        <v>0</v>
      </c>
      <c r="DN9" s="331">
        <f t="shared" si="238"/>
        <v>0</v>
      </c>
      <c r="DO9" s="331">
        <f t="shared" si="238"/>
        <v>98191170000</v>
      </c>
      <c r="DP9" s="331">
        <f t="shared" si="238"/>
        <v>19638234000</v>
      </c>
      <c r="DQ9" s="331">
        <f t="shared" si="238"/>
        <v>0</v>
      </c>
      <c r="DR9" s="331">
        <f t="shared" si="238"/>
        <v>0</v>
      </c>
      <c r="DS9" s="331">
        <f t="shared" si="238"/>
        <v>0</v>
      </c>
      <c r="DT9" s="331">
        <f t="shared" si="238"/>
        <v>0</v>
      </c>
      <c r="DU9" s="331">
        <f t="shared" si="238"/>
        <v>0</v>
      </c>
      <c r="DV9" s="331">
        <f t="shared" si="238"/>
        <v>0</v>
      </c>
      <c r="DW9" s="331">
        <f t="shared" si="238"/>
        <v>0</v>
      </c>
      <c r="DX9" s="331">
        <f t="shared" si="239"/>
        <v>0</v>
      </c>
      <c r="DY9" s="331">
        <f t="shared" si="239"/>
        <v>0</v>
      </c>
      <c r="DZ9" s="331">
        <f t="shared" si="239"/>
        <v>0</v>
      </c>
      <c r="EA9" s="331">
        <f t="shared" si="239"/>
        <v>0</v>
      </c>
      <c r="EB9" s="331">
        <f t="shared" si="239"/>
        <v>0</v>
      </c>
      <c r="EC9" s="331">
        <f t="shared" si="239"/>
        <v>0</v>
      </c>
      <c r="ED9" s="331">
        <f t="shared" si="239"/>
        <v>0</v>
      </c>
      <c r="EE9" s="331">
        <f t="shared" si="239"/>
        <v>0</v>
      </c>
      <c r="EF9" s="331">
        <f t="shared" si="239"/>
        <v>0</v>
      </c>
      <c r="EG9" s="331">
        <f t="shared" si="239"/>
        <v>0</v>
      </c>
      <c r="EH9" s="331">
        <f t="shared" si="240"/>
        <v>0</v>
      </c>
      <c r="EI9" s="331">
        <f t="shared" si="240"/>
        <v>0</v>
      </c>
      <c r="EJ9" s="331">
        <f t="shared" si="240"/>
        <v>0</v>
      </c>
      <c r="EK9" s="331">
        <f t="shared" si="240"/>
        <v>0</v>
      </c>
      <c r="EL9" s="331">
        <f t="shared" si="240"/>
        <v>0</v>
      </c>
      <c r="EM9" s="331">
        <f t="shared" si="240"/>
        <v>0</v>
      </c>
      <c r="EN9" s="331">
        <f t="shared" si="240"/>
        <v>0</v>
      </c>
      <c r="EO9" s="331">
        <f t="shared" si="240"/>
        <v>0</v>
      </c>
      <c r="EP9" s="331">
        <f t="shared" si="240"/>
        <v>0</v>
      </c>
      <c r="EQ9" s="331">
        <f t="shared" si="240"/>
        <v>0</v>
      </c>
      <c r="ER9" s="331">
        <f t="shared" si="241"/>
        <v>0</v>
      </c>
      <c r="ES9" s="331">
        <f t="shared" si="241"/>
        <v>0</v>
      </c>
      <c r="ET9" s="331">
        <f t="shared" si="241"/>
        <v>0</v>
      </c>
      <c r="EU9" s="331">
        <f t="shared" si="241"/>
        <v>0</v>
      </c>
      <c r="EV9" s="331">
        <f t="shared" si="241"/>
        <v>0</v>
      </c>
      <c r="EW9" s="331">
        <f t="shared" si="241"/>
        <v>0</v>
      </c>
      <c r="EX9" s="331">
        <f t="shared" si="241"/>
        <v>0</v>
      </c>
      <c r="EY9" s="331">
        <f t="shared" si="241"/>
        <v>0</v>
      </c>
      <c r="EZ9" s="331">
        <f t="shared" si="241"/>
        <v>0</v>
      </c>
      <c r="FA9" s="331">
        <f t="shared" si="241"/>
        <v>0</v>
      </c>
      <c r="FB9" s="331">
        <f t="shared" si="242"/>
        <v>0</v>
      </c>
      <c r="FC9" s="331">
        <f t="shared" si="242"/>
        <v>0</v>
      </c>
      <c r="FD9" s="331">
        <f t="shared" si="242"/>
        <v>0</v>
      </c>
      <c r="FE9" s="331">
        <f t="shared" si="242"/>
        <v>0</v>
      </c>
      <c r="FF9" s="331">
        <f t="shared" si="242"/>
        <v>0</v>
      </c>
      <c r="FG9" s="331">
        <f t="shared" si="242"/>
        <v>0</v>
      </c>
      <c r="FH9" s="331">
        <f t="shared" si="242"/>
        <v>0</v>
      </c>
      <c r="FI9" s="331">
        <f t="shared" si="242"/>
        <v>0</v>
      </c>
      <c r="FJ9" s="331">
        <f t="shared" si="242"/>
        <v>0</v>
      </c>
      <c r="FK9" s="331"/>
      <c r="FL9" s="331">
        <f t="shared" si="243"/>
        <v>0</v>
      </c>
      <c r="FM9" s="331">
        <f t="shared" si="243"/>
        <v>0</v>
      </c>
      <c r="FN9" s="331">
        <f t="shared" si="243"/>
        <v>0</v>
      </c>
      <c r="FO9" s="331">
        <f t="shared" si="243"/>
        <v>0</v>
      </c>
      <c r="FP9" s="331">
        <f t="shared" si="243"/>
        <v>0</v>
      </c>
      <c r="FQ9" s="331">
        <f t="shared" si="243"/>
        <v>0</v>
      </c>
      <c r="FR9" s="331">
        <f t="shared" si="243"/>
        <v>0</v>
      </c>
      <c r="FS9" s="331">
        <f t="shared" si="243"/>
        <v>0</v>
      </c>
      <c r="FT9" s="331">
        <f t="shared" si="243"/>
        <v>0</v>
      </c>
      <c r="FU9" s="331">
        <f t="shared" si="243"/>
        <v>0</v>
      </c>
      <c r="FV9" s="331">
        <f t="shared" si="244"/>
        <v>0</v>
      </c>
      <c r="FW9" s="331">
        <f t="shared" si="244"/>
        <v>0</v>
      </c>
      <c r="FX9" s="331">
        <f t="shared" si="244"/>
        <v>0</v>
      </c>
      <c r="FY9" s="331">
        <f t="shared" si="244"/>
        <v>0</v>
      </c>
      <c r="FZ9" s="331">
        <f t="shared" si="244"/>
        <v>0</v>
      </c>
      <c r="GA9" s="331">
        <f t="shared" si="244"/>
        <v>0</v>
      </c>
      <c r="GB9" s="331">
        <f t="shared" si="244"/>
        <v>157105872000</v>
      </c>
      <c r="GC9" s="331">
        <f t="shared" si="244"/>
        <v>39276468000</v>
      </c>
      <c r="GD9" s="331">
        <f t="shared" si="244"/>
        <v>78552936000</v>
      </c>
      <c r="GE9" s="331">
        <f t="shared" si="244"/>
        <v>0</v>
      </c>
      <c r="GF9" s="331">
        <f t="shared" si="245"/>
        <v>0</v>
      </c>
      <c r="GG9" s="331">
        <f t="shared" si="245"/>
        <v>0</v>
      </c>
      <c r="GH9" s="331">
        <f t="shared" si="245"/>
        <v>0</v>
      </c>
      <c r="GI9" s="331">
        <f t="shared" si="245"/>
        <v>0</v>
      </c>
      <c r="GJ9" s="331">
        <f t="shared" si="245"/>
        <v>117829404000</v>
      </c>
      <c r="GK9" s="331">
        <f t="shared" si="245"/>
        <v>0</v>
      </c>
      <c r="GL9" s="331">
        <f t="shared" si="245"/>
        <v>0</v>
      </c>
      <c r="GM9" s="331">
        <f t="shared" si="245"/>
        <v>0</v>
      </c>
      <c r="GN9" s="331">
        <f t="shared" si="245"/>
        <v>0</v>
      </c>
      <c r="GO9" s="331">
        <f t="shared" si="245"/>
        <v>0</v>
      </c>
      <c r="GP9" s="331">
        <f t="shared" si="246"/>
        <v>0</v>
      </c>
      <c r="GQ9" s="331">
        <f t="shared" si="246"/>
        <v>0</v>
      </c>
      <c r="GR9" s="331">
        <f t="shared" si="246"/>
        <v>0</v>
      </c>
      <c r="GS9" s="331">
        <f t="shared" si="246"/>
        <v>0</v>
      </c>
      <c r="GT9" s="331">
        <f t="shared" si="246"/>
        <v>0</v>
      </c>
      <c r="GU9" s="331">
        <f t="shared" si="246"/>
        <v>0</v>
      </c>
      <c r="GV9" s="331">
        <f t="shared" si="246"/>
        <v>0</v>
      </c>
      <c r="GW9" s="331">
        <f t="shared" si="246"/>
        <v>0</v>
      </c>
      <c r="GX9" s="331">
        <f t="shared" si="246"/>
        <v>0</v>
      </c>
      <c r="GY9" s="331">
        <f t="shared" si="246"/>
        <v>0</v>
      </c>
    </row>
    <row r="10" spans="1:207" s="35" customFormat="1" ht="14">
      <c r="A10" s="398"/>
      <c r="B10" s="64">
        <v>3</v>
      </c>
      <c r="C10" s="65" t="s">
        <v>136</v>
      </c>
      <c r="D10" s="65"/>
      <c r="E10" s="65"/>
      <c r="F10" s="65"/>
      <c r="G10" s="65"/>
      <c r="H10" s="65"/>
      <c r="I10" s="65" t="str">
        <f t="shared" ref="I10" si="250">C10</f>
        <v>Nhà ở xã hội 3</v>
      </c>
      <c r="J10" s="327">
        <v>47119</v>
      </c>
      <c r="K10" s="328">
        <v>289.28591999999998</v>
      </c>
      <c r="L10" s="328">
        <v>1878.48</v>
      </c>
      <c r="M10" s="328">
        <v>14464.295999999998</v>
      </c>
      <c r="N10" s="326">
        <v>22500000</v>
      </c>
      <c r="O10" s="326" cm="1">
        <f t="array" ref="O10">_xlfn.IFS( YEAR(R10)=2027,N10,YEAR(R10)=2028,N10*(1+'1. Tổng hợp'!$C$16),YEAR(R10)=2029,N10*(1+'1. Tổng hợp'!$C$16)^2, YEAR(R10)=2030,N10*(1+'1. Tổng hợp'!$C$16)^3,YEAR(R10)=2031,N10*(1+'1. Tổng hợp'!$C$16)^3)</f>
        <v>22500000</v>
      </c>
      <c r="P10" s="326">
        <f t="shared" ref="P10" si="251">M10*O10</f>
        <v>325446659999.99994</v>
      </c>
      <c r="Q10" s="329">
        <f t="shared" si="247"/>
        <v>47849</v>
      </c>
      <c r="R10" s="327">
        <f>J10</f>
        <v>47119</v>
      </c>
      <c r="S10" s="327">
        <f t="shared" ref="S10" si="252">EDATE(R10,2)</f>
        <v>47178</v>
      </c>
      <c r="T10" s="327">
        <f t="shared" ref="T10" si="253">EDATE(S10,2)</f>
        <v>47239</v>
      </c>
      <c r="U10" s="327">
        <f t="shared" ref="U10" si="254">EDATE(T10,2)</f>
        <v>47300</v>
      </c>
      <c r="V10" s="327">
        <f t="shared" ref="V10" si="255">EDATE(U10,2)</f>
        <v>47362</v>
      </c>
      <c r="W10" s="327">
        <f>EDATE(V10,16)</f>
        <v>47849</v>
      </c>
      <c r="X10" s="327">
        <f t="shared" ref="X10" si="256">W10</f>
        <v>47849</v>
      </c>
      <c r="Y10" s="327">
        <f>EDATE(X10,1)</f>
        <v>47880</v>
      </c>
      <c r="Z10" s="332">
        <f t="shared" si="249"/>
        <v>0</v>
      </c>
      <c r="AA10" s="330">
        <f t="shared" ref="AA10" si="257">SUM(AB10:FJ10)</f>
        <v>325446659999.99994</v>
      </c>
      <c r="AB10" s="331">
        <f t="shared" si="229"/>
        <v>0</v>
      </c>
      <c r="AC10" s="331">
        <f t="shared" si="229"/>
        <v>0</v>
      </c>
      <c r="AD10" s="331">
        <f t="shared" si="229"/>
        <v>0</v>
      </c>
      <c r="AE10" s="331">
        <f t="shared" si="229"/>
        <v>0</v>
      </c>
      <c r="AF10" s="331">
        <f t="shared" si="229"/>
        <v>0</v>
      </c>
      <c r="AG10" s="331">
        <f t="shared" si="229"/>
        <v>0</v>
      </c>
      <c r="AH10" s="331">
        <f t="shared" si="229"/>
        <v>0</v>
      </c>
      <c r="AI10" s="331">
        <f t="shared" si="229"/>
        <v>0</v>
      </c>
      <c r="AJ10" s="331">
        <f t="shared" si="229"/>
        <v>0</v>
      </c>
      <c r="AK10" s="331">
        <f t="shared" si="229"/>
        <v>0</v>
      </c>
      <c r="AL10" s="331">
        <f t="shared" si="230"/>
        <v>0</v>
      </c>
      <c r="AM10" s="331">
        <f t="shared" si="230"/>
        <v>0</v>
      </c>
      <c r="AN10" s="331">
        <f t="shared" si="230"/>
        <v>0</v>
      </c>
      <c r="AO10" s="331">
        <f t="shared" si="230"/>
        <v>0</v>
      </c>
      <c r="AP10" s="331">
        <f t="shared" si="230"/>
        <v>0</v>
      </c>
      <c r="AQ10" s="331">
        <f t="shared" si="230"/>
        <v>0</v>
      </c>
      <c r="AR10" s="331">
        <f t="shared" si="230"/>
        <v>0</v>
      </c>
      <c r="AS10" s="331">
        <f t="shared" si="230"/>
        <v>0</v>
      </c>
      <c r="AT10" s="331">
        <f t="shared" si="230"/>
        <v>0</v>
      </c>
      <c r="AU10" s="331">
        <f t="shared" si="230"/>
        <v>0</v>
      </c>
      <c r="AV10" s="331">
        <f t="shared" si="231"/>
        <v>0</v>
      </c>
      <c r="AW10" s="331">
        <f t="shared" si="231"/>
        <v>0</v>
      </c>
      <c r="AX10" s="331">
        <f t="shared" si="231"/>
        <v>0</v>
      </c>
      <c r="AY10" s="331">
        <f t="shared" si="231"/>
        <v>0</v>
      </c>
      <c r="AZ10" s="331">
        <f t="shared" si="231"/>
        <v>0</v>
      </c>
      <c r="BA10" s="331">
        <f t="shared" si="231"/>
        <v>0</v>
      </c>
      <c r="BB10" s="331">
        <f t="shared" si="231"/>
        <v>0</v>
      </c>
      <c r="BC10" s="331">
        <f t="shared" si="231"/>
        <v>0</v>
      </c>
      <c r="BD10" s="331">
        <f t="shared" si="231"/>
        <v>0</v>
      </c>
      <c r="BE10" s="331">
        <f t="shared" si="231"/>
        <v>0</v>
      </c>
      <c r="BF10" s="331">
        <f t="shared" si="232"/>
        <v>0</v>
      </c>
      <c r="BG10" s="331">
        <f t="shared" si="232"/>
        <v>0</v>
      </c>
      <c r="BH10" s="331">
        <f t="shared" si="232"/>
        <v>0</v>
      </c>
      <c r="BI10" s="331">
        <f t="shared" si="232"/>
        <v>0</v>
      </c>
      <c r="BJ10" s="331">
        <f t="shared" si="232"/>
        <v>0</v>
      </c>
      <c r="BK10" s="331">
        <f t="shared" si="232"/>
        <v>0</v>
      </c>
      <c r="BL10" s="331">
        <f t="shared" si="232"/>
        <v>0</v>
      </c>
      <c r="BM10" s="331">
        <f t="shared" si="232"/>
        <v>0</v>
      </c>
      <c r="BN10" s="331">
        <f t="shared" si="232"/>
        <v>0</v>
      </c>
      <c r="BO10" s="331">
        <f t="shared" si="232"/>
        <v>0</v>
      </c>
      <c r="BP10" s="331">
        <f t="shared" si="233"/>
        <v>0</v>
      </c>
      <c r="BQ10" s="331">
        <f t="shared" si="233"/>
        <v>0</v>
      </c>
      <c r="BR10" s="331">
        <f t="shared" si="233"/>
        <v>0</v>
      </c>
      <c r="BS10" s="331">
        <f t="shared" si="233"/>
        <v>0</v>
      </c>
      <c r="BT10" s="331">
        <f t="shared" si="233"/>
        <v>0</v>
      </c>
      <c r="BU10" s="331">
        <f t="shared" si="233"/>
        <v>0</v>
      </c>
      <c r="BV10" s="331">
        <f t="shared" si="233"/>
        <v>0</v>
      </c>
      <c r="BW10" s="331">
        <f t="shared" si="233"/>
        <v>0</v>
      </c>
      <c r="BX10" s="331">
        <f t="shared" si="233"/>
        <v>0</v>
      </c>
      <c r="BY10" s="331">
        <f t="shared" si="233"/>
        <v>0</v>
      </c>
      <c r="BZ10" s="331">
        <f t="shared" si="234"/>
        <v>0</v>
      </c>
      <c r="CA10" s="331">
        <f t="shared" si="234"/>
        <v>0</v>
      </c>
      <c r="CB10" s="331">
        <f t="shared" si="234"/>
        <v>0</v>
      </c>
      <c r="CC10" s="331">
        <f t="shared" si="234"/>
        <v>0</v>
      </c>
      <c r="CD10" s="331">
        <f t="shared" si="234"/>
        <v>0</v>
      </c>
      <c r="CE10" s="331">
        <f t="shared" si="234"/>
        <v>0</v>
      </c>
      <c r="CF10" s="331">
        <f t="shared" si="234"/>
        <v>0</v>
      </c>
      <c r="CG10" s="331">
        <f t="shared" si="234"/>
        <v>0</v>
      </c>
      <c r="CH10" s="331">
        <f t="shared" si="234"/>
        <v>0</v>
      </c>
      <c r="CI10" s="331">
        <f t="shared" si="234"/>
        <v>0</v>
      </c>
      <c r="CJ10" s="331">
        <f t="shared" si="235"/>
        <v>0</v>
      </c>
      <c r="CK10" s="331">
        <f t="shared" si="235"/>
        <v>0</v>
      </c>
      <c r="CL10" s="331">
        <f t="shared" si="235"/>
        <v>0</v>
      </c>
      <c r="CM10" s="331">
        <f t="shared" si="235"/>
        <v>0</v>
      </c>
      <c r="CN10" s="331">
        <f t="shared" si="235"/>
        <v>0</v>
      </c>
      <c r="CO10" s="331">
        <f t="shared" si="235"/>
        <v>0</v>
      </c>
      <c r="CP10" s="331">
        <f t="shared" si="235"/>
        <v>0</v>
      </c>
      <c r="CQ10" s="331">
        <f t="shared" si="235"/>
        <v>0</v>
      </c>
      <c r="CR10" s="331">
        <f t="shared" si="235"/>
        <v>0</v>
      </c>
      <c r="CS10" s="331">
        <f t="shared" si="235"/>
        <v>0</v>
      </c>
      <c r="CT10" s="331">
        <f t="shared" si="236"/>
        <v>0</v>
      </c>
      <c r="CU10" s="331">
        <f t="shared" si="236"/>
        <v>0</v>
      </c>
      <c r="CV10" s="331">
        <f t="shared" si="236"/>
        <v>0</v>
      </c>
      <c r="CW10" s="331">
        <f t="shared" si="236"/>
        <v>0</v>
      </c>
      <c r="CX10" s="331">
        <f t="shared" si="236"/>
        <v>0</v>
      </c>
      <c r="CY10" s="331">
        <f t="shared" si="236"/>
        <v>0</v>
      </c>
      <c r="CZ10" s="331">
        <f t="shared" si="236"/>
        <v>0</v>
      </c>
      <c r="DA10" s="331">
        <f t="shared" si="236"/>
        <v>0</v>
      </c>
      <c r="DB10" s="331">
        <f t="shared" si="236"/>
        <v>0</v>
      </c>
      <c r="DC10" s="331">
        <f t="shared" si="236"/>
        <v>97633997999.999985</v>
      </c>
      <c r="DD10" s="331">
        <f t="shared" si="237"/>
        <v>0</v>
      </c>
      <c r="DE10" s="331">
        <f t="shared" si="237"/>
        <v>32544665999.999996</v>
      </c>
      <c r="DF10" s="331">
        <f t="shared" si="237"/>
        <v>0</v>
      </c>
      <c r="DG10" s="331">
        <f t="shared" si="237"/>
        <v>32544665999.999996</v>
      </c>
      <c r="DH10" s="331">
        <f t="shared" si="237"/>
        <v>0</v>
      </c>
      <c r="DI10" s="331">
        <f t="shared" si="237"/>
        <v>32544665999.999996</v>
      </c>
      <c r="DJ10" s="331">
        <f t="shared" si="237"/>
        <v>0</v>
      </c>
      <c r="DK10" s="331">
        <f t="shared" si="237"/>
        <v>32544665999.999996</v>
      </c>
      <c r="DL10" s="331">
        <f t="shared" si="237"/>
        <v>0</v>
      </c>
      <c r="DM10" s="331">
        <f t="shared" si="237"/>
        <v>0</v>
      </c>
      <c r="DN10" s="331">
        <f t="shared" si="238"/>
        <v>0</v>
      </c>
      <c r="DO10" s="331">
        <f t="shared" si="238"/>
        <v>0</v>
      </c>
      <c r="DP10" s="331">
        <f t="shared" si="238"/>
        <v>0</v>
      </c>
      <c r="DQ10" s="331">
        <f t="shared" si="238"/>
        <v>0</v>
      </c>
      <c r="DR10" s="331">
        <f t="shared" si="238"/>
        <v>0</v>
      </c>
      <c r="DS10" s="331">
        <f t="shared" si="238"/>
        <v>0</v>
      </c>
      <c r="DT10" s="331">
        <f t="shared" si="238"/>
        <v>0</v>
      </c>
      <c r="DU10" s="331">
        <f t="shared" si="238"/>
        <v>0</v>
      </c>
      <c r="DV10" s="331">
        <f t="shared" si="238"/>
        <v>0</v>
      </c>
      <c r="DW10" s="331">
        <f t="shared" si="238"/>
        <v>0</v>
      </c>
      <c r="DX10" s="331">
        <f t="shared" si="239"/>
        <v>0</v>
      </c>
      <c r="DY10" s="331">
        <f t="shared" si="239"/>
        <v>0</v>
      </c>
      <c r="DZ10" s="331">
        <f t="shared" si="239"/>
        <v>0</v>
      </c>
      <c r="EA10" s="331">
        <f t="shared" si="239"/>
        <v>81361664999.999985</v>
      </c>
      <c r="EB10" s="331">
        <f t="shared" si="239"/>
        <v>16272332999.999998</v>
      </c>
      <c r="EC10" s="331">
        <f t="shared" si="239"/>
        <v>0</v>
      </c>
      <c r="ED10" s="331">
        <f t="shared" si="239"/>
        <v>0</v>
      </c>
      <c r="EE10" s="331">
        <f t="shared" si="239"/>
        <v>0</v>
      </c>
      <c r="EF10" s="331">
        <f t="shared" si="239"/>
        <v>0</v>
      </c>
      <c r="EG10" s="331">
        <f t="shared" si="239"/>
        <v>0</v>
      </c>
      <c r="EH10" s="331">
        <f t="shared" si="240"/>
        <v>0</v>
      </c>
      <c r="EI10" s="331">
        <f t="shared" si="240"/>
        <v>0</v>
      </c>
      <c r="EJ10" s="331">
        <f t="shared" si="240"/>
        <v>0</v>
      </c>
      <c r="EK10" s="331">
        <f t="shared" si="240"/>
        <v>0</v>
      </c>
      <c r="EL10" s="331">
        <f t="shared" si="240"/>
        <v>0</v>
      </c>
      <c r="EM10" s="331">
        <f t="shared" si="240"/>
        <v>0</v>
      </c>
      <c r="EN10" s="331">
        <f t="shared" si="240"/>
        <v>0</v>
      </c>
      <c r="EO10" s="331">
        <f t="shared" si="240"/>
        <v>0</v>
      </c>
      <c r="EP10" s="331">
        <f t="shared" si="240"/>
        <v>0</v>
      </c>
      <c r="EQ10" s="331">
        <f t="shared" si="240"/>
        <v>0</v>
      </c>
      <c r="ER10" s="331">
        <f t="shared" si="241"/>
        <v>0</v>
      </c>
      <c r="ES10" s="331">
        <f t="shared" si="241"/>
        <v>0</v>
      </c>
      <c r="ET10" s="331">
        <f t="shared" si="241"/>
        <v>0</v>
      </c>
      <c r="EU10" s="331">
        <f t="shared" si="241"/>
        <v>0</v>
      </c>
      <c r="EV10" s="331">
        <f t="shared" si="241"/>
        <v>0</v>
      </c>
      <c r="EW10" s="331">
        <f t="shared" si="241"/>
        <v>0</v>
      </c>
      <c r="EX10" s="331">
        <f t="shared" si="241"/>
        <v>0</v>
      </c>
      <c r="EY10" s="331">
        <f t="shared" si="241"/>
        <v>0</v>
      </c>
      <c r="EZ10" s="331">
        <f t="shared" si="241"/>
        <v>0</v>
      </c>
      <c r="FA10" s="331">
        <f t="shared" si="241"/>
        <v>0</v>
      </c>
      <c r="FB10" s="331">
        <f t="shared" si="242"/>
        <v>0</v>
      </c>
      <c r="FC10" s="331">
        <f t="shared" si="242"/>
        <v>0</v>
      </c>
      <c r="FD10" s="331">
        <f t="shared" si="242"/>
        <v>0</v>
      </c>
      <c r="FE10" s="331">
        <f t="shared" si="242"/>
        <v>0</v>
      </c>
      <c r="FF10" s="331">
        <f t="shared" si="242"/>
        <v>0</v>
      </c>
      <c r="FG10" s="331">
        <f t="shared" si="242"/>
        <v>0</v>
      </c>
      <c r="FH10" s="331">
        <f t="shared" si="242"/>
        <v>0</v>
      </c>
      <c r="FI10" s="331">
        <f t="shared" si="242"/>
        <v>0</v>
      </c>
      <c r="FJ10" s="331">
        <f t="shared" si="242"/>
        <v>0</v>
      </c>
      <c r="FK10" s="331"/>
      <c r="FL10" s="331">
        <f t="shared" si="243"/>
        <v>0</v>
      </c>
      <c r="FM10" s="331">
        <f t="shared" si="243"/>
        <v>0</v>
      </c>
      <c r="FN10" s="331">
        <f t="shared" si="243"/>
        <v>0</v>
      </c>
      <c r="FO10" s="331">
        <f t="shared" si="243"/>
        <v>0</v>
      </c>
      <c r="FP10" s="331">
        <f t="shared" si="243"/>
        <v>0</v>
      </c>
      <c r="FQ10" s="331">
        <f t="shared" si="243"/>
        <v>0</v>
      </c>
      <c r="FR10" s="331">
        <f t="shared" si="243"/>
        <v>0</v>
      </c>
      <c r="FS10" s="331">
        <f t="shared" si="243"/>
        <v>0</v>
      </c>
      <c r="FT10" s="331">
        <f t="shared" si="243"/>
        <v>0</v>
      </c>
      <c r="FU10" s="331">
        <f t="shared" si="243"/>
        <v>0</v>
      </c>
      <c r="FV10" s="331">
        <f t="shared" si="244"/>
        <v>0</v>
      </c>
      <c r="FW10" s="331">
        <f t="shared" si="244"/>
        <v>0</v>
      </c>
      <c r="FX10" s="331">
        <f t="shared" si="244"/>
        <v>0</v>
      </c>
      <c r="FY10" s="331">
        <f t="shared" si="244"/>
        <v>0</v>
      </c>
      <c r="FZ10" s="331">
        <f t="shared" si="244"/>
        <v>0</v>
      </c>
      <c r="GA10" s="331">
        <f t="shared" si="244"/>
        <v>0</v>
      </c>
      <c r="GB10" s="331">
        <f t="shared" si="244"/>
        <v>0</v>
      </c>
      <c r="GC10" s="331">
        <f t="shared" si="244"/>
        <v>0</v>
      </c>
      <c r="GD10" s="331">
        <f t="shared" si="244"/>
        <v>0</v>
      </c>
      <c r="GE10" s="331">
        <f t="shared" si="244"/>
        <v>0</v>
      </c>
      <c r="GF10" s="331">
        <f t="shared" si="245"/>
        <v>130178663999.99998</v>
      </c>
      <c r="GG10" s="331">
        <f t="shared" si="245"/>
        <v>32544665999.999996</v>
      </c>
      <c r="GH10" s="331">
        <f t="shared" si="245"/>
        <v>65089331999.999992</v>
      </c>
      <c r="GI10" s="331">
        <f t="shared" si="245"/>
        <v>0</v>
      </c>
      <c r="GJ10" s="331">
        <f t="shared" si="245"/>
        <v>0</v>
      </c>
      <c r="GK10" s="331">
        <f t="shared" si="245"/>
        <v>0</v>
      </c>
      <c r="GL10" s="331">
        <f t="shared" si="245"/>
        <v>0</v>
      </c>
      <c r="GM10" s="331">
        <f t="shared" si="245"/>
        <v>0</v>
      </c>
      <c r="GN10" s="331">
        <f t="shared" si="245"/>
        <v>97633997999.999985</v>
      </c>
      <c r="GO10" s="331">
        <f t="shared" si="245"/>
        <v>0</v>
      </c>
      <c r="GP10" s="331">
        <f t="shared" si="246"/>
        <v>0</v>
      </c>
      <c r="GQ10" s="331">
        <f t="shared" si="246"/>
        <v>0</v>
      </c>
      <c r="GR10" s="331">
        <f t="shared" si="246"/>
        <v>0</v>
      </c>
      <c r="GS10" s="331">
        <f t="shared" si="246"/>
        <v>0</v>
      </c>
      <c r="GT10" s="331">
        <f t="shared" si="246"/>
        <v>0</v>
      </c>
      <c r="GU10" s="331">
        <f t="shared" si="246"/>
        <v>0</v>
      </c>
      <c r="GV10" s="331">
        <f t="shared" si="246"/>
        <v>0</v>
      </c>
      <c r="GW10" s="331">
        <f t="shared" si="246"/>
        <v>0</v>
      </c>
      <c r="GX10" s="331">
        <f t="shared" si="246"/>
        <v>0</v>
      </c>
      <c r="GY10" s="331">
        <f t="shared" si="246"/>
        <v>0</v>
      </c>
    </row>
    <row r="11" spans="1:207" s="35" customFormat="1" ht="14">
      <c r="A11" s="398"/>
      <c r="B11" s="64">
        <v>4</v>
      </c>
      <c r="C11" s="65" t="s">
        <v>137</v>
      </c>
      <c r="D11" s="65"/>
      <c r="E11" s="65"/>
      <c r="F11" s="65"/>
      <c r="G11" s="65"/>
      <c r="H11" s="65"/>
      <c r="I11" s="65" t="str">
        <f t="shared" si="222"/>
        <v>Liền kề 1</v>
      </c>
      <c r="J11" s="327">
        <v>46753</v>
      </c>
      <c r="K11" s="328">
        <v>51</v>
      </c>
      <c r="L11" s="328">
        <v>4320.5</v>
      </c>
      <c r="M11" s="328">
        <v>4320.5</v>
      </c>
      <c r="N11" s="326">
        <v>77500000</v>
      </c>
      <c r="O11" s="326" cm="1">
        <f t="array" ref="O11">_xlfn.IFS( YEAR(R11)=2027,N11,YEAR(R11)=2028,N11*(1+'1. Tổng hợp'!$C$16),YEAR(R11)=2029,N11*(1+'1. Tổng hợp'!$C$16)^2, YEAR(R11)=2030,N11*(1+'1. Tổng hợp'!$C$16)^3,YEAR(R11)=2031,N11*(1+'1. Tổng hợp'!$C$16)^3)</f>
        <v>77500000</v>
      </c>
      <c r="P11" s="326">
        <f t="shared" si="223"/>
        <v>334838750000</v>
      </c>
      <c r="Q11" s="329">
        <f t="shared" si="224"/>
        <v>47119</v>
      </c>
      <c r="R11" s="327">
        <f>J11</f>
        <v>46753</v>
      </c>
      <c r="S11" s="327">
        <f>EDATE(R11,3)</f>
        <v>46844</v>
      </c>
      <c r="T11" s="327">
        <f>EDATE(S11,3)</f>
        <v>46935</v>
      </c>
      <c r="U11" s="327">
        <f>EDATE(T11,3)</f>
        <v>47027</v>
      </c>
      <c r="V11" s="327">
        <f>EDATE(U11,3)</f>
        <v>47119</v>
      </c>
      <c r="W11" s="327">
        <f>V11</f>
        <v>47119</v>
      </c>
      <c r="X11" s="327">
        <f t="shared" si="248"/>
        <v>47119</v>
      </c>
      <c r="Y11" s="327">
        <f>EDATE(X11,1)</f>
        <v>47150</v>
      </c>
      <c r="Z11" s="332">
        <f t="shared" si="227"/>
        <v>0</v>
      </c>
      <c r="AA11" s="330">
        <f t="shared" si="228"/>
        <v>334838750000</v>
      </c>
      <c r="AB11" s="331">
        <f t="shared" si="229"/>
        <v>0</v>
      </c>
      <c r="AC11" s="331">
        <f t="shared" si="229"/>
        <v>0</v>
      </c>
      <c r="AD11" s="331">
        <f t="shared" si="229"/>
        <v>0</v>
      </c>
      <c r="AE11" s="331">
        <f t="shared" si="229"/>
        <v>0</v>
      </c>
      <c r="AF11" s="331">
        <f t="shared" si="229"/>
        <v>0</v>
      </c>
      <c r="AG11" s="331">
        <f t="shared" si="229"/>
        <v>0</v>
      </c>
      <c r="AH11" s="331">
        <f t="shared" si="229"/>
        <v>0</v>
      </c>
      <c r="AI11" s="331">
        <f t="shared" si="229"/>
        <v>0</v>
      </c>
      <c r="AJ11" s="331">
        <f t="shared" si="229"/>
        <v>0</v>
      </c>
      <c r="AK11" s="331">
        <f t="shared" si="229"/>
        <v>0</v>
      </c>
      <c r="AL11" s="331">
        <f t="shared" si="230"/>
        <v>0</v>
      </c>
      <c r="AM11" s="331">
        <f t="shared" si="230"/>
        <v>0</v>
      </c>
      <c r="AN11" s="331">
        <f t="shared" si="230"/>
        <v>0</v>
      </c>
      <c r="AO11" s="331">
        <f t="shared" si="230"/>
        <v>0</v>
      </c>
      <c r="AP11" s="331">
        <f t="shared" si="230"/>
        <v>0</v>
      </c>
      <c r="AQ11" s="331">
        <f t="shared" si="230"/>
        <v>0</v>
      </c>
      <c r="AR11" s="331">
        <f t="shared" si="230"/>
        <v>0</v>
      </c>
      <c r="AS11" s="331">
        <f t="shared" si="230"/>
        <v>0</v>
      </c>
      <c r="AT11" s="331">
        <f t="shared" si="230"/>
        <v>0</v>
      </c>
      <c r="AU11" s="331">
        <f t="shared" si="230"/>
        <v>0</v>
      </c>
      <c r="AV11" s="331">
        <f t="shared" si="231"/>
        <v>0</v>
      </c>
      <c r="AW11" s="331">
        <f t="shared" si="231"/>
        <v>0</v>
      </c>
      <c r="AX11" s="331">
        <f t="shared" si="231"/>
        <v>0</v>
      </c>
      <c r="AY11" s="331">
        <f t="shared" si="231"/>
        <v>0</v>
      </c>
      <c r="AZ11" s="331">
        <f t="shared" si="231"/>
        <v>0</v>
      </c>
      <c r="BA11" s="331">
        <f t="shared" si="231"/>
        <v>0</v>
      </c>
      <c r="BB11" s="331">
        <f t="shared" si="231"/>
        <v>0</v>
      </c>
      <c r="BC11" s="331">
        <f t="shared" si="231"/>
        <v>0</v>
      </c>
      <c r="BD11" s="331">
        <f t="shared" si="231"/>
        <v>0</v>
      </c>
      <c r="BE11" s="331">
        <f t="shared" si="231"/>
        <v>0</v>
      </c>
      <c r="BF11" s="331">
        <f t="shared" si="232"/>
        <v>0</v>
      </c>
      <c r="BG11" s="331">
        <f t="shared" si="232"/>
        <v>0</v>
      </c>
      <c r="BH11" s="331">
        <f t="shared" si="232"/>
        <v>0</v>
      </c>
      <c r="BI11" s="331">
        <f t="shared" si="232"/>
        <v>0</v>
      </c>
      <c r="BJ11" s="331">
        <f t="shared" si="232"/>
        <v>0</v>
      </c>
      <c r="BK11" s="331">
        <f t="shared" si="232"/>
        <v>0</v>
      </c>
      <c r="BL11" s="331">
        <f t="shared" si="232"/>
        <v>0</v>
      </c>
      <c r="BM11" s="331">
        <f t="shared" si="232"/>
        <v>0</v>
      </c>
      <c r="BN11" s="331">
        <f t="shared" si="232"/>
        <v>0</v>
      </c>
      <c r="BO11" s="331">
        <f t="shared" si="232"/>
        <v>0</v>
      </c>
      <c r="BP11" s="331">
        <f t="shared" si="233"/>
        <v>0</v>
      </c>
      <c r="BQ11" s="331">
        <f t="shared" si="233"/>
        <v>0</v>
      </c>
      <c r="BR11" s="331">
        <f t="shared" si="233"/>
        <v>0</v>
      </c>
      <c r="BS11" s="331">
        <f t="shared" si="233"/>
        <v>0</v>
      </c>
      <c r="BT11" s="331">
        <f t="shared" si="233"/>
        <v>0</v>
      </c>
      <c r="BU11" s="331">
        <f t="shared" si="233"/>
        <v>0</v>
      </c>
      <c r="BV11" s="331">
        <f t="shared" si="233"/>
        <v>0</v>
      </c>
      <c r="BW11" s="331">
        <f t="shared" si="233"/>
        <v>0</v>
      </c>
      <c r="BX11" s="331">
        <f t="shared" si="233"/>
        <v>0</v>
      </c>
      <c r="BY11" s="331">
        <f t="shared" si="233"/>
        <v>0</v>
      </c>
      <c r="BZ11" s="331">
        <f t="shared" si="234"/>
        <v>0</v>
      </c>
      <c r="CA11" s="331">
        <f t="shared" si="234"/>
        <v>0</v>
      </c>
      <c r="CB11" s="331">
        <f t="shared" si="234"/>
        <v>0</v>
      </c>
      <c r="CC11" s="331">
        <f t="shared" si="234"/>
        <v>0</v>
      </c>
      <c r="CD11" s="331">
        <f t="shared" si="234"/>
        <v>0</v>
      </c>
      <c r="CE11" s="331">
        <f t="shared" si="234"/>
        <v>0</v>
      </c>
      <c r="CF11" s="331">
        <f t="shared" si="234"/>
        <v>0</v>
      </c>
      <c r="CG11" s="331">
        <f t="shared" si="234"/>
        <v>0</v>
      </c>
      <c r="CH11" s="331">
        <f t="shared" si="234"/>
        <v>0</v>
      </c>
      <c r="CI11" s="331">
        <f t="shared" si="234"/>
        <v>0</v>
      </c>
      <c r="CJ11" s="331">
        <f t="shared" si="235"/>
        <v>0</v>
      </c>
      <c r="CK11" s="331">
        <f t="shared" si="235"/>
        <v>0</v>
      </c>
      <c r="CL11" s="331">
        <f t="shared" si="235"/>
        <v>0</v>
      </c>
      <c r="CM11" s="331">
        <f t="shared" si="235"/>
        <v>0</v>
      </c>
      <c r="CN11" s="331">
        <f t="shared" si="235"/>
        <v>0</v>
      </c>
      <c r="CO11" s="331">
        <f t="shared" si="235"/>
        <v>0</v>
      </c>
      <c r="CP11" s="331">
        <f t="shared" si="235"/>
        <v>0</v>
      </c>
      <c r="CQ11" s="331">
        <f t="shared" si="235"/>
        <v>100451625000</v>
      </c>
      <c r="CR11" s="331">
        <f t="shared" si="235"/>
        <v>0</v>
      </c>
      <c r="CS11" s="331">
        <f t="shared" si="235"/>
        <v>0</v>
      </c>
      <c r="CT11" s="331">
        <f t="shared" si="236"/>
        <v>33483875000</v>
      </c>
      <c r="CU11" s="331">
        <f t="shared" si="236"/>
        <v>0</v>
      </c>
      <c r="CV11" s="331">
        <f t="shared" si="236"/>
        <v>0</v>
      </c>
      <c r="CW11" s="331">
        <f t="shared" si="236"/>
        <v>33483875000</v>
      </c>
      <c r="CX11" s="331">
        <f t="shared" si="236"/>
        <v>0</v>
      </c>
      <c r="CY11" s="331">
        <f t="shared" si="236"/>
        <v>0</v>
      </c>
      <c r="CZ11" s="331">
        <f t="shared" si="236"/>
        <v>33483875000</v>
      </c>
      <c r="DA11" s="331">
        <f t="shared" si="236"/>
        <v>0</v>
      </c>
      <c r="DB11" s="331">
        <f t="shared" si="236"/>
        <v>0</v>
      </c>
      <c r="DC11" s="331">
        <f t="shared" si="236"/>
        <v>117193562500</v>
      </c>
      <c r="DD11" s="331">
        <f t="shared" si="237"/>
        <v>16741937500</v>
      </c>
      <c r="DE11" s="331">
        <f t="shared" si="237"/>
        <v>0</v>
      </c>
      <c r="DF11" s="331">
        <f t="shared" si="237"/>
        <v>0</v>
      </c>
      <c r="DG11" s="331">
        <f t="shared" si="237"/>
        <v>0</v>
      </c>
      <c r="DH11" s="331">
        <f t="shared" si="237"/>
        <v>0</v>
      </c>
      <c r="DI11" s="331">
        <f t="shared" si="237"/>
        <v>0</v>
      </c>
      <c r="DJ11" s="331">
        <f t="shared" si="237"/>
        <v>0</v>
      </c>
      <c r="DK11" s="331">
        <f t="shared" si="237"/>
        <v>0</v>
      </c>
      <c r="DL11" s="331">
        <f t="shared" si="237"/>
        <v>0</v>
      </c>
      <c r="DM11" s="331">
        <f t="shared" si="237"/>
        <v>0</v>
      </c>
      <c r="DN11" s="331">
        <f t="shared" si="238"/>
        <v>0</v>
      </c>
      <c r="DO11" s="331">
        <f t="shared" si="238"/>
        <v>0</v>
      </c>
      <c r="DP11" s="331">
        <f t="shared" si="238"/>
        <v>0</v>
      </c>
      <c r="DQ11" s="331">
        <f t="shared" si="238"/>
        <v>0</v>
      </c>
      <c r="DR11" s="331">
        <f t="shared" si="238"/>
        <v>0</v>
      </c>
      <c r="DS11" s="331">
        <f t="shared" si="238"/>
        <v>0</v>
      </c>
      <c r="DT11" s="331">
        <f t="shared" si="238"/>
        <v>0</v>
      </c>
      <c r="DU11" s="331">
        <f t="shared" si="238"/>
        <v>0</v>
      </c>
      <c r="DV11" s="331">
        <f t="shared" si="238"/>
        <v>0</v>
      </c>
      <c r="DW11" s="331">
        <f t="shared" si="238"/>
        <v>0</v>
      </c>
      <c r="DX11" s="331">
        <f t="shared" si="239"/>
        <v>0</v>
      </c>
      <c r="DY11" s="331">
        <f t="shared" si="239"/>
        <v>0</v>
      </c>
      <c r="DZ11" s="331">
        <f t="shared" si="239"/>
        <v>0</v>
      </c>
      <c r="EA11" s="331">
        <f t="shared" si="239"/>
        <v>0</v>
      </c>
      <c r="EB11" s="331">
        <f t="shared" si="239"/>
        <v>0</v>
      </c>
      <c r="EC11" s="331">
        <f t="shared" si="239"/>
        <v>0</v>
      </c>
      <c r="ED11" s="331">
        <f t="shared" si="239"/>
        <v>0</v>
      </c>
      <c r="EE11" s="331">
        <f t="shared" si="239"/>
        <v>0</v>
      </c>
      <c r="EF11" s="331">
        <f t="shared" si="239"/>
        <v>0</v>
      </c>
      <c r="EG11" s="331">
        <f t="shared" si="239"/>
        <v>0</v>
      </c>
      <c r="EH11" s="331">
        <f t="shared" si="240"/>
        <v>0</v>
      </c>
      <c r="EI11" s="331">
        <f t="shared" si="240"/>
        <v>0</v>
      </c>
      <c r="EJ11" s="331">
        <f t="shared" si="240"/>
        <v>0</v>
      </c>
      <c r="EK11" s="331">
        <f t="shared" si="240"/>
        <v>0</v>
      </c>
      <c r="EL11" s="331">
        <f t="shared" si="240"/>
        <v>0</v>
      </c>
      <c r="EM11" s="331">
        <f t="shared" si="240"/>
        <v>0</v>
      </c>
      <c r="EN11" s="331">
        <f t="shared" si="240"/>
        <v>0</v>
      </c>
      <c r="EO11" s="331">
        <f t="shared" si="240"/>
        <v>0</v>
      </c>
      <c r="EP11" s="331">
        <f t="shared" si="240"/>
        <v>0</v>
      </c>
      <c r="EQ11" s="331">
        <f t="shared" si="240"/>
        <v>0</v>
      </c>
      <c r="ER11" s="331">
        <f t="shared" si="241"/>
        <v>0</v>
      </c>
      <c r="ES11" s="331">
        <f t="shared" si="241"/>
        <v>0</v>
      </c>
      <c r="ET11" s="331">
        <f t="shared" si="241"/>
        <v>0</v>
      </c>
      <c r="EU11" s="331">
        <f t="shared" si="241"/>
        <v>0</v>
      </c>
      <c r="EV11" s="331">
        <f t="shared" si="241"/>
        <v>0</v>
      </c>
      <c r="EW11" s="331">
        <f t="shared" si="241"/>
        <v>0</v>
      </c>
      <c r="EX11" s="331">
        <f t="shared" si="241"/>
        <v>0</v>
      </c>
      <c r="EY11" s="331">
        <f t="shared" si="241"/>
        <v>0</v>
      </c>
      <c r="EZ11" s="331">
        <f t="shared" si="241"/>
        <v>0</v>
      </c>
      <c r="FA11" s="331">
        <f t="shared" si="241"/>
        <v>0</v>
      </c>
      <c r="FB11" s="331">
        <f t="shared" si="242"/>
        <v>0</v>
      </c>
      <c r="FC11" s="331">
        <f t="shared" si="242"/>
        <v>0</v>
      </c>
      <c r="FD11" s="331">
        <f t="shared" si="242"/>
        <v>0</v>
      </c>
      <c r="FE11" s="331">
        <f t="shared" si="242"/>
        <v>0</v>
      </c>
      <c r="FF11" s="331">
        <f t="shared" si="242"/>
        <v>0</v>
      </c>
      <c r="FG11" s="331">
        <f t="shared" si="242"/>
        <v>0</v>
      </c>
      <c r="FH11" s="331">
        <f t="shared" si="242"/>
        <v>0</v>
      </c>
      <c r="FI11" s="331">
        <f t="shared" si="242"/>
        <v>0</v>
      </c>
      <c r="FJ11" s="331">
        <f t="shared" si="242"/>
        <v>0</v>
      </c>
      <c r="FK11" s="331"/>
      <c r="FL11" s="331">
        <f t="shared" si="243"/>
        <v>0</v>
      </c>
      <c r="FM11" s="331">
        <f t="shared" si="243"/>
        <v>0</v>
      </c>
      <c r="FN11" s="331">
        <f t="shared" si="243"/>
        <v>0</v>
      </c>
      <c r="FO11" s="331">
        <f t="shared" si="243"/>
        <v>0</v>
      </c>
      <c r="FP11" s="331">
        <f t="shared" si="243"/>
        <v>0</v>
      </c>
      <c r="FQ11" s="331">
        <f t="shared" si="243"/>
        <v>0</v>
      </c>
      <c r="FR11" s="331">
        <f t="shared" si="243"/>
        <v>0</v>
      </c>
      <c r="FS11" s="331">
        <f t="shared" si="243"/>
        <v>0</v>
      </c>
      <c r="FT11" s="331">
        <f t="shared" si="243"/>
        <v>0</v>
      </c>
      <c r="FU11" s="331">
        <f t="shared" si="243"/>
        <v>0</v>
      </c>
      <c r="FV11" s="331">
        <f t="shared" si="244"/>
        <v>0</v>
      </c>
      <c r="FW11" s="331">
        <f t="shared" si="244"/>
        <v>0</v>
      </c>
      <c r="FX11" s="331">
        <f t="shared" si="244"/>
        <v>0</v>
      </c>
      <c r="FY11" s="331">
        <f t="shared" si="244"/>
        <v>0</v>
      </c>
      <c r="FZ11" s="331">
        <f t="shared" si="244"/>
        <v>0</v>
      </c>
      <c r="GA11" s="331">
        <f t="shared" si="244"/>
        <v>0</v>
      </c>
      <c r="GB11" s="331">
        <f t="shared" si="244"/>
        <v>100451625000</v>
      </c>
      <c r="GC11" s="331">
        <f t="shared" si="244"/>
        <v>33483875000</v>
      </c>
      <c r="GD11" s="331">
        <f t="shared" si="244"/>
        <v>33483875000</v>
      </c>
      <c r="GE11" s="331">
        <f t="shared" si="244"/>
        <v>33483875000</v>
      </c>
      <c r="GF11" s="331">
        <f t="shared" si="245"/>
        <v>133935500000</v>
      </c>
      <c r="GG11" s="331">
        <f t="shared" si="245"/>
        <v>0</v>
      </c>
      <c r="GH11" s="331">
        <f t="shared" si="245"/>
        <v>0</v>
      </c>
      <c r="GI11" s="331">
        <f t="shared" si="245"/>
        <v>0</v>
      </c>
      <c r="GJ11" s="331">
        <f t="shared" si="245"/>
        <v>0</v>
      </c>
      <c r="GK11" s="331">
        <f t="shared" si="245"/>
        <v>0</v>
      </c>
      <c r="GL11" s="331">
        <f t="shared" si="245"/>
        <v>0</v>
      </c>
      <c r="GM11" s="331">
        <f t="shared" si="245"/>
        <v>0</v>
      </c>
      <c r="GN11" s="331">
        <f t="shared" si="245"/>
        <v>0</v>
      </c>
      <c r="GO11" s="331">
        <f t="shared" si="245"/>
        <v>0</v>
      </c>
      <c r="GP11" s="331">
        <f t="shared" si="246"/>
        <v>0</v>
      </c>
      <c r="GQ11" s="331">
        <f t="shared" si="246"/>
        <v>0</v>
      </c>
      <c r="GR11" s="331">
        <f t="shared" si="246"/>
        <v>0</v>
      </c>
      <c r="GS11" s="331">
        <f t="shared" si="246"/>
        <v>0</v>
      </c>
      <c r="GT11" s="331">
        <f t="shared" si="246"/>
        <v>0</v>
      </c>
      <c r="GU11" s="331">
        <f t="shared" si="246"/>
        <v>0</v>
      </c>
      <c r="GV11" s="331">
        <f t="shared" si="246"/>
        <v>0</v>
      </c>
      <c r="GW11" s="331">
        <f t="shared" si="246"/>
        <v>0</v>
      </c>
      <c r="GX11" s="331">
        <f t="shared" si="246"/>
        <v>0</v>
      </c>
      <c r="GY11" s="331">
        <f t="shared" si="246"/>
        <v>0</v>
      </c>
    </row>
    <row r="12" spans="1:207" s="37" customFormat="1" ht="14">
      <c r="A12" s="399"/>
      <c r="B12" s="37" t="b">
        <f>P12=SUM(BE12:FJ12)</f>
        <v>1</v>
      </c>
      <c r="C12" s="38"/>
      <c r="D12" s="38"/>
      <c r="E12" s="38"/>
      <c r="F12" s="38"/>
      <c r="G12" s="38"/>
      <c r="H12" s="38"/>
      <c r="I12" s="38"/>
      <c r="J12" s="38"/>
      <c r="K12" s="38"/>
      <c r="L12" s="59">
        <f>SUBTOTAL(9,L8:L11)</f>
        <v>11253.26</v>
      </c>
      <c r="M12" s="59">
        <f>SUBTOTAL(9,M8:M11)</f>
        <v>57702.751999999993</v>
      </c>
      <c r="N12" s="59"/>
      <c r="O12" s="38"/>
      <c r="P12" s="331">
        <f>SUM(P8:P11)</f>
        <v>1535939420000</v>
      </c>
      <c r="Q12" s="38"/>
      <c r="R12" s="38"/>
      <c r="S12" s="333"/>
      <c r="T12" s="38"/>
      <c r="U12" s="333"/>
      <c r="V12" s="171"/>
      <c r="W12" s="38"/>
      <c r="X12" s="38"/>
      <c r="Y12" s="38"/>
      <c r="Z12" s="60"/>
      <c r="AA12" s="41"/>
      <c r="AB12" s="41">
        <f t="shared" ref="AB12:BG12" si="258">SUM(AB8:AB11)</f>
        <v>0</v>
      </c>
      <c r="AC12" s="41">
        <f t="shared" si="258"/>
        <v>0</v>
      </c>
      <c r="AD12" s="41">
        <f t="shared" si="258"/>
        <v>0</v>
      </c>
      <c r="AE12" s="41">
        <f t="shared" si="258"/>
        <v>0</v>
      </c>
      <c r="AF12" s="41">
        <f t="shared" si="258"/>
        <v>0</v>
      </c>
      <c r="AG12" s="41">
        <f t="shared" si="258"/>
        <v>0</v>
      </c>
      <c r="AH12" s="41">
        <f t="shared" si="258"/>
        <v>0</v>
      </c>
      <c r="AI12" s="41">
        <f t="shared" si="258"/>
        <v>0</v>
      </c>
      <c r="AJ12" s="41">
        <f t="shared" si="258"/>
        <v>0</v>
      </c>
      <c r="AK12" s="41">
        <f t="shared" si="258"/>
        <v>0</v>
      </c>
      <c r="AL12" s="41">
        <f t="shared" si="258"/>
        <v>0</v>
      </c>
      <c r="AM12" s="41">
        <f t="shared" si="258"/>
        <v>0</v>
      </c>
      <c r="AN12" s="41">
        <f t="shared" si="258"/>
        <v>0</v>
      </c>
      <c r="AO12" s="41">
        <f t="shared" si="258"/>
        <v>0</v>
      </c>
      <c r="AP12" s="41">
        <f t="shared" si="258"/>
        <v>0</v>
      </c>
      <c r="AQ12" s="41">
        <f t="shared" si="258"/>
        <v>0</v>
      </c>
      <c r="AR12" s="41">
        <f t="shared" si="258"/>
        <v>0</v>
      </c>
      <c r="AS12" s="41">
        <f t="shared" si="258"/>
        <v>0</v>
      </c>
      <c r="AT12" s="41">
        <f t="shared" si="258"/>
        <v>0</v>
      </c>
      <c r="AU12" s="41">
        <f t="shared" si="258"/>
        <v>0</v>
      </c>
      <c r="AV12" s="41">
        <f t="shared" si="258"/>
        <v>0</v>
      </c>
      <c r="AW12" s="41">
        <f t="shared" si="258"/>
        <v>0</v>
      </c>
      <c r="AX12" s="41">
        <f t="shared" si="258"/>
        <v>0</v>
      </c>
      <c r="AY12" s="41">
        <f t="shared" si="258"/>
        <v>0</v>
      </c>
      <c r="AZ12" s="41">
        <f t="shared" si="258"/>
        <v>0</v>
      </c>
      <c r="BA12" s="41">
        <f t="shared" si="258"/>
        <v>0</v>
      </c>
      <c r="BB12" s="41">
        <f t="shared" si="258"/>
        <v>0</v>
      </c>
      <c r="BC12" s="41">
        <f t="shared" si="258"/>
        <v>0</v>
      </c>
      <c r="BD12" s="41">
        <f t="shared" si="258"/>
        <v>0</v>
      </c>
      <c r="BE12" s="41">
        <f t="shared" si="258"/>
        <v>0</v>
      </c>
      <c r="BF12" s="41">
        <f t="shared" si="258"/>
        <v>0</v>
      </c>
      <c r="BG12" s="41">
        <f t="shared" si="258"/>
        <v>0</v>
      </c>
      <c r="BH12" s="41">
        <f t="shared" ref="BH12:CM12" si="259">SUM(BH8:BH11)</f>
        <v>0</v>
      </c>
      <c r="BI12" s="41">
        <f t="shared" si="259"/>
        <v>0</v>
      </c>
      <c r="BJ12" s="41">
        <f t="shared" si="259"/>
        <v>0</v>
      </c>
      <c r="BK12" s="41">
        <f t="shared" si="259"/>
        <v>0</v>
      </c>
      <c r="BL12" s="41">
        <f t="shared" si="259"/>
        <v>0</v>
      </c>
      <c r="BM12" s="41">
        <f t="shared" si="259"/>
        <v>0</v>
      </c>
      <c r="BN12" s="41">
        <f t="shared" si="259"/>
        <v>0</v>
      </c>
      <c r="BO12" s="41">
        <f t="shared" si="259"/>
        <v>0</v>
      </c>
      <c r="BP12" s="41">
        <f t="shared" si="259"/>
        <v>0</v>
      </c>
      <c r="BQ12" s="41">
        <f t="shared" si="259"/>
        <v>0</v>
      </c>
      <c r="BR12" s="41">
        <f t="shared" si="259"/>
        <v>0</v>
      </c>
      <c r="BS12" s="41">
        <f t="shared" si="259"/>
        <v>0</v>
      </c>
      <c r="BT12" s="41">
        <f t="shared" si="259"/>
        <v>0</v>
      </c>
      <c r="BU12" s="41">
        <f t="shared" si="259"/>
        <v>0</v>
      </c>
      <c r="BV12" s="41">
        <f t="shared" si="259"/>
        <v>0</v>
      </c>
      <c r="BW12" s="41">
        <f t="shared" si="259"/>
        <v>0</v>
      </c>
      <c r="BX12" s="41">
        <f t="shared" si="259"/>
        <v>0</v>
      </c>
      <c r="BY12" s="41">
        <f t="shared" si="259"/>
        <v>0</v>
      </c>
      <c r="BZ12" s="41">
        <f t="shared" si="259"/>
        <v>0</v>
      </c>
      <c r="CA12" s="41">
        <f t="shared" si="259"/>
        <v>0</v>
      </c>
      <c r="CB12" s="41">
        <f t="shared" si="259"/>
        <v>0</v>
      </c>
      <c r="CC12" s="41">
        <f t="shared" si="259"/>
        <v>0</v>
      </c>
      <c r="CD12" s="41">
        <f t="shared" si="259"/>
        <v>0</v>
      </c>
      <c r="CE12" s="41">
        <f t="shared" si="259"/>
        <v>144866798999.99997</v>
      </c>
      <c r="CF12" s="41">
        <f t="shared" si="259"/>
        <v>0</v>
      </c>
      <c r="CG12" s="41">
        <f t="shared" si="259"/>
        <v>48288933000</v>
      </c>
      <c r="CH12" s="41">
        <f t="shared" si="259"/>
        <v>0</v>
      </c>
      <c r="CI12" s="41">
        <f t="shared" si="259"/>
        <v>48288933000</v>
      </c>
      <c r="CJ12" s="41">
        <f t="shared" si="259"/>
        <v>0</v>
      </c>
      <c r="CK12" s="41">
        <f t="shared" si="259"/>
        <v>48288933000</v>
      </c>
      <c r="CL12" s="41">
        <f t="shared" si="259"/>
        <v>0</v>
      </c>
      <c r="CM12" s="41">
        <f t="shared" si="259"/>
        <v>48288933000</v>
      </c>
      <c r="CN12" s="41">
        <f t="shared" ref="CN12:DS12" si="260">SUM(CN8:CN11)</f>
        <v>0</v>
      </c>
      <c r="CO12" s="41">
        <f t="shared" si="260"/>
        <v>0</v>
      </c>
      <c r="CP12" s="41">
        <f t="shared" si="260"/>
        <v>0</v>
      </c>
      <c r="CQ12" s="41">
        <f t="shared" si="260"/>
        <v>218281029000</v>
      </c>
      <c r="CR12" s="41">
        <f t="shared" si="260"/>
        <v>0</v>
      </c>
      <c r="CS12" s="41">
        <f t="shared" si="260"/>
        <v>39276468000</v>
      </c>
      <c r="CT12" s="41">
        <f t="shared" si="260"/>
        <v>33483875000</v>
      </c>
      <c r="CU12" s="41">
        <f t="shared" si="260"/>
        <v>39276468000</v>
      </c>
      <c r="CV12" s="41">
        <f t="shared" si="260"/>
        <v>0</v>
      </c>
      <c r="CW12" s="41">
        <f t="shared" si="260"/>
        <v>72760343000</v>
      </c>
      <c r="CX12" s="41">
        <f t="shared" si="260"/>
        <v>0</v>
      </c>
      <c r="CY12" s="41">
        <f t="shared" si="260"/>
        <v>39276468000</v>
      </c>
      <c r="CZ12" s="41">
        <f t="shared" si="260"/>
        <v>33483875000</v>
      </c>
      <c r="DA12" s="41">
        <f t="shared" si="260"/>
        <v>0</v>
      </c>
      <c r="DB12" s="41">
        <f t="shared" si="260"/>
        <v>0</v>
      </c>
      <c r="DC12" s="41">
        <f t="shared" si="260"/>
        <v>335549893000</v>
      </c>
      <c r="DD12" s="41">
        <f t="shared" si="260"/>
        <v>40886404000</v>
      </c>
      <c r="DE12" s="41">
        <f t="shared" si="260"/>
        <v>32544665999.999996</v>
      </c>
      <c r="DF12" s="41">
        <f t="shared" si="260"/>
        <v>0</v>
      </c>
      <c r="DG12" s="41">
        <f t="shared" si="260"/>
        <v>32544665999.999996</v>
      </c>
      <c r="DH12" s="41">
        <f t="shared" si="260"/>
        <v>0</v>
      </c>
      <c r="DI12" s="41">
        <f t="shared" si="260"/>
        <v>32544665999.999996</v>
      </c>
      <c r="DJ12" s="41">
        <f t="shared" si="260"/>
        <v>0</v>
      </c>
      <c r="DK12" s="41">
        <f t="shared" si="260"/>
        <v>32544665999.999996</v>
      </c>
      <c r="DL12" s="41">
        <f t="shared" si="260"/>
        <v>0</v>
      </c>
      <c r="DM12" s="41">
        <f t="shared" si="260"/>
        <v>0</v>
      </c>
      <c r="DN12" s="41">
        <f t="shared" si="260"/>
        <v>0</v>
      </c>
      <c r="DO12" s="41">
        <f t="shared" si="260"/>
        <v>98191170000</v>
      </c>
      <c r="DP12" s="41">
        <f t="shared" si="260"/>
        <v>19638234000</v>
      </c>
      <c r="DQ12" s="41">
        <f t="shared" si="260"/>
        <v>0</v>
      </c>
      <c r="DR12" s="41">
        <f t="shared" si="260"/>
        <v>0</v>
      </c>
      <c r="DS12" s="41">
        <f t="shared" si="260"/>
        <v>0</v>
      </c>
      <c r="DT12" s="41">
        <f t="shared" ref="DT12:EY12" si="261">SUM(DT8:DT11)</f>
        <v>0</v>
      </c>
      <c r="DU12" s="41">
        <f t="shared" si="261"/>
        <v>0</v>
      </c>
      <c r="DV12" s="41">
        <f t="shared" si="261"/>
        <v>0</v>
      </c>
      <c r="DW12" s="41">
        <f t="shared" si="261"/>
        <v>0</v>
      </c>
      <c r="DX12" s="41">
        <f t="shared" si="261"/>
        <v>0</v>
      </c>
      <c r="DY12" s="41">
        <f t="shared" si="261"/>
        <v>0</v>
      </c>
      <c r="DZ12" s="41">
        <f t="shared" si="261"/>
        <v>0</v>
      </c>
      <c r="EA12" s="41">
        <f t="shared" si="261"/>
        <v>81361664999.999985</v>
      </c>
      <c r="EB12" s="41">
        <f t="shared" si="261"/>
        <v>16272332999.999998</v>
      </c>
      <c r="EC12" s="41">
        <f t="shared" si="261"/>
        <v>0</v>
      </c>
      <c r="ED12" s="41">
        <f t="shared" si="261"/>
        <v>0</v>
      </c>
      <c r="EE12" s="41">
        <f t="shared" si="261"/>
        <v>0</v>
      </c>
      <c r="EF12" s="41">
        <f t="shared" si="261"/>
        <v>0</v>
      </c>
      <c r="EG12" s="41">
        <f t="shared" si="261"/>
        <v>0</v>
      </c>
      <c r="EH12" s="41">
        <f t="shared" si="261"/>
        <v>0</v>
      </c>
      <c r="EI12" s="41">
        <f t="shared" si="261"/>
        <v>0</v>
      </c>
      <c r="EJ12" s="41">
        <f t="shared" si="261"/>
        <v>0</v>
      </c>
      <c r="EK12" s="41">
        <f t="shared" si="261"/>
        <v>0</v>
      </c>
      <c r="EL12" s="41">
        <f t="shared" si="261"/>
        <v>0</v>
      </c>
      <c r="EM12" s="41">
        <f t="shared" si="261"/>
        <v>0</v>
      </c>
      <c r="EN12" s="41">
        <f t="shared" si="261"/>
        <v>0</v>
      </c>
      <c r="EO12" s="41">
        <f t="shared" si="261"/>
        <v>0</v>
      </c>
      <c r="EP12" s="41">
        <f t="shared" si="261"/>
        <v>0</v>
      </c>
      <c r="EQ12" s="41">
        <f t="shared" si="261"/>
        <v>0</v>
      </c>
      <c r="ER12" s="41">
        <f t="shared" si="261"/>
        <v>0</v>
      </c>
      <c r="ES12" s="41">
        <f t="shared" si="261"/>
        <v>0</v>
      </c>
      <c r="ET12" s="41">
        <f t="shared" si="261"/>
        <v>0</v>
      </c>
      <c r="EU12" s="41">
        <f t="shared" si="261"/>
        <v>0</v>
      </c>
      <c r="EV12" s="41">
        <f t="shared" si="261"/>
        <v>0</v>
      </c>
      <c r="EW12" s="41">
        <f t="shared" si="261"/>
        <v>0</v>
      </c>
      <c r="EX12" s="41">
        <f t="shared" si="261"/>
        <v>0</v>
      </c>
      <c r="EY12" s="41">
        <f t="shared" si="261"/>
        <v>0</v>
      </c>
      <c r="EZ12" s="41">
        <f t="shared" ref="EZ12:FJ12" si="262">SUM(EZ8:EZ11)</f>
        <v>0</v>
      </c>
      <c r="FA12" s="41">
        <f t="shared" si="262"/>
        <v>0</v>
      </c>
      <c r="FB12" s="41">
        <f t="shared" si="262"/>
        <v>0</v>
      </c>
      <c r="FC12" s="41">
        <f t="shared" si="262"/>
        <v>0</v>
      </c>
      <c r="FD12" s="41">
        <f t="shared" si="262"/>
        <v>0</v>
      </c>
      <c r="FE12" s="41">
        <f t="shared" si="262"/>
        <v>0</v>
      </c>
      <c r="FF12" s="41">
        <f t="shared" si="262"/>
        <v>0</v>
      </c>
      <c r="FG12" s="41">
        <f t="shared" si="262"/>
        <v>0</v>
      </c>
      <c r="FH12" s="41">
        <f t="shared" si="262"/>
        <v>0</v>
      </c>
      <c r="FI12" s="41">
        <f t="shared" si="262"/>
        <v>0</v>
      </c>
      <c r="FJ12" s="41">
        <f t="shared" si="262"/>
        <v>0</v>
      </c>
      <c r="FK12" s="41"/>
      <c r="FL12" s="41">
        <f t="shared" ref="FL12:GY12" si="263">SUM(FL8:FL11)</f>
        <v>0</v>
      </c>
      <c r="FM12" s="41">
        <f t="shared" si="263"/>
        <v>0</v>
      </c>
      <c r="FN12" s="41">
        <f t="shared" si="263"/>
        <v>0</v>
      </c>
      <c r="FO12" s="41">
        <f t="shared" si="263"/>
        <v>0</v>
      </c>
      <c r="FP12" s="41">
        <f t="shared" si="263"/>
        <v>0</v>
      </c>
      <c r="FQ12" s="41">
        <f t="shared" si="263"/>
        <v>0</v>
      </c>
      <c r="FR12" s="41">
        <f t="shared" si="263"/>
        <v>0</v>
      </c>
      <c r="FS12" s="41">
        <f t="shared" si="263"/>
        <v>0</v>
      </c>
      <c r="FT12" s="41">
        <f t="shared" si="263"/>
        <v>0</v>
      </c>
      <c r="FU12" s="41">
        <f t="shared" si="263"/>
        <v>0</v>
      </c>
      <c r="FV12" s="41">
        <f t="shared" si="263"/>
        <v>0</v>
      </c>
      <c r="FW12" s="41">
        <f t="shared" si="263"/>
        <v>0</v>
      </c>
      <c r="FX12" s="41">
        <f t="shared" si="263"/>
        <v>193155731999.99997</v>
      </c>
      <c r="FY12" s="41">
        <f t="shared" si="263"/>
        <v>48288933000</v>
      </c>
      <c r="FZ12" s="41">
        <f t="shared" si="263"/>
        <v>96577866000</v>
      </c>
      <c r="GA12" s="41">
        <f t="shared" si="263"/>
        <v>0</v>
      </c>
      <c r="GB12" s="41">
        <f t="shared" si="263"/>
        <v>257557497000</v>
      </c>
      <c r="GC12" s="41">
        <f t="shared" si="263"/>
        <v>72760343000</v>
      </c>
      <c r="GD12" s="41">
        <f t="shared" si="263"/>
        <v>112036811000</v>
      </c>
      <c r="GE12" s="41">
        <f t="shared" si="263"/>
        <v>33483875000</v>
      </c>
      <c r="GF12" s="41">
        <f t="shared" si="263"/>
        <v>408980963000</v>
      </c>
      <c r="GG12" s="41">
        <f t="shared" si="263"/>
        <v>32544665999.999996</v>
      </c>
      <c r="GH12" s="41">
        <f t="shared" si="263"/>
        <v>65089331999.999992</v>
      </c>
      <c r="GI12" s="41">
        <f t="shared" si="263"/>
        <v>0</v>
      </c>
      <c r="GJ12" s="41">
        <f t="shared" si="263"/>
        <v>117829404000</v>
      </c>
      <c r="GK12" s="41">
        <f t="shared" si="263"/>
        <v>0</v>
      </c>
      <c r="GL12" s="41">
        <f t="shared" si="263"/>
        <v>0</v>
      </c>
      <c r="GM12" s="41">
        <f t="shared" si="263"/>
        <v>0</v>
      </c>
      <c r="GN12" s="41">
        <f t="shared" si="263"/>
        <v>97633997999.999985</v>
      </c>
      <c r="GO12" s="41">
        <f t="shared" si="263"/>
        <v>0</v>
      </c>
      <c r="GP12" s="41">
        <f t="shared" si="263"/>
        <v>0</v>
      </c>
      <c r="GQ12" s="41">
        <f t="shared" si="263"/>
        <v>0</v>
      </c>
      <c r="GR12" s="41">
        <f t="shared" si="263"/>
        <v>0</v>
      </c>
      <c r="GS12" s="41">
        <f t="shared" si="263"/>
        <v>0</v>
      </c>
      <c r="GT12" s="41">
        <f t="shared" si="263"/>
        <v>0</v>
      </c>
      <c r="GU12" s="41">
        <f t="shared" si="263"/>
        <v>0</v>
      </c>
      <c r="GV12" s="41">
        <f t="shared" si="263"/>
        <v>0</v>
      </c>
      <c r="GW12" s="41">
        <f t="shared" si="263"/>
        <v>0</v>
      </c>
      <c r="GX12" s="41">
        <f t="shared" si="263"/>
        <v>0</v>
      </c>
      <c r="GY12" s="41">
        <f t="shared" si="263"/>
        <v>0</v>
      </c>
    </row>
    <row r="16" spans="1:207" ht="12.75" customHeight="1">
      <c r="EY16" s="487"/>
    </row>
    <row r="18" spans="28:166" ht="12.75" customHeight="1">
      <c r="AB18" s="182"/>
      <c r="AC18" s="182"/>
      <c r="AD18" s="182"/>
      <c r="AE18" s="182"/>
      <c r="AF18" s="182"/>
      <c r="AG18" s="182"/>
      <c r="AH18" s="182"/>
      <c r="AI18" s="182"/>
      <c r="AJ18" s="182"/>
      <c r="AK18" s="182"/>
      <c r="AL18" s="182"/>
      <c r="AM18" s="182"/>
      <c r="AN18" s="182"/>
      <c r="AO18" s="182"/>
      <c r="AP18" s="182"/>
      <c r="AQ18" s="182"/>
      <c r="AR18" s="182"/>
      <c r="AS18" s="182"/>
      <c r="AT18" s="182"/>
      <c r="AU18" s="182"/>
      <c r="AV18" s="182"/>
      <c r="AW18" s="182"/>
      <c r="AX18" s="182"/>
      <c r="AY18" s="182"/>
      <c r="AZ18" s="182"/>
      <c r="BA18" s="182"/>
      <c r="BB18" s="182"/>
      <c r="BC18" s="182"/>
      <c r="BD18" s="182"/>
      <c r="BE18" s="182"/>
      <c r="BF18" s="182"/>
      <c r="BG18" s="182"/>
      <c r="BH18" s="182"/>
      <c r="BI18" s="182"/>
      <c r="BJ18" s="182"/>
      <c r="BK18" s="182"/>
      <c r="BL18" s="182"/>
      <c r="BM18" s="182"/>
      <c r="BN18" s="182"/>
      <c r="BO18" s="182"/>
      <c r="BP18" s="182"/>
      <c r="BQ18" s="182"/>
      <c r="BR18" s="182"/>
      <c r="BS18" s="182"/>
      <c r="BT18" s="182"/>
      <c r="BU18" s="182"/>
      <c r="BV18" s="182"/>
      <c r="BW18" s="182"/>
      <c r="BX18" s="182"/>
      <c r="BY18" s="182"/>
      <c r="BZ18" s="182"/>
      <c r="CA18" s="182"/>
      <c r="CB18" s="182"/>
      <c r="CC18" s="182"/>
      <c r="CD18" s="182"/>
      <c r="CE18" s="182"/>
      <c r="CF18" s="182"/>
      <c r="CG18" s="182"/>
      <c r="CH18" s="182"/>
      <c r="CI18" s="182"/>
      <c r="CJ18" s="182"/>
      <c r="CK18" s="182"/>
      <c r="CL18" s="182"/>
      <c r="CM18" s="182"/>
      <c r="CN18" s="182"/>
      <c r="CO18" s="182"/>
      <c r="CP18" s="182"/>
      <c r="CQ18" s="182"/>
      <c r="CR18" s="182"/>
      <c r="CS18" s="182"/>
      <c r="CT18" s="182"/>
      <c r="CU18" s="182"/>
      <c r="CV18" s="182"/>
      <c r="CW18" s="182"/>
      <c r="CX18" s="182"/>
      <c r="CY18" s="182"/>
      <c r="CZ18" s="182"/>
      <c r="DA18" s="182"/>
      <c r="DB18" s="182"/>
      <c r="DC18" s="182"/>
      <c r="DD18" s="182"/>
      <c r="DE18" s="182"/>
      <c r="DF18" s="182"/>
      <c r="DG18" s="182"/>
      <c r="DH18" s="182"/>
      <c r="DI18" s="182"/>
      <c r="DJ18" s="182"/>
      <c r="DK18" s="182"/>
      <c r="DL18" s="182"/>
      <c r="DM18" s="182"/>
      <c r="DN18" s="182"/>
      <c r="DO18" s="182"/>
      <c r="DP18" s="182"/>
      <c r="DQ18" s="182"/>
      <c r="DR18" s="182"/>
      <c r="DS18" s="182"/>
      <c r="DT18" s="182"/>
      <c r="DU18" s="182"/>
      <c r="DV18" s="182"/>
      <c r="DW18" s="182"/>
      <c r="DX18" s="182"/>
      <c r="DY18" s="182"/>
      <c r="DZ18" s="182"/>
      <c r="EA18" s="182"/>
      <c r="EB18" s="182"/>
      <c r="EC18" s="182"/>
      <c r="ED18" s="182"/>
      <c r="EE18" s="182"/>
      <c r="EF18" s="182"/>
      <c r="EG18" s="182"/>
      <c r="EH18" s="182"/>
      <c r="EI18" s="182"/>
      <c r="EJ18" s="182"/>
      <c r="EK18" s="182"/>
      <c r="EL18" s="182"/>
      <c r="EM18" s="182"/>
      <c r="EN18" s="182"/>
      <c r="EO18" s="182"/>
      <c r="EP18" s="182"/>
      <c r="EQ18" s="182"/>
      <c r="ER18" s="182"/>
      <c r="ES18" s="182"/>
      <c r="ET18" s="182"/>
      <c r="EU18" s="182"/>
      <c r="EV18" s="182"/>
      <c r="EW18" s="182"/>
      <c r="EX18" s="182"/>
      <c r="EY18" s="182"/>
      <c r="EZ18" s="182"/>
      <c r="FA18" s="182"/>
      <c r="FB18" s="182"/>
      <c r="FC18" s="182"/>
      <c r="FD18" s="182"/>
      <c r="FE18" s="182"/>
      <c r="FF18" s="182"/>
      <c r="FG18" s="182"/>
      <c r="FH18" s="182"/>
      <c r="FI18" s="182"/>
      <c r="FJ18" s="182"/>
    </row>
  </sheetData>
  <autoFilter ref="A2:GY12" xr:uid="{00000000-0001-0000-0300-000000000000}"/>
  <mergeCells count="7">
    <mergeCell ref="R3:Z3"/>
    <mergeCell ref="B1:O1"/>
    <mergeCell ref="B3:B4"/>
    <mergeCell ref="C3:C4"/>
    <mergeCell ref="I3:I4"/>
    <mergeCell ref="J3:J4"/>
    <mergeCell ref="K3:P3"/>
  </mergeCells>
  <phoneticPr fontId="50" type="noConversion"/>
  <conditionalFormatting sqref="B8:I11">
    <cfRule type="expression" dxfId="5" priority="3">
      <formula>#REF!=0</formula>
    </cfRule>
  </conditionalFormatting>
  <conditionalFormatting sqref="Q8:Q11 Z8:GY11">
    <cfRule type="cellIs" dxfId="4" priority="4" operator="equal">
      <formula>44228</formula>
    </cfRule>
    <cfRule type="cellIs" dxfId="3" priority="5" operator="equal">
      <formula>43862</formula>
    </cfRule>
  </conditionalFormatting>
  <conditionalFormatting sqref="S12 U12:V12">
    <cfRule type="cellIs" dxfId="2" priority="268" operator="equal">
      <formula>44228</formula>
    </cfRule>
    <cfRule type="cellIs" dxfId="1" priority="269" operator="equal">
      <formula>43862</formula>
    </cfRule>
  </conditionalFormatting>
  <pageMargins left="0.33" right="0.21" top="0.75" bottom="0.75" header="0.3" footer="0.3"/>
  <pageSetup paperSize="9" scale="10" fitToHeight="0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2"/>
  <sheetViews>
    <sheetView showGridLines="0" topLeftCell="B1" zoomScaleNormal="100" workbookViewId="0">
      <pane ySplit="5" topLeftCell="A6" activePane="bottomLeft" state="frozen"/>
      <selection pane="bottomLeft" activeCell="H38" sqref="H38"/>
    </sheetView>
  </sheetViews>
  <sheetFormatPr defaultColWidth="10.453125" defaultRowHeight="14"/>
  <cols>
    <col min="1" max="1" width="6.453125" style="48" bestFit="1" customWidth="1"/>
    <col min="2" max="2" width="42.26953125" style="48" customWidth="1"/>
    <col min="3" max="3" width="17.26953125" style="48" bestFit="1" customWidth="1"/>
    <col min="4" max="4" width="22" style="48" bestFit="1" customWidth="1"/>
    <col min="5" max="6" width="24" style="48" bestFit="1" customWidth="1"/>
    <col min="7" max="8" width="19.453125" style="48" bestFit="1" customWidth="1"/>
    <col min="9" max="16384" width="10.453125" style="48"/>
  </cols>
  <sheetData>
    <row r="1" spans="1:9" s="1" customFormat="1" ht="25">
      <c r="A1" s="630" t="s">
        <v>138</v>
      </c>
      <c r="B1" s="633"/>
      <c r="C1" s="633"/>
      <c r="D1" s="633"/>
    </row>
    <row r="2" spans="1:9" s="1" customFormat="1" ht="15.5">
      <c r="A2" s="634"/>
      <c r="B2" s="635"/>
      <c r="C2" s="635"/>
      <c r="D2" s="635"/>
    </row>
    <row r="3" spans="1:9" s="1" customFormat="1" ht="17.5">
      <c r="A3" s="636"/>
      <c r="B3" s="637"/>
      <c r="C3" s="637"/>
      <c r="D3" s="637"/>
    </row>
    <row r="4" spans="1:9">
      <c r="A4" s="47"/>
      <c r="B4" s="47"/>
      <c r="C4" s="47"/>
      <c r="D4" s="47"/>
    </row>
    <row r="5" spans="1:9" s="62" customFormat="1" ht="17.5">
      <c r="A5" s="554" t="s">
        <v>48</v>
      </c>
      <c r="B5" s="143" t="s">
        <v>139</v>
      </c>
      <c r="C5" s="143" t="s">
        <v>140</v>
      </c>
      <c r="D5" s="143" t="s">
        <v>55</v>
      </c>
      <c r="E5" s="143" t="str">
        <f>'5. KHBH'!C8</f>
        <v>Nhà ở xã hội 1</v>
      </c>
      <c r="F5" s="143" t="str">
        <f>'5. KHBH'!C9</f>
        <v>Nhà ở xã hội 2</v>
      </c>
      <c r="G5" s="143" t="str">
        <f>'5. KHBH'!C10</f>
        <v>Nhà ở xã hội 3</v>
      </c>
      <c r="H5" s="143" t="str">
        <f>'5. KHBH'!C11</f>
        <v>Liền kề 1</v>
      </c>
    </row>
    <row r="6" spans="1:9" s="49" customFormat="1" ht="15.5">
      <c r="A6" s="144" t="s">
        <v>1</v>
      </c>
      <c r="B6" s="144" t="s">
        <v>141</v>
      </c>
      <c r="C6" s="145"/>
      <c r="D6" s="145"/>
      <c r="E6" s="145"/>
      <c r="F6" s="145"/>
      <c r="G6" s="145"/>
      <c r="H6" s="145"/>
    </row>
    <row r="7" spans="1:9" s="49" customFormat="1" ht="15.5">
      <c r="A7" s="334"/>
      <c r="B7" s="335" t="s">
        <v>142</v>
      </c>
      <c r="C7" s="334"/>
      <c r="D7" s="335">
        <f>SUM(E7:H7)</f>
        <v>11253.26</v>
      </c>
      <c r="E7" s="335">
        <f>'5. KHBH'!L8</f>
        <v>2787.24</v>
      </c>
      <c r="F7" s="335">
        <f>'5. KHBH'!L9</f>
        <v>2267.04</v>
      </c>
      <c r="G7" s="335">
        <f>'5. KHBH'!L10</f>
        <v>1878.48</v>
      </c>
      <c r="H7" s="335">
        <f>'5. KHBH'!L11</f>
        <v>4320.5</v>
      </c>
    </row>
    <row r="8" spans="1:9" s="49" customFormat="1" ht="15.5">
      <c r="A8" s="336"/>
      <c r="B8" s="337" t="s">
        <v>143</v>
      </c>
      <c r="C8" s="336"/>
      <c r="D8" s="338">
        <f>SUM(E8:H8)</f>
        <v>1</v>
      </c>
      <c r="E8" s="339">
        <f t="shared" ref="E8:H8" si="0">E7/$D$7</f>
        <v>0.24768289366814591</v>
      </c>
      <c r="F8" s="339">
        <f t="shared" si="0"/>
        <v>0.20145628911088875</v>
      </c>
      <c r="G8" s="339">
        <f t="shared" ref="G8" si="1">G7/$D$7</f>
        <v>0.16692762808288442</v>
      </c>
      <c r="H8" s="339">
        <f t="shared" si="0"/>
        <v>0.38393318913808089</v>
      </c>
    </row>
    <row r="9" spans="1:9" s="50" customFormat="1" ht="15">
      <c r="A9" s="340" t="s">
        <v>18</v>
      </c>
      <c r="B9" s="340" t="s">
        <v>144</v>
      </c>
      <c r="C9" s="341" t="s">
        <v>54</v>
      </c>
      <c r="D9" s="342" t="s">
        <v>55</v>
      </c>
      <c r="E9" s="343"/>
      <c r="F9" s="343"/>
      <c r="G9" s="343"/>
      <c r="H9" s="343"/>
    </row>
    <row r="10" spans="1:9" s="49" customFormat="1" ht="15">
      <c r="A10" s="344">
        <v>1</v>
      </c>
      <c r="B10" s="346" t="str">
        <f>'2. CPxaydung'!B6</f>
        <v>Chi phí xây dựng, thiết bị</v>
      </c>
      <c r="C10" s="344"/>
      <c r="D10" s="345">
        <f>SUM(D11:D13)</f>
        <v>868240281818.18188</v>
      </c>
      <c r="E10" s="345">
        <f>SUM(E11:E13)</f>
        <v>312832419338.21155</v>
      </c>
      <c r="F10" s="345">
        <f>SUM(F11:F13)</f>
        <v>254446552121.9913</v>
      </c>
      <c r="G10" s="345">
        <f>SUM(G11:G13)</f>
        <v>210835609089.43741</v>
      </c>
      <c r="H10" s="345">
        <f>SUM(H11:H13)</f>
        <v>90125701268.541534</v>
      </c>
      <c r="I10" s="179">
        <f>D10-'3. TMDT'!E7</f>
        <v>0</v>
      </c>
    </row>
    <row r="11" spans="1:9" s="49" customFormat="1" ht="15.5">
      <c r="A11" s="344"/>
      <c r="B11" s="498" t="s">
        <v>59</v>
      </c>
      <c r="C11" s="499"/>
      <c r="D11" s="500">
        <f>'2. CPxaydung'!G7</f>
        <v>28275454545.454544</v>
      </c>
      <c r="E11" s="500">
        <f>$D$11*E8</f>
        <v>7003346401.6003113</v>
      </c>
      <c r="F11" s="500">
        <f>$D$11*F8</f>
        <v>5696268145.6508846</v>
      </c>
      <c r="G11" s="500">
        <f>$D$11*G8</f>
        <v>4719954560.2381401</v>
      </c>
      <c r="H11" s="500">
        <f>$D$11*H8</f>
        <v>10855885437.965208</v>
      </c>
      <c r="I11" s="179"/>
    </row>
    <row r="12" spans="1:9" s="49" customFormat="1" ht="15.5">
      <c r="A12" s="344"/>
      <c r="B12" s="498" t="s">
        <v>60</v>
      </c>
      <c r="C12" s="499"/>
      <c r="D12" s="500">
        <f>'2. CPxaydung'!G8</f>
        <v>786973636363.63635</v>
      </c>
      <c r="E12" s="500">
        <f>$D$12*E20/SUM($E$20:$H$20)</f>
        <v>292704061433.32642</v>
      </c>
      <c r="F12" s="500">
        <f>$D$12*F20/SUM($E$20:$H$20)</f>
        <v>238074875300.2283</v>
      </c>
      <c r="G12" s="500">
        <f>$D$12*G20/SUM($E$20:$H$20)</f>
        <v>197269960721.45743</v>
      </c>
      <c r="H12" s="500">
        <f>$D$12*H20/SUM($E$20:$H$20)</f>
        <v>58924738908.624176</v>
      </c>
      <c r="I12" s="179"/>
    </row>
    <row r="13" spans="1:9" s="49" customFormat="1" ht="15.5">
      <c r="A13" s="344"/>
      <c r="B13" s="498" t="s">
        <v>61</v>
      </c>
      <c r="C13" s="499"/>
      <c r="D13" s="500">
        <f>'2. CPxaydung'!G9</f>
        <v>52991190909.090904</v>
      </c>
      <c r="E13" s="500">
        <f>$D$13*E8</f>
        <v>13125011503.284782</v>
      </c>
      <c r="F13" s="500">
        <f t="shared" ref="F13:H13" si="2">$D$13*F8</f>
        <v>10675408676.112118</v>
      </c>
      <c r="G13" s="500">
        <f t="shared" si="2"/>
        <v>8845693807.7418518</v>
      </c>
      <c r="H13" s="500">
        <f t="shared" si="2"/>
        <v>20345076921.952152</v>
      </c>
      <c r="I13" s="179"/>
    </row>
    <row r="14" spans="1:9" s="49" customFormat="1" ht="15.5">
      <c r="A14" s="344">
        <v>2</v>
      </c>
      <c r="B14" s="346" t="str">
        <f>'2. CPxaydung'!B10</f>
        <v>Chi phí quản lý dự án + tư vấn + khác</v>
      </c>
      <c r="C14" s="347"/>
      <c r="D14" s="345">
        <f>'2. CPxaydung'!G10</f>
        <v>0</v>
      </c>
      <c r="E14" s="345">
        <f t="shared" ref="E14:H17" si="3">$D14*E$8</f>
        <v>0</v>
      </c>
      <c r="F14" s="345">
        <f t="shared" si="3"/>
        <v>0</v>
      </c>
      <c r="G14" s="345">
        <f t="shared" si="3"/>
        <v>0</v>
      </c>
      <c r="H14" s="345">
        <f t="shared" si="3"/>
        <v>0</v>
      </c>
      <c r="I14" s="179">
        <f>'3. TMDT'!E8-'6. PBChiPhi'!D14</f>
        <v>0</v>
      </c>
    </row>
    <row r="15" spans="1:9" s="49" customFormat="1" ht="15">
      <c r="A15" s="344">
        <v>3</v>
      </c>
      <c r="B15" s="346" t="str">
        <f>'2. CPxaydung'!B11</f>
        <v>Chi phí dự phòng</v>
      </c>
      <c r="C15" s="459"/>
      <c r="D15" s="345">
        <f>'2. CPxaydung'!G11</f>
        <v>130934107459.30907</v>
      </c>
      <c r="E15" s="345">
        <f t="shared" si="3"/>
        <v>32430138615.37764</v>
      </c>
      <c r="F15" s="345">
        <f t="shared" si="3"/>
        <v>26377499406.798744</v>
      </c>
      <c r="G15" s="345">
        <f t="shared" si="3"/>
        <v>21856519993.331966</v>
      </c>
      <c r="H15" s="345">
        <f t="shared" si="3"/>
        <v>50269949443.800713</v>
      </c>
      <c r="I15" s="179">
        <f>D15-'3. TMDT'!E9</f>
        <v>0</v>
      </c>
    </row>
    <row r="16" spans="1:9" ht="15">
      <c r="A16" s="413">
        <v>4</v>
      </c>
      <c r="B16" s="414" t="str">
        <f>'3. TMDT'!B10</f>
        <v>Chi phí GPMB và tiền sử dụng đất</v>
      </c>
      <c r="C16" s="460"/>
      <c r="D16" s="415">
        <f>'3. TMDT'!E10</f>
        <v>43014372094</v>
      </c>
      <c r="E16" s="345">
        <f t="shared" si="3"/>
        <v>10653924149.560265</v>
      </c>
      <c r="F16" s="345">
        <f t="shared" si="3"/>
        <v>8665515780.4922085</v>
      </c>
      <c r="G16" s="345">
        <f t="shared" si="3"/>
        <v>7180287107.1260338</v>
      </c>
      <c r="H16" s="345">
        <f t="shared" si="3"/>
        <v>16514645056.821491</v>
      </c>
      <c r="I16" s="178">
        <f>D16-'3. TMDT'!E10</f>
        <v>0</v>
      </c>
    </row>
    <row r="17" spans="1:9" s="49" customFormat="1" ht="15">
      <c r="A17" s="344">
        <v>5</v>
      </c>
      <c r="B17" s="348" t="str">
        <f>'3. TMDT'!B14</f>
        <v>Lãi vay trong giai đoạn xây dựng</v>
      </c>
      <c r="C17" s="344"/>
      <c r="D17" s="345">
        <f>'3. TMDT'!E14</f>
        <v>45017369783.67189</v>
      </c>
      <c r="E17" s="345">
        <f t="shared" si="3"/>
        <v>11150032413.34881</v>
      </c>
      <c r="F17" s="345">
        <f t="shared" si="3"/>
        <v>9069032262.1511917</v>
      </c>
      <c r="G17" s="345">
        <f t="shared" si="3"/>
        <v>7514642760.5184603</v>
      </c>
      <c r="H17" s="345">
        <f t="shared" si="3"/>
        <v>17283662347.653427</v>
      </c>
      <c r="I17" s="179">
        <f>D17-'3. TMDT'!E14</f>
        <v>0</v>
      </c>
    </row>
    <row r="18" spans="1:9" s="49" customFormat="1" ht="15.5">
      <c r="A18" s="71"/>
      <c r="B18" s="72"/>
      <c r="C18" s="71"/>
      <c r="D18" s="73"/>
      <c r="E18" s="73"/>
      <c r="F18" s="73"/>
      <c r="G18" s="73"/>
      <c r="H18" s="73"/>
    </row>
    <row r="19" spans="1:9" ht="15">
      <c r="A19" s="349"/>
      <c r="B19" s="350" t="s">
        <v>145</v>
      </c>
      <c r="C19" s="349"/>
      <c r="D19" s="351">
        <f>SUM(E19:H19)</f>
        <v>1087206131155.1628</v>
      </c>
      <c r="E19" s="351">
        <f>E10+SUM(E14:E17)</f>
        <v>367066514516.49829</v>
      </c>
      <c r="F19" s="351">
        <f>F10+SUM(F14:F17)</f>
        <v>298558599571.43347</v>
      </c>
      <c r="G19" s="351">
        <f>G10+SUM(G14:G17)</f>
        <v>247387058950.41388</v>
      </c>
      <c r="H19" s="351">
        <f>H10+SUM(H14:H17)</f>
        <v>174193958116.81717</v>
      </c>
    </row>
    <row r="20" spans="1:9" ht="15">
      <c r="A20" s="229"/>
      <c r="B20" s="230" t="s">
        <v>119</v>
      </c>
      <c r="C20" s="229"/>
      <c r="D20" s="231"/>
      <c r="E20" s="228">
        <f>'5. KHBH'!M8</f>
        <v>21461.747999999996</v>
      </c>
      <c r="F20" s="228">
        <f>'5. KHBH'!M9</f>
        <v>17456.207999999999</v>
      </c>
      <c r="G20" s="228">
        <f>'5. KHBH'!M10</f>
        <v>14464.295999999998</v>
      </c>
      <c r="H20" s="228">
        <f>'5. KHBH'!M11</f>
        <v>4320.5</v>
      </c>
    </row>
    <row r="21" spans="1:9">
      <c r="B21" s="48" t="s">
        <v>146</v>
      </c>
      <c r="E21" s="493">
        <f>E19/E20</f>
        <v>17103290.678676236</v>
      </c>
      <c r="F21" s="493">
        <f>F19/F20</f>
        <v>17103290.678676233</v>
      </c>
      <c r="G21" s="493">
        <f>G19/G20</f>
        <v>17103290.678676233</v>
      </c>
      <c r="H21" s="493">
        <f>H19/H20</f>
        <v>40318009.0537709</v>
      </c>
    </row>
    <row r="22" spans="1:9">
      <c r="B22" s="502" t="s">
        <v>147</v>
      </c>
      <c r="C22" s="502"/>
      <c r="D22" s="503">
        <f>'7. P&amp;L TOÀN DỰ ÁN'!C19</f>
        <v>27926171272.727272</v>
      </c>
      <c r="E22" s="504">
        <f>$D$22*'5. KHBH'!P8/'5. KHBH'!$P$12</f>
        <v>8779805999.9999981</v>
      </c>
      <c r="F22" s="504">
        <f>$D$22*'5. KHBH'!P9/'5. KHBH'!$P$12</f>
        <v>7141176000</v>
      </c>
      <c r="G22" s="504">
        <f>$D$22*'5. KHBH'!P10/'5. KHBH'!$P$12</f>
        <v>5917211999.999999</v>
      </c>
      <c r="H22" s="504">
        <f>$D$22*'5. KHBH'!P11/'5. KHBH'!$P$12</f>
        <v>6087977272.727273</v>
      </c>
    </row>
    <row r="23" spans="1:9">
      <c r="B23" s="48" t="s">
        <v>148</v>
      </c>
      <c r="E23" s="501">
        <f>E22/E20</f>
        <v>409090.90909090906</v>
      </c>
      <c r="F23" s="501">
        <f>F22/F20</f>
        <v>409090.90909090912</v>
      </c>
      <c r="G23" s="501">
        <f>G22/G20</f>
        <v>409090.90909090906</v>
      </c>
      <c r="H23" s="501">
        <f>H22/H20</f>
        <v>1409090.9090909092</v>
      </c>
    </row>
    <row r="24" spans="1:9">
      <c r="B24" s="502" t="s">
        <v>149</v>
      </c>
      <c r="D24" s="503">
        <f>'7. P&amp;L TOÀN DỰ ÁN'!C21</f>
        <v>34643888075.743629</v>
      </c>
      <c r="E24" s="503">
        <f>$D$24*'5. KHBH'!P8/'5. KHBH'!$P$12</f>
        <v>10891812322.578991</v>
      </c>
      <c r="F24" s="503">
        <f>$D$24*'5. KHBH'!P9/'5. KHBH'!$P$12</f>
        <v>8859005398.8101063</v>
      </c>
      <c r="G24" s="503">
        <f>$D$24*'5. KHBH'!P10/'5. KHBH'!$P$12</f>
        <v>7340613514.3432865</v>
      </c>
      <c r="H24" s="503">
        <f>$D$24*'5. KHBH'!P11/'5. KHBH'!$P$12</f>
        <v>7552456840.0112429</v>
      </c>
    </row>
    <row r="25" spans="1:9">
      <c r="B25" s="48" t="s">
        <v>150</v>
      </c>
      <c r="E25" s="493">
        <f>E24/E20</f>
        <v>507498.84504183877</v>
      </c>
      <c r="F25" s="493">
        <f>F24/F20</f>
        <v>507498.84504183882</v>
      </c>
      <c r="G25" s="493">
        <f>G24/G20</f>
        <v>507498.84504183871</v>
      </c>
      <c r="H25" s="493">
        <f>H24/H20</f>
        <v>1748051.5773663332</v>
      </c>
    </row>
    <row r="26" spans="1:9">
      <c r="B26" s="502" t="s">
        <v>151</v>
      </c>
      <c r="D26" s="503">
        <f>'7. P&amp;L TOÀN DỰ ÁN'!C20</f>
        <v>27926171272.727272</v>
      </c>
      <c r="E26" s="503">
        <f>$D$26*'5. KHBH'!P8/'5. KHBH'!$P$12</f>
        <v>8779805999.9999981</v>
      </c>
      <c r="F26" s="503">
        <f>$D$26*'5. KHBH'!P9/'5. KHBH'!$P$12</f>
        <v>7141176000</v>
      </c>
      <c r="G26" s="503">
        <f>$D$26*'5. KHBH'!P10/'5. KHBH'!$P$12</f>
        <v>5917211999.999999</v>
      </c>
      <c r="H26" s="503">
        <f>$D$26*'5. KHBH'!P11/'5. KHBH'!$P$12</f>
        <v>6087977272.727273</v>
      </c>
    </row>
    <row r="27" spans="1:9">
      <c r="E27" s="501">
        <f>E26/E20</f>
        <v>409090.90909090906</v>
      </c>
      <c r="F27" s="501">
        <f>F26/F20</f>
        <v>409090.90909090912</v>
      </c>
      <c r="G27" s="501">
        <f>G26/G20</f>
        <v>409090.90909090906</v>
      </c>
      <c r="H27" s="501">
        <f>H26/H20</f>
        <v>1409090.9090909092</v>
      </c>
    </row>
    <row r="28" spans="1:9">
      <c r="B28" s="506" t="s">
        <v>152</v>
      </c>
      <c r="C28" s="506"/>
      <c r="D28" s="506"/>
      <c r="E28" s="507">
        <f>E21+E23+E25+E27</f>
        <v>18428971.341899894</v>
      </c>
      <c r="F28" s="507">
        <f>F21+F23+F25+F27</f>
        <v>18428971.34189989</v>
      </c>
      <c r="G28" s="507">
        <f>G21+G23+G25+G27</f>
        <v>18428971.34189989</v>
      </c>
      <c r="H28" s="507">
        <f>H21+H23+H25+H27</f>
        <v>44884242.449319042</v>
      </c>
    </row>
    <row r="29" spans="1:9">
      <c r="F29" s="505">
        <f>F28*1.1</f>
        <v>20271868.47608988</v>
      </c>
    </row>
    <row r="30" spans="1:9">
      <c r="E30" s="505">
        <f>+E21+E23+E25+E27</f>
        <v>18428971.341899894</v>
      </c>
      <c r="F30" s="505">
        <f>F29*1.1</f>
        <v>22299055.323698871</v>
      </c>
    </row>
    <row r="31" spans="1:9">
      <c r="E31" s="493">
        <f>+E30*1.1</f>
        <v>20271868.476089884</v>
      </c>
    </row>
    <row r="32" spans="1:9">
      <c r="E32" s="493">
        <f>+E31*1.1</f>
        <v>22299055.323698875</v>
      </c>
    </row>
  </sheetData>
  <mergeCells count="3">
    <mergeCell ref="A1:D1"/>
    <mergeCell ref="A2:D2"/>
    <mergeCell ref="A3:D3"/>
  </mergeCells>
  <pageMargins left="0.7" right="0.7" top="0.75" bottom="0.75" header="0.3" footer="0.3"/>
  <pageSetup paperSize="9" orientation="portrait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GB34"/>
  <sheetViews>
    <sheetView showGridLines="0" topLeftCell="A9" zoomScaleNormal="100" workbookViewId="0">
      <selection activeCell="D32" sqref="D32"/>
    </sheetView>
  </sheetViews>
  <sheetFormatPr defaultColWidth="27.7265625" defaultRowHeight="14" outlineLevelCol="1"/>
  <cols>
    <col min="1" max="1" width="8.54296875" style="208" bestFit="1" customWidth="1"/>
    <col min="2" max="2" width="28.7265625" style="210" customWidth="1"/>
    <col min="3" max="3" width="23.54296875" style="208" bestFit="1" customWidth="1"/>
    <col min="4" max="4" width="15" style="208" customWidth="1"/>
    <col min="5" max="18" width="11.26953125" style="208" hidden="1" customWidth="1" outlineLevel="1"/>
    <col min="19" max="19" width="11.26953125" style="208" hidden="1" customWidth="1" outlineLevel="1" collapsed="1"/>
    <col min="20" max="43" width="11.26953125" style="208" hidden="1" customWidth="1" outlineLevel="1"/>
    <col min="44" max="44" width="18.26953125" style="208" hidden="1" customWidth="1" outlineLevel="1"/>
    <col min="45" max="45" width="16.7265625" style="208" hidden="1" customWidth="1" outlineLevel="1"/>
    <col min="46" max="47" width="11.26953125" style="208" hidden="1" customWidth="1" outlineLevel="1"/>
    <col min="48" max="48" width="16.7265625" style="208" hidden="1" customWidth="1" outlineLevel="1"/>
    <col min="49" max="49" width="18.26953125" style="208" hidden="1" customWidth="1" outlineLevel="1"/>
    <col min="50" max="50" width="11.26953125" style="208" hidden="1" customWidth="1" outlineLevel="1"/>
    <col min="51" max="51" width="15.7265625" style="208" hidden="1" customWidth="1" outlineLevel="1"/>
    <col min="52" max="52" width="16.7265625" style="208" hidden="1" customWidth="1" outlineLevel="1"/>
    <col min="53" max="54" width="18.26953125" style="208" hidden="1" customWidth="1" outlineLevel="1"/>
    <col min="55" max="56" width="16.7265625" style="208" hidden="1" customWidth="1" outlineLevel="1"/>
    <col min="57" max="57" width="18.26953125" style="208" hidden="1" customWidth="1" outlineLevel="1"/>
    <col min="58" max="62" width="16.7265625" style="208" hidden="1" customWidth="1" outlineLevel="1"/>
    <col min="63" max="63" width="18.26953125" style="208" hidden="1" customWidth="1" outlineLevel="1"/>
    <col min="64" max="64" width="16.7265625" style="208" hidden="1" customWidth="1" outlineLevel="1"/>
    <col min="65" max="66" width="18.26953125" style="208" hidden="1" customWidth="1" outlineLevel="1"/>
    <col min="67" max="77" width="16.7265625" style="208" hidden="1" customWidth="1" outlineLevel="1"/>
    <col min="78" max="78" width="18.26953125" style="208" hidden="1" customWidth="1" outlineLevel="1"/>
    <col min="79" max="80" width="16.7265625" style="208" hidden="1" customWidth="1" outlineLevel="1"/>
    <col min="81" max="81" width="18.26953125" style="208" hidden="1" customWidth="1" outlineLevel="1"/>
    <col min="82" max="83" width="16.7265625" style="208" hidden="1" customWidth="1" outlineLevel="1"/>
    <col min="84" max="143" width="11.26953125" style="208" hidden="1" customWidth="1" outlineLevel="1"/>
    <col min="144" max="144" width="8.453125" style="208" bestFit="1" customWidth="1" collapsed="1"/>
    <col min="145" max="147" width="8.453125" style="208" bestFit="1" customWidth="1"/>
    <col min="148" max="149" width="16.26953125" style="208" bestFit="1" customWidth="1"/>
    <col min="150" max="150" width="17.7265625" style="208" customWidth="1"/>
    <col min="151" max="151" width="17.7265625" style="208" bestFit="1" customWidth="1"/>
    <col min="152" max="152" width="18.7265625" style="208" customWidth="1"/>
    <col min="153" max="163" width="17.7265625" style="208" bestFit="1" customWidth="1"/>
    <col min="164" max="164" width="16.26953125" style="208" bestFit="1" customWidth="1"/>
    <col min="165" max="184" width="8.453125" style="208" bestFit="1" customWidth="1"/>
    <col min="185" max="16384" width="27.7265625" style="208"/>
  </cols>
  <sheetData>
    <row r="1" spans="1:184" s="204" customFormat="1" ht="13.9" customHeight="1">
      <c r="A1" s="638" t="s">
        <v>153</v>
      </c>
      <c r="B1" s="638"/>
      <c r="C1" s="396"/>
      <c r="D1" s="396"/>
      <c r="E1" s="205"/>
      <c r="F1" s="205"/>
      <c r="G1" s="205"/>
      <c r="H1" s="205"/>
      <c r="I1" s="205"/>
      <c r="J1" s="205"/>
      <c r="K1" s="205"/>
      <c r="L1" s="205"/>
      <c r="M1" s="205"/>
      <c r="N1" s="205"/>
      <c r="O1" s="205"/>
      <c r="P1" s="205"/>
      <c r="Q1" s="205"/>
      <c r="R1" s="205"/>
      <c r="S1" s="205"/>
      <c r="T1" s="205"/>
      <c r="U1" s="205"/>
      <c r="V1" s="205"/>
      <c r="W1" s="205"/>
      <c r="X1" s="205"/>
      <c r="Y1" s="205"/>
      <c r="Z1" s="205"/>
      <c r="AA1" s="205"/>
      <c r="AB1" s="205"/>
      <c r="AC1" s="205"/>
      <c r="AD1" s="205"/>
      <c r="AE1" s="205"/>
      <c r="AF1" s="205"/>
      <c r="AG1" s="205"/>
      <c r="AH1" s="205"/>
      <c r="AI1" s="205"/>
      <c r="AJ1" s="205"/>
      <c r="AK1" s="205"/>
      <c r="AL1" s="205"/>
      <c r="AM1" s="205"/>
      <c r="AN1" s="205"/>
      <c r="AO1" s="205"/>
      <c r="AP1" s="205"/>
      <c r="AQ1" s="205"/>
      <c r="AR1" s="205"/>
      <c r="AS1" s="205"/>
      <c r="AT1" s="205"/>
      <c r="AU1" s="205"/>
      <c r="AV1" s="205"/>
      <c r="AW1" s="205"/>
      <c r="AX1" s="205"/>
      <c r="AY1" s="205"/>
      <c r="AZ1" s="205"/>
      <c r="BA1" s="205"/>
      <c r="BB1" s="205"/>
      <c r="BC1" s="205"/>
      <c r="BD1" s="205"/>
      <c r="BE1" s="205"/>
      <c r="BF1" s="205"/>
      <c r="BG1" s="205"/>
      <c r="BH1" s="205"/>
      <c r="BI1" s="205"/>
      <c r="BJ1" s="205"/>
      <c r="BK1" s="205"/>
      <c r="BL1" s="205"/>
      <c r="BM1" s="205"/>
      <c r="BN1" s="205"/>
      <c r="BO1" s="205"/>
      <c r="BP1" s="205"/>
      <c r="BQ1" s="205"/>
      <c r="BR1" s="205"/>
      <c r="BS1" s="205"/>
      <c r="BT1" s="205"/>
      <c r="BU1" s="205"/>
      <c r="BV1" s="205"/>
      <c r="BW1" s="205"/>
      <c r="BX1" s="205"/>
      <c r="BY1" s="205"/>
      <c r="BZ1" s="205"/>
      <c r="CA1" s="205"/>
      <c r="CB1" s="205"/>
      <c r="CC1" s="205"/>
      <c r="CD1" s="205"/>
      <c r="CE1" s="205"/>
      <c r="CF1" s="205"/>
      <c r="CG1" s="205"/>
      <c r="CH1" s="205"/>
      <c r="CI1" s="205"/>
      <c r="CJ1" s="205"/>
      <c r="CK1" s="205"/>
      <c r="CL1" s="205"/>
      <c r="CM1" s="205"/>
      <c r="CN1" s="205"/>
      <c r="CO1" s="205"/>
      <c r="CP1" s="205"/>
      <c r="CQ1" s="205"/>
      <c r="CR1" s="205"/>
      <c r="CS1" s="205"/>
      <c r="CT1" s="205"/>
      <c r="CU1" s="205"/>
      <c r="CV1" s="205"/>
      <c r="CW1" s="205"/>
      <c r="CX1" s="205"/>
      <c r="CY1" s="205"/>
      <c r="CZ1" s="205"/>
      <c r="DA1" s="205"/>
      <c r="DB1" s="205"/>
      <c r="DC1" s="205"/>
      <c r="DD1" s="205"/>
      <c r="DE1" s="205"/>
      <c r="DF1" s="205"/>
      <c r="DG1" s="205"/>
      <c r="DH1" s="205"/>
      <c r="DI1" s="205"/>
      <c r="DJ1" s="205"/>
      <c r="DK1" s="205"/>
      <c r="DL1" s="205"/>
      <c r="DM1" s="205"/>
      <c r="DN1" s="205"/>
      <c r="DO1" s="205"/>
      <c r="DP1" s="205"/>
      <c r="DQ1" s="205"/>
      <c r="DR1" s="205"/>
      <c r="DS1" s="205"/>
      <c r="DT1" s="205"/>
      <c r="DU1" s="205"/>
      <c r="DV1" s="205"/>
      <c r="DW1" s="205"/>
      <c r="DX1" s="205"/>
      <c r="DY1" s="205"/>
      <c r="DZ1" s="205"/>
      <c r="EA1" s="205"/>
      <c r="EB1" s="205"/>
      <c r="EC1" s="205"/>
      <c r="ED1" s="205"/>
      <c r="EE1" s="205"/>
      <c r="EF1" s="205"/>
      <c r="EG1" s="205"/>
      <c r="EH1" s="205"/>
      <c r="EI1" s="205"/>
      <c r="EJ1" s="205"/>
      <c r="EK1" s="205"/>
      <c r="EL1" s="205"/>
      <c r="EM1" s="205"/>
      <c r="EN1" s="205"/>
      <c r="EO1" s="205"/>
      <c r="EP1" s="205"/>
      <c r="EQ1" s="205"/>
      <c r="ER1" s="205"/>
      <c r="ES1" s="205"/>
      <c r="ET1" s="205"/>
      <c r="EU1" s="205"/>
      <c r="EV1" s="205"/>
      <c r="EW1" s="205"/>
      <c r="EX1" s="205"/>
      <c r="EY1" s="205"/>
      <c r="EZ1" s="205"/>
      <c r="FA1" s="205"/>
    </row>
    <row r="2" spans="1:184" s="204" customFormat="1">
      <c r="A2" s="205"/>
      <c r="B2" s="205"/>
      <c r="C2" s="206" t="s">
        <v>154</v>
      </c>
      <c r="D2" s="206"/>
      <c r="E2" s="207">
        <f>+'5. KHBH'!AB2</f>
        <v>44742</v>
      </c>
      <c r="F2" s="207">
        <f>+'5. KHBH'!AC2</f>
        <v>44834</v>
      </c>
      <c r="G2" s="207">
        <f>+'5. KHBH'!AD2</f>
        <v>44834</v>
      </c>
      <c r="H2" s="207">
        <f>+'5. KHBH'!AE2</f>
        <v>44834</v>
      </c>
      <c r="I2" s="207">
        <f>+'5. KHBH'!AF2</f>
        <v>44926</v>
      </c>
      <c r="J2" s="207">
        <f>+'5. KHBH'!AG2</f>
        <v>44926</v>
      </c>
      <c r="K2" s="207">
        <f>+'5. KHBH'!AH2</f>
        <v>44926</v>
      </c>
      <c r="L2" s="207">
        <f>+'5. KHBH'!AI2</f>
        <v>45016</v>
      </c>
      <c r="M2" s="207">
        <f>+'5. KHBH'!AJ2</f>
        <v>45016</v>
      </c>
      <c r="N2" s="207">
        <f>+'5. KHBH'!AK2</f>
        <v>45016</v>
      </c>
      <c r="O2" s="207">
        <f>+'5. KHBH'!AL2</f>
        <v>45107</v>
      </c>
      <c r="P2" s="207">
        <f>+'5. KHBH'!AM2</f>
        <v>45107</v>
      </c>
      <c r="Q2" s="207">
        <f>+'5. KHBH'!AN2</f>
        <v>45107</v>
      </c>
      <c r="R2" s="207">
        <f>+'5. KHBH'!AO2</f>
        <v>45199</v>
      </c>
      <c r="S2" s="207">
        <f>+'5. KHBH'!AP2</f>
        <v>45199</v>
      </c>
      <c r="T2" s="207">
        <f>+'5. KHBH'!AQ2</f>
        <v>45199</v>
      </c>
      <c r="U2" s="207">
        <f>+'5. KHBH'!AR2</f>
        <v>45291</v>
      </c>
      <c r="V2" s="207">
        <f>+'5. KHBH'!AS2</f>
        <v>45291</v>
      </c>
      <c r="W2" s="207">
        <f>+'5. KHBH'!AT2</f>
        <v>45291</v>
      </c>
      <c r="X2" s="207">
        <f>+'5. KHBH'!AU2</f>
        <v>45382</v>
      </c>
      <c r="Y2" s="207">
        <f>+'5. KHBH'!AV2</f>
        <v>45382</v>
      </c>
      <c r="Z2" s="207">
        <f>+'5. KHBH'!AW2</f>
        <v>45382</v>
      </c>
      <c r="AA2" s="207">
        <f>+'5. KHBH'!AX2</f>
        <v>45473</v>
      </c>
      <c r="AB2" s="207">
        <f>+'5. KHBH'!AY2</f>
        <v>45473</v>
      </c>
      <c r="AC2" s="207">
        <f>+'5. KHBH'!AZ2</f>
        <v>45473</v>
      </c>
      <c r="AD2" s="207">
        <f>+'5. KHBH'!BA2</f>
        <v>45565</v>
      </c>
      <c r="AE2" s="207">
        <f>+'5. KHBH'!BB2</f>
        <v>45565</v>
      </c>
      <c r="AF2" s="207">
        <f>+'5. KHBH'!BC2</f>
        <v>45565</v>
      </c>
      <c r="AG2" s="207">
        <f>+'5. KHBH'!BD2</f>
        <v>45657</v>
      </c>
      <c r="AH2" s="207">
        <f>+'5. KHBH'!BE2</f>
        <v>45657</v>
      </c>
      <c r="AI2" s="207">
        <f>+'5. KHBH'!BF2</f>
        <v>45657</v>
      </c>
      <c r="AJ2" s="207">
        <f>+'5. KHBH'!BG2</f>
        <v>45747</v>
      </c>
      <c r="AK2" s="207">
        <f>+'5. KHBH'!BH2</f>
        <v>45747</v>
      </c>
      <c r="AL2" s="207">
        <f>+'5. KHBH'!BI2</f>
        <v>45747</v>
      </c>
      <c r="AM2" s="207">
        <f>+'5. KHBH'!BJ2</f>
        <v>45838</v>
      </c>
      <c r="AN2" s="207">
        <f>+'5. KHBH'!BK2</f>
        <v>45838</v>
      </c>
      <c r="AO2" s="207">
        <f>+'5. KHBH'!BL2</f>
        <v>45838</v>
      </c>
      <c r="AP2" s="207">
        <f>+'5. KHBH'!BM2</f>
        <v>45930</v>
      </c>
      <c r="AQ2" s="207">
        <f>+'5. KHBH'!BN2</f>
        <v>45930</v>
      </c>
      <c r="AR2" s="207">
        <f>+'5. KHBH'!BO2</f>
        <v>45930</v>
      </c>
      <c r="AS2" s="207">
        <f>+'5. KHBH'!BP2</f>
        <v>46022</v>
      </c>
      <c r="AT2" s="207">
        <f>+'5. KHBH'!BQ2</f>
        <v>46022</v>
      </c>
      <c r="AU2" s="207">
        <f>+'5. KHBH'!BR2</f>
        <v>46022</v>
      </c>
      <c r="AV2" s="207">
        <f>+'5. KHBH'!BS2</f>
        <v>46112</v>
      </c>
      <c r="AW2" s="207">
        <f>+'5. KHBH'!BT2</f>
        <v>46112</v>
      </c>
      <c r="AX2" s="207">
        <f>+'5. KHBH'!BU2</f>
        <v>46112</v>
      </c>
      <c r="AY2" s="207">
        <f>+'5. KHBH'!BV2</f>
        <v>46203</v>
      </c>
      <c r="AZ2" s="207">
        <f>+'5. KHBH'!BW2</f>
        <v>46203</v>
      </c>
      <c r="BA2" s="207">
        <f>+'5. KHBH'!BX2</f>
        <v>46203</v>
      </c>
      <c r="BB2" s="207">
        <f>+'5. KHBH'!BY2</f>
        <v>46295</v>
      </c>
      <c r="BC2" s="207">
        <f>+'5. KHBH'!BZ2</f>
        <v>46295</v>
      </c>
      <c r="BD2" s="207">
        <f>+'5. KHBH'!CA2</f>
        <v>46295</v>
      </c>
      <c r="BE2" s="207">
        <f>+'5. KHBH'!CB2</f>
        <v>46387</v>
      </c>
      <c r="BF2" s="207">
        <f>+'5. KHBH'!CC2</f>
        <v>46387</v>
      </c>
      <c r="BG2" s="207">
        <f>+'5. KHBH'!CD2</f>
        <v>46387</v>
      </c>
      <c r="BH2" s="207">
        <f>+'5. KHBH'!CE2</f>
        <v>46477</v>
      </c>
      <c r="BI2" s="207">
        <f>+'5. KHBH'!CF2</f>
        <v>46477</v>
      </c>
      <c r="BJ2" s="207">
        <f>+'5. KHBH'!CG2</f>
        <v>46477</v>
      </c>
      <c r="BK2" s="207">
        <f>+'5. KHBH'!CH2</f>
        <v>46568</v>
      </c>
      <c r="BL2" s="207">
        <f>+'5. KHBH'!CI2</f>
        <v>46568</v>
      </c>
      <c r="BM2" s="207">
        <f>+'5. KHBH'!CJ2</f>
        <v>46568</v>
      </c>
      <c r="BN2" s="207">
        <f>+'5. KHBH'!CK2</f>
        <v>46660</v>
      </c>
      <c r="BO2" s="207">
        <f>+'5. KHBH'!CL2</f>
        <v>46660</v>
      </c>
      <c r="BP2" s="207">
        <f>+'5. KHBH'!CM2</f>
        <v>46660</v>
      </c>
      <c r="BQ2" s="207">
        <f>+'5. KHBH'!CN2</f>
        <v>46752</v>
      </c>
      <c r="BR2" s="207">
        <f>+'5. KHBH'!CO2</f>
        <v>46752</v>
      </c>
      <c r="BS2" s="207">
        <f>+'5. KHBH'!CP2</f>
        <v>46752</v>
      </c>
      <c r="BT2" s="207">
        <f>+'5. KHBH'!CQ2</f>
        <v>46843</v>
      </c>
      <c r="BU2" s="207">
        <f>+'5. KHBH'!CR2</f>
        <v>46843</v>
      </c>
      <c r="BV2" s="207">
        <f>+'5. KHBH'!CS2</f>
        <v>46843</v>
      </c>
      <c r="BW2" s="207">
        <f>+'5. KHBH'!CT2</f>
        <v>46934</v>
      </c>
      <c r="BX2" s="207">
        <f>+'5. KHBH'!CU2</f>
        <v>46934</v>
      </c>
      <c r="BY2" s="207">
        <f>+'5. KHBH'!CV2</f>
        <v>46934</v>
      </c>
      <c r="BZ2" s="207">
        <f>+'5. KHBH'!CW2</f>
        <v>47026</v>
      </c>
      <c r="CA2" s="207">
        <f>+'5. KHBH'!CX2</f>
        <v>47026</v>
      </c>
      <c r="CB2" s="207">
        <f>+'5. KHBH'!CY2</f>
        <v>47026</v>
      </c>
      <c r="CC2" s="207">
        <f>+'5. KHBH'!CZ2</f>
        <v>47118</v>
      </c>
      <c r="CD2" s="207">
        <f>+'5. KHBH'!DA2</f>
        <v>47118</v>
      </c>
      <c r="CE2" s="207">
        <f>+'5. KHBH'!DB2</f>
        <v>47118</v>
      </c>
      <c r="CF2" s="207">
        <f>+'5. KHBH'!DC2</f>
        <v>47208</v>
      </c>
      <c r="CG2" s="207">
        <f>+'5. KHBH'!DD2</f>
        <v>47208</v>
      </c>
      <c r="CH2" s="207">
        <f>+'5. KHBH'!DE2</f>
        <v>47208</v>
      </c>
      <c r="CI2" s="207">
        <f>+'5. KHBH'!DF2</f>
        <v>47299</v>
      </c>
      <c r="CJ2" s="207">
        <f>+'5. KHBH'!DG2</f>
        <v>47299</v>
      </c>
      <c r="CK2" s="207">
        <f>+'5. KHBH'!DH2</f>
        <v>47299</v>
      </c>
      <c r="CL2" s="207">
        <f>+'5. KHBH'!DI2</f>
        <v>47391</v>
      </c>
      <c r="CM2" s="207">
        <f>+'5. KHBH'!DJ2</f>
        <v>47391</v>
      </c>
      <c r="CN2" s="207">
        <f>+'5. KHBH'!DK2</f>
        <v>47391</v>
      </c>
      <c r="CO2" s="207">
        <f>+'5. KHBH'!DL2</f>
        <v>47483</v>
      </c>
      <c r="CP2" s="207">
        <f>+'5. KHBH'!DM2</f>
        <v>47483</v>
      </c>
      <c r="CQ2" s="207">
        <f>+'5. KHBH'!DN2</f>
        <v>47483</v>
      </c>
      <c r="CR2" s="207">
        <f>+'5. KHBH'!DO2</f>
        <v>47573</v>
      </c>
      <c r="CS2" s="207">
        <f>+'5. KHBH'!DP2</f>
        <v>47573</v>
      </c>
      <c r="CT2" s="207">
        <f>+'5. KHBH'!DQ2</f>
        <v>47573</v>
      </c>
      <c r="CU2" s="207">
        <f>+'5. KHBH'!DR2</f>
        <v>47664</v>
      </c>
      <c r="CV2" s="207">
        <f>+'5. KHBH'!DS2</f>
        <v>47664</v>
      </c>
      <c r="CW2" s="207">
        <f>+'5. KHBH'!DT2</f>
        <v>47664</v>
      </c>
      <c r="CX2" s="207">
        <f>+'5. KHBH'!DU2</f>
        <v>47756</v>
      </c>
      <c r="CY2" s="207">
        <f>+'5. KHBH'!DV2</f>
        <v>47756</v>
      </c>
      <c r="CZ2" s="207">
        <f>+'5. KHBH'!DW2</f>
        <v>47756</v>
      </c>
      <c r="DA2" s="207">
        <f>+'5. KHBH'!DX2</f>
        <v>47848</v>
      </c>
      <c r="DB2" s="207">
        <f>+'5. KHBH'!DY2</f>
        <v>47848</v>
      </c>
      <c r="DC2" s="207">
        <f>+'5. KHBH'!DZ2</f>
        <v>47848</v>
      </c>
      <c r="DD2" s="207">
        <f>+'5. KHBH'!EA2</f>
        <v>47938</v>
      </c>
      <c r="DE2" s="207">
        <f>+'5. KHBH'!EB2</f>
        <v>47938</v>
      </c>
      <c r="DF2" s="207">
        <f>+'5. KHBH'!EC2</f>
        <v>47938</v>
      </c>
      <c r="DG2" s="207">
        <f>+'5. KHBH'!ED2</f>
        <v>48029</v>
      </c>
      <c r="DH2" s="207">
        <f>+'5. KHBH'!EE2</f>
        <v>48029</v>
      </c>
      <c r="DI2" s="207">
        <f>+'5. KHBH'!EF2</f>
        <v>48029</v>
      </c>
      <c r="DJ2" s="207">
        <f>+'5. KHBH'!EG2</f>
        <v>48121</v>
      </c>
      <c r="DK2" s="207">
        <f>+'5. KHBH'!EH2</f>
        <v>48121</v>
      </c>
      <c r="DL2" s="207">
        <f>+'5. KHBH'!EI2</f>
        <v>48121</v>
      </c>
      <c r="DM2" s="207">
        <f>+'5. KHBH'!EJ2</f>
        <v>48213</v>
      </c>
      <c r="DN2" s="207">
        <f>+'5. KHBH'!EK2</f>
        <v>48213</v>
      </c>
      <c r="DO2" s="207">
        <f>+'5. KHBH'!EL2</f>
        <v>48213</v>
      </c>
      <c r="DP2" s="207">
        <f>+'5. KHBH'!EM2</f>
        <v>48304</v>
      </c>
      <c r="DQ2" s="207">
        <f>+'5. KHBH'!EN2</f>
        <v>48304</v>
      </c>
      <c r="DR2" s="207">
        <f>+'5. KHBH'!EO2</f>
        <v>48304</v>
      </c>
      <c r="DS2" s="207">
        <f>+'5. KHBH'!EP2</f>
        <v>48395</v>
      </c>
      <c r="DT2" s="207">
        <f>+'5. KHBH'!EQ2</f>
        <v>48395</v>
      </c>
      <c r="DU2" s="207">
        <f>+'5. KHBH'!ER2</f>
        <v>48395</v>
      </c>
      <c r="DV2" s="207">
        <f>+'5. KHBH'!ES2</f>
        <v>48487</v>
      </c>
      <c r="DW2" s="207">
        <f>+'5. KHBH'!ET2</f>
        <v>48487</v>
      </c>
      <c r="DX2" s="207">
        <f>+'5. KHBH'!EU2</f>
        <v>48487</v>
      </c>
      <c r="DY2" s="207">
        <f>+'5. KHBH'!EV2</f>
        <v>48579</v>
      </c>
      <c r="DZ2" s="207">
        <f>+'5. KHBH'!EW2</f>
        <v>48579</v>
      </c>
      <c r="EA2" s="207">
        <f>+'5. KHBH'!EX2</f>
        <v>48579</v>
      </c>
      <c r="EB2" s="207">
        <f>+'5. KHBH'!EY2</f>
        <v>48669</v>
      </c>
      <c r="EC2" s="207">
        <f>+'5. KHBH'!EZ2</f>
        <v>48669</v>
      </c>
      <c r="ED2" s="207">
        <f>+'5. KHBH'!FA2</f>
        <v>48669</v>
      </c>
      <c r="EE2" s="207">
        <f>+'5. KHBH'!FB2</f>
        <v>48760</v>
      </c>
      <c r="EF2" s="207">
        <f>+'5. KHBH'!FC2</f>
        <v>48760</v>
      </c>
      <c r="EG2" s="207">
        <f>+'5. KHBH'!FD2</f>
        <v>48760</v>
      </c>
      <c r="EH2" s="207">
        <f>+'5. KHBH'!FE2</f>
        <v>48852</v>
      </c>
      <c r="EI2" s="207">
        <f>+'5. KHBH'!FF2</f>
        <v>48852</v>
      </c>
      <c r="EJ2" s="207">
        <f>+'5. KHBH'!FG2</f>
        <v>48852</v>
      </c>
      <c r="EK2" s="207">
        <f>+'5. KHBH'!FH2</f>
        <v>48944</v>
      </c>
      <c r="EL2" s="207">
        <f>+'5. KHBH'!FI2</f>
        <v>48944</v>
      </c>
      <c r="EM2" s="207">
        <f>+'5. KHBH'!FJ2</f>
        <v>48944</v>
      </c>
    </row>
    <row r="3" spans="1:184" ht="28">
      <c r="A3" s="555" t="s">
        <v>155</v>
      </c>
      <c r="B3" s="556" t="s">
        <v>139</v>
      </c>
      <c r="C3" s="557" t="s">
        <v>156</v>
      </c>
      <c r="D3" s="556" t="s">
        <v>157</v>
      </c>
      <c r="E3" s="558">
        <f>+'5. KHBH'!AB4</f>
        <v>44713</v>
      </c>
      <c r="F3" s="558">
        <f>+'5. KHBH'!AC4</f>
        <v>44743</v>
      </c>
      <c r="G3" s="558">
        <f>+'5. KHBH'!AD4</f>
        <v>44774</v>
      </c>
      <c r="H3" s="558">
        <f>+'5. KHBH'!AE4</f>
        <v>44805</v>
      </c>
      <c r="I3" s="558">
        <f>+'5. KHBH'!AF4</f>
        <v>44835</v>
      </c>
      <c r="J3" s="558">
        <f>+'5. KHBH'!AG4</f>
        <v>44866</v>
      </c>
      <c r="K3" s="558">
        <f>+'5. KHBH'!AH4</f>
        <v>44896</v>
      </c>
      <c r="L3" s="558">
        <f>+'5. KHBH'!AI4</f>
        <v>44927</v>
      </c>
      <c r="M3" s="558">
        <f>+'5. KHBH'!AJ4</f>
        <v>44958</v>
      </c>
      <c r="N3" s="558">
        <f>+'5. KHBH'!AK4</f>
        <v>44986</v>
      </c>
      <c r="O3" s="558">
        <f>+'5. KHBH'!AL4</f>
        <v>45017</v>
      </c>
      <c r="P3" s="558">
        <f>+'5. KHBH'!AM4</f>
        <v>45047</v>
      </c>
      <c r="Q3" s="558">
        <f>+'5. KHBH'!AN4</f>
        <v>45078</v>
      </c>
      <c r="R3" s="558">
        <f>+'5. KHBH'!AO4</f>
        <v>45108</v>
      </c>
      <c r="S3" s="558">
        <f>+'5. KHBH'!AP4</f>
        <v>45139</v>
      </c>
      <c r="T3" s="558">
        <f>+'5. KHBH'!AQ4</f>
        <v>45170</v>
      </c>
      <c r="U3" s="558">
        <f>+'5. KHBH'!AR4</f>
        <v>45200</v>
      </c>
      <c r="V3" s="558">
        <f>+'5. KHBH'!AS4</f>
        <v>45231</v>
      </c>
      <c r="W3" s="558">
        <f>+'5. KHBH'!AT4</f>
        <v>45261</v>
      </c>
      <c r="X3" s="558">
        <f>+'5. KHBH'!AU4</f>
        <v>45292</v>
      </c>
      <c r="Y3" s="558">
        <f>+'5. KHBH'!AV4</f>
        <v>45323</v>
      </c>
      <c r="Z3" s="558">
        <f>+'5. KHBH'!AW4</f>
        <v>45352</v>
      </c>
      <c r="AA3" s="558">
        <f>+'5. KHBH'!AX4</f>
        <v>45383</v>
      </c>
      <c r="AB3" s="558">
        <f>+'5. KHBH'!AY4</f>
        <v>45413</v>
      </c>
      <c r="AC3" s="558">
        <f>+'5. KHBH'!AZ4</f>
        <v>45444</v>
      </c>
      <c r="AD3" s="558">
        <f>+'5. KHBH'!BA4</f>
        <v>45474</v>
      </c>
      <c r="AE3" s="558">
        <f>+'5. KHBH'!BB4</f>
        <v>45505</v>
      </c>
      <c r="AF3" s="558">
        <f>+'5. KHBH'!BC4</f>
        <v>45536</v>
      </c>
      <c r="AG3" s="558">
        <f>+'5. KHBH'!BD4</f>
        <v>45566</v>
      </c>
      <c r="AH3" s="558">
        <f>+'5. KHBH'!BE4</f>
        <v>45597</v>
      </c>
      <c r="AI3" s="558">
        <f>+'5. KHBH'!BF4</f>
        <v>45627</v>
      </c>
      <c r="AJ3" s="558">
        <f>+'5. KHBH'!BG4</f>
        <v>45658</v>
      </c>
      <c r="AK3" s="558">
        <f>+'5. KHBH'!BH4</f>
        <v>45689</v>
      </c>
      <c r="AL3" s="558">
        <f>+'5. KHBH'!BI4</f>
        <v>45717</v>
      </c>
      <c r="AM3" s="558">
        <f>+'5. KHBH'!BJ4</f>
        <v>45748</v>
      </c>
      <c r="AN3" s="558">
        <f>+'5. KHBH'!BK4</f>
        <v>45778</v>
      </c>
      <c r="AO3" s="558">
        <f>+'5. KHBH'!BL4</f>
        <v>45809</v>
      </c>
      <c r="AP3" s="558">
        <f>+'5. KHBH'!BM4</f>
        <v>45839</v>
      </c>
      <c r="AQ3" s="558">
        <f>+'5. KHBH'!BN4</f>
        <v>45870</v>
      </c>
      <c r="AR3" s="558">
        <f>+'5. KHBH'!BO4</f>
        <v>45901</v>
      </c>
      <c r="AS3" s="558">
        <f>+'5. KHBH'!BP4</f>
        <v>45931</v>
      </c>
      <c r="AT3" s="558">
        <f>+'5. KHBH'!BQ4</f>
        <v>45962</v>
      </c>
      <c r="AU3" s="558">
        <f>+'5. KHBH'!BR4</f>
        <v>45992</v>
      </c>
      <c r="AV3" s="558">
        <f>+'5. KHBH'!BS4</f>
        <v>46023</v>
      </c>
      <c r="AW3" s="558">
        <f>+'5. KHBH'!BT4</f>
        <v>46054</v>
      </c>
      <c r="AX3" s="558">
        <f>+'5. KHBH'!BU4</f>
        <v>46082</v>
      </c>
      <c r="AY3" s="558">
        <f>+'5. KHBH'!BV4</f>
        <v>46113</v>
      </c>
      <c r="AZ3" s="558">
        <f>+'5. KHBH'!BW4</f>
        <v>46143</v>
      </c>
      <c r="BA3" s="558">
        <f>+'5. KHBH'!BX4</f>
        <v>46174</v>
      </c>
      <c r="BB3" s="558">
        <f>+'5. KHBH'!BY4</f>
        <v>46204</v>
      </c>
      <c r="BC3" s="558">
        <f>+'5. KHBH'!BZ4</f>
        <v>46235</v>
      </c>
      <c r="BD3" s="558">
        <f>+'5. KHBH'!CA4</f>
        <v>46266</v>
      </c>
      <c r="BE3" s="558">
        <f>+'5. KHBH'!CB4</f>
        <v>46296</v>
      </c>
      <c r="BF3" s="558">
        <f>+'5. KHBH'!CC4</f>
        <v>46327</v>
      </c>
      <c r="BG3" s="558">
        <f>+'5. KHBH'!CD4</f>
        <v>46357</v>
      </c>
      <c r="BH3" s="558">
        <f>+'5. KHBH'!CE4</f>
        <v>46388</v>
      </c>
      <c r="BI3" s="558">
        <f>+'5. KHBH'!CF4</f>
        <v>46419</v>
      </c>
      <c r="BJ3" s="558">
        <f>+'5. KHBH'!CG4</f>
        <v>46447</v>
      </c>
      <c r="BK3" s="558">
        <f>+'5. KHBH'!CH4</f>
        <v>46478</v>
      </c>
      <c r="BL3" s="558">
        <f>+'5. KHBH'!CI4</f>
        <v>46508</v>
      </c>
      <c r="BM3" s="558">
        <f>+'5. KHBH'!CJ4</f>
        <v>46539</v>
      </c>
      <c r="BN3" s="558">
        <f>+'5. KHBH'!CK4</f>
        <v>46569</v>
      </c>
      <c r="BO3" s="558">
        <f>+'5. KHBH'!CL4</f>
        <v>46600</v>
      </c>
      <c r="BP3" s="558">
        <f>+'5. KHBH'!CM4</f>
        <v>46631</v>
      </c>
      <c r="BQ3" s="558">
        <f>+'5. KHBH'!CN4</f>
        <v>46661</v>
      </c>
      <c r="BR3" s="558">
        <f>+'5. KHBH'!CO4</f>
        <v>46692</v>
      </c>
      <c r="BS3" s="558">
        <f>+'5. KHBH'!CP4</f>
        <v>46722</v>
      </c>
      <c r="BT3" s="558">
        <f>+'5. KHBH'!CQ4</f>
        <v>46753</v>
      </c>
      <c r="BU3" s="558">
        <f>+'5. KHBH'!CR4</f>
        <v>46784</v>
      </c>
      <c r="BV3" s="558">
        <f>+'5. KHBH'!CS4</f>
        <v>46813</v>
      </c>
      <c r="BW3" s="558">
        <f>+'5. KHBH'!CT4</f>
        <v>46844</v>
      </c>
      <c r="BX3" s="558">
        <f>+'5. KHBH'!CU4</f>
        <v>46874</v>
      </c>
      <c r="BY3" s="558">
        <f>+'5. KHBH'!CV4</f>
        <v>46905</v>
      </c>
      <c r="BZ3" s="558">
        <f>+'5. KHBH'!CW4</f>
        <v>46935</v>
      </c>
      <c r="CA3" s="558">
        <f>+'5. KHBH'!CX4</f>
        <v>46966</v>
      </c>
      <c r="CB3" s="558">
        <f>+'5. KHBH'!CY4</f>
        <v>46997</v>
      </c>
      <c r="CC3" s="558">
        <f>+'5. KHBH'!CZ4</f>
        <v>47027</v>
      </c>
      <c r="CD3" s="558">
        <f>+'5. KHBH'!DA4</f>
        <v>47058</v>
      </c>
      <c r="CE3" s="558">
        <f>+'5. KHBH'!DB4</f>
        <v>47088</v>
      </c>
      <c r="CF3" s="558">
        <f>+'5. KHBH'!DC4</f>
        <v>47119</v>
      </c>
      <c r="CG3" s="558">
        <f>+'5. KHBH'!DD4</f>
        <v>47150</v>
      </c>
      <c r="CH3" s="558">
        <f>+'5. KHBH'!DE4</f>
        <v>47178</v>
      </c>
      <c r="CI3" s="558">
        <f>+'5. KHBH'!DF4</f>
        <v>47209</v>
      </c>
      <c r="CJ3" s="558">
        <f>+'5. KHBH'!DG4</f>
        <v>47239</v>
      </c>
      <c r="CK3" s="558">
        <f>+'5. KHBH'!DH4</f>
        <v>47270</v>
      </c>
      <c r="CL3" s="558">
        <f>+'5. KHBH'!DI4</f>
        <v>47300</v>
      </c>
      <c r="CM3" s="558">
        <f>+'5. KHBH'!DJ4</f>
        <v>47331</v>
      </c>
      <c r="CN3" s="558">
        <f>+'5. KHBH'!DK4</f>
        <v>47362</v>
      </c>
      <c r="CO3" s="558">
        <f>+'5. KHBH'!DL4</f>
        <v>47392</v>
      </c>
      <c r="CP3" s="558">
        <f>+'5. KHBH'!DM4</f>
        <v>47423</v>
      </c>
      <c r="CQ3" s="558">
        <f>+'5. KHBH'!DN4</f>
        <v>47453</v>
      </c>
      <c r="CR3" s="558">
        <f>+'5. KHBH'!DO4</f>
        <v>47484</v>
      </c>
      <c r="CS3" s="558">
        <f>+'5. KHBH'!DP4</f>
        <v>47515</v>
      </c>
      <c r="CT3" s="558">
        <f>+'5. KHBH'!DQ4</f>
        <v>47543</v>
      </c>
      <c r="CU3" s="558">
        <f>+'5. KHBH'!DR4</f>
        <v>47574</v>
      </c>
      <c r="CV3" s="558">
        <f>+'5. KHBH'!DS4</f>
        <v>47604</v>
      </c>
      <c r="CW3" s="558">
        <f>+'5. KHBH'!DT4</f>
        <v>47635</v>
      </c>
      <c r="CX3" s="558">
        <f>+'5. KHBH'!DU4</f>
        <v>47665</v>
      </c>
      <c r="CY3" s="558">
        <f>+'5. KHBH'!DV4</f>
        <v>47696</v>
      </c>
      <c r="CZ3" s="558">
        <f>+'5. KHBH'!DW4</f>
        <v>47727</v>
      </c>
      <c r="DA3" s="558">
        <f>+'5. KHBH'!DX4</f>
        <v>47757</v>
      </c>
      <c r="DB3" s="558">
        <f>+'5. KHBH'!DY4</f>
        <v>47788</v>
      </c>
      <c r="DC3" s="558">
        <f>+'5. KHBH'!DZ4</f>
        <v>47818</v>
      </c>
      <c r="DD3" s="558">
        <f>+'5. KHBH'!EA4</f>
        <v>47849</v>
      </c>
      <c r="DE3" s="558">
        <f>+'5. KHBH'!EB4</f>
        <v>47880</v>
      </c>
      <c r="DF3" s="558">
        <f>+'5. KHBH'!EC4</f>
        <v>47908</v>
      </c>
      <c r="DG3" s="558">
        <f>+'5. KHBH'!ED4</f>
        <v>47939</v>
      </c>
      <c r="DH3" s="558">
        <f>+'5. KHBH'!EE4</f>
        <v>47969</v>
      </c>
      <c r="DI3" s="558">
        <f>+'5. KHBH'!EF4</f>
        <v>48000</v>
      </c>
      <c r="DJ3" s="558">
        <f>+'5. KHBH'!EG4</f>
        <v>48030</v>
      </c>
      <c r="DK3" s="558">
        <f>+'5. KHBH'!EH4</f>
        <v>48061</v>
      </c>
      <c r="DL3" s="558">
        <f>+'5. KHBH'!EI4</f>
        <v>48092</v>
      </c>
      <c r="DM3" s="558">
        <f>+'5. KHBH'!EJ4</f>
        <v>48122</v>
      </c>
      <c r="DN3" s="558">
        <f>+'5. KHBH'!EK4</f>
        <v>48153</v>
      </c>
      <c r="DO3" s="558">
        <f>+'5. KHBH'!EL4</f>
        <v>48183</v>
      </c>
      <c r="DP3" s="558">
        <f>+'5. KHBH'!EM4</f>
        <v>48214</v>
      </c>
      <c r="DQ3" s="558">
        <f>+'5. KHBH'!EN4</f>
        <v>48245</v>
      </c>
      <c r="DR3" s="558">
        <f>+'5. KHBH'!EO4</f>
        <v>48274</v>
      </c>
      <c r="DS3" s="558">
        <f>+'5. KHBH'!EP4</f>
        <v>48305</v>
      </c>
      <c r="DT3" s="558">
        <f>+'5. KHBH'!EQ4</f>
        <v>48335</v>
      </c>
      <c r="DU3" s="558">
        <f>+'5. KHBH'!ER4</f>
        <v>48366</v>
      </c>
      <c r="DV3" s="558">
        <f>+'5. KHBH'!ES4</f>
        <v>48396</v>
      </c>
      <c r="DW3" s="558">
        <f>+'5. KHBH'!ET4</f>
        <v>48427</v>
      </c>
      <c r="DX3" s="558">
        <f>+'5. KHBH'!EU4</f>
        <v>48458</v>
      </c>
      <c r="DY3" s="558">
        <f>+'5. KHBH'!EV4</f>
        <v>48488</v>
      </c>
      <c r="DZ3" s="558">
        <f>+'5. KHBH'!EW4</f>
        <v>48519</v>
      </c>
      <c r="EA3" s="558">
        <f>+'5. KHBH'!EX4</f>
        <v>48549</v>
      </c>
      <c r="EB3" s="558">
        <f>+'5. KHBH'!EY4</f>
        <v>48580</v>
      </c>
      <c r="EC3" s="558">
        <f>+'5. KHBH'!EZ4</f>
        <v>48611</v>
      </c>
      <c r="ED3" s="558">
        <f>+'5. KHBH'!FA4</f>
        <v>48639</v>
      </c>
      <c r="EE3" s="558">
        <f>+'5. KHBH'!FB4</f>
        <v>48670</v>
      </c>
      <c r="EF3" s="558">
        <f>+'5. KHBH'!FC4</f>
        <v>48700</v>
      </c>
      <c r="EG3" s="558">
        <f>+'5. KHBH'!FD4</f>
        <v>48731</v>
      </c>
      <c r="EH3" s="558">
        <f>+'5. KHBH'!FE4</f>
        <v>48761</v>
      </c>
      <c r="EI3" s="558">
        <f>+'5. KHBH'!FF4</f>
        <v>48792</v>
      </c>
      <c r="EJ3" s="558">
        <f>+'5. KHBH'!FG4</f>
        <v>48823</v>
      </c>
      <c r="EK3" s="558">
        <f>+'5. KHBH'!FH4</f>
        <v>48853</v>
      </c>
      <c r="EL3" s="558">
        <f>+'5. KHBH'!FI4</f>
        <v>48884</v>
      </c>
      <c r="EM3" s="558">
        <f>+'5. KHBH'!FJ4</f>
        <v>48914</v>
      </c>
      <c r="EN3" s="558">
        <f>+'5. KHBH'!FK4</f>
        <v>45291</v>
      </c>
      <c r="EO3" s="558">
        <f>+'5. KHBH'!FL4</f>
        <v>45382</v>
      </c>
      <c r="EP3" s="558">
        <f>+'5. KHBH'!FM4</f>
        <v>45473</v>
      </c>
      <c r="EQ3" s="558">
        <f>+'5. KHBH'!FN4</f>
        <v>45565</v>
      </c>
      <c r="ER3" s="558">
        <f>+'5. KHBH'!FO4</f>
        <v>45657</v>
      </c>
      <c r="ES3" s="558">
        <f>+'5. KHBH'!FP4</f>
        <v>45747</v>
      </c>
      <c r="ET3" s="558">
        <f>+'5. KHBH'!FQ4</f>
        <v>45838</v>
      </c>
      <c r="EU3" s="558">
        <f>+'5. KHBH'!FR4</f>
        <v>45930</v>
      </c>
      <c r="EV3" s="558">
        <f>+'5. KHBH'!FS4</f>
        <v>46022</v>
      </c>
      <c r="EW3" s="558">
        <f>+'5. KHBH'!FT4</f>
        <v>46112</v>
      </c>
      <c r="EX3" s="558">
        <f>+'5. KHBH'!FU4</f>
        <v>46203</v>
      </c>
      <c r="EY3" s="558">
        <f>+'5. KHBH'!FV4</f>
        <v>46295</v>
      </c>
      <c r="EZ3" s="558">
        <f>+'5. KHBH'!FW4</f>
        <v>46387</v>
      </c>
      <c r="FA3" s="558">
        <f>+'5. KHBH'!FX4</f>
        <v>46477</v>
      </c>
      <c r="FB3" s="558">
        <f>+'5. KHBH'!FY4</f>
        <v>46568</v>
      </c>
      <c r="FC3" s="558">
        <f>+'5. KHBH'!FZ4</f>
        <v>46660</v>
      </c>
      <c r="FD3" s="558">
        <f>+'5. KHBH'!GA4</f>
        <v>46752</v>
      </c>
      <c r="FE3" s="558">
        <f>+'5. KHBH'!GB4</f>
        <v>46843</v>
      </c>
      <c r="FF3" s="558">
        <f>+'5. KHBH'!GC4</f>
        <v>46934</v>
      </c>
      <c r="FG3" s="558">
        <f>+'5. KHBH'!GD4</f>
        <v>47026</v>
      </c>
      <c r="FH3" s="558">
        <f>+'5. KHBH'!GE4</f>
        <v>47118</v>
      </c>
      <c r="FI3" s="558">
        <f>+'5. KHBH'!GF4</f>
        <v>47208</v>
      </c>
      <c r="FJ3" s="558">
        <f>+'5. KHBH'!GG4</f>
        <v>47299</v>
      </c>
      <c r="FK3" s="558">
        <f>+'5. KHBH'!GH4</f>
        <v>47391</v>
      </c>
      <c r="FL3" s="558">
        <f>+'5. KHBH'!GI4</f>
        <v>47483</v>
      </c>
      <c r="FM3" s="558">
        <f>+'5. KHBH'!GJ4</f>
        <v>47573</v>
      </c>
      <c r="FN3" s="558">
        <f>+'5. KHBH'!GK4</f>
        <v>47664</v>
      </c>
      <c r="FO3" s="558">
        <f>+'5. KHBH'!GL4</f>
        <v>47756</v>
      </c>
      <c r="FP3" s="558">
        <f>+'5. KHBH'!GM4</f>
        <v>47848</v>
      </c>
      <c r="FQ3" s="558">
        <f>+'5. KHBH'!GN4</f>
        <v>47938</v>
      </c>
      <c r="FR3" s="558">
        <f>+'5. KHBH'!GO4</f>
        <v>48029</v>
      </c>
      <c r="FS3" s="558">
        <f>+'5. KHBH'!GP4</f>
        <v>48121</v>
      </c>
      <c r="FT3" s="558">
        <f>+'5. KHBH'!GQ4</f>
        <v>48213</v>
      </c>
      <c r="FU3" s="558">
        <f>+'5. KHBH'!GR4</f>
        <v>48304</v>
      </c>
      <c r="FV3" s="558">
        <f>+'5. KHBH'!GS4</f>
        <v>48395</v>
      </c>
      <c r="FW3" s="558">
        <f>+'5. KHBH'!GT4</f>
        <v>48487</v>
      </c>
      <c r="FX3" s="558">
        <f>+'5. KHBH'!GU4</f>
        <v>48579</v>
      </c>
      <c r="FY3" s="558">
        <f>+'5. KHBH'!GV4</f>
        <v>48669</v>
      </c>
      <c r="FZ3" s="558">
        <f>+'5. KHBH'!GW4</f>
        <v>48760</v>
      </c>
      <c r="GA3" s="558">
        <f>+'5. KHBH'!GX4</f>
        <v>48852</v>
      </c>
      <c r="GB3" s="558">
        <f>+'5. KHBH'!GY4</f>
        <v>48944</v>
      </c>
    </row>
    <row r="4" spans="1:184" ht="28">
      <c r="A4" s="559" t="s">
        <v>1</v>
      </c>
      <c r="B4" s="560" t="s">
        <v>158</v>
      </c>
      <c r="C4" s="561">
        <f>SUM(C5:C8)</f>
        <v>1396308563636.3635</v>
      </c>
      <c r="D4" s="562">
        <f>SUM(D5:D8)</f>
        <v>57702.751999999993</v>
      </c>
      <c r="E4" s="146" t="e">
        <f>SUM(#REF!)</f>
        <v>#REF!</v>
      </c>
      <c r="F4" s="146" t="e">
        <f>SUM(#REF!)</f>
        <v>#REF!</v>
      </c>
      <c r="G4" s="146" t="e">
        <f>SUM(#REF!)</f>
        <v>#REF!</v>
      </c>
      <c r="H4" s="146" t="e">
        <f>SUM(#REF!)</f>
        <v>#REF!</v>
      </c>
      <c r="I4" s="146" t="e">
        <f>SUM(#REF!)</f>
        <v>#REF!</v>
      </c>
      <c r="J4" s="146" t="e">
        <f>SUM(#REF!)</f>
        <v>#REF!</v>
      </c>
      <c r="K4" s="146" t="e">
        <f>SUM(#REF!)</f>
        <v>#REF!</v>
      </c>
      <c r="L4" s="146" t="e">
        <f>SUM(#REF!)</f>
        <v>#REF!</v>
      </c>
      <c r="M4" s="146" t="e">
        <f>SUM(#REF!)</f>
        <v>#REF!</v>
      </c>
      <c r="N4" s="146" t="e">
        <f>SUM(#REF!)</f>
        <v>#REF!</v>
      </c>
      <c r="O4" s="146" t="e">
        <f>SUM(#REF!)</f>
        <v>#REF!</v>
      </c>
      <c r="P4" s="146" t="e">
        <f>SUM(#REF!)</f>
        <v>#REF!</v>
      </c>
      <c r="Q4" s="146" t="e">
        <f>SUM(#REF!)</f>
        <v>#REF!</v>
      </c>
      <c r="R4" s="146" t="e">
        <f>SUM(#REF!)</f>
        <v>#REF!</v>
      </c>
      <c r="S4" s="146" t="e">
        <f>SUM(#REF!)</f>
        <v>#REF!</v>
      </c>
      <c r="T4" s="146" t="e">
        <f>SUM(#REF!)</f>
        <v>#REF!</v>
      </c>
      <c r="U4" s="146" t="e">
        <f>SUM(#REF!)</f>
        <v>#REF!</v>
      </c>
      <c r="V4" s="146" t="e">
        <f>SUM(#REF!)</f>
        <v>#REF!</v>
      </c>
      <c r="W4" s="146" t="e">
        <f>SUM(#REF!)</f>
        <v>#REF!</v>
      </c>
      <c r="X4" s="146" t="e">
        <f>SUM(#REF!)</f>
        <v>#REF!</v>
      </c>
      <c r="Y4" s="146" t="e">
        <f>SUM(#REF!)</f>
        <v>#REF!</v>
      </c>
      <c r="Z4" s="146" t="e">
        <f>SUM(#REF!)</f>
        <v>#REF!</v>
      </c>
      <c r="AA4" s="146" t="e">
        <f>SUM(#REF!)</f>
        <v>#REF!</v>
      </c>
      <c r="AB4" s="146" t="e">
        <f>SUM(#REF!)</f>
        <v>#REF!</v>
      </c>
      <c r="AC4" s="146" t="e">
        <f>SUM(#REF!)</f>
        <v>#REF!</v>
      </c>
      <c r="AD4" s="146" t="e">
        <f>SUM(#REF!)</f>
        <v>#REF!</v>
      </c>
      <c r="AE4" s="146" t="e">
        <f>SUM(#REF!)</f>
        <v>#REF!</v>
      </c>
      <c r="AF4" s="146" t="e">
        <f>SUM(#REF!)</f>
        <v>#REF!</v>
      </c>
      <c r="AG4" s="146" t="e">
        <f>SUM(#REF!)</f>
        <v>#REF!</v>
      </c>
      <c r="AH4" s="146" t="e">
        <f>SUM(#REF!)</f>
        <v>#REF!</v>
      </c>
      <c r="AI4" s="146" t="e">
        <f>SUM(#REF!)</f>
        <v>#REF!</v>
      </c>
      <c r="AJ4" s="146" t="e">
        <f>SUM(#REF!)</f>
        <v>#REF!</v>
      </c>
      <c r="AK4" s="146" t="e">
        <f>SUM(#REF!)</f>
        <v>#REF!</v>
      </c>
      <c r="AL4" s="146" t="e">
        <f>SUM(#REF!)</f>
        <v>#REF!</v>
      </c>
      <c r="AM4" s="146" t="e">
        <f>SUM(#REF!)</f>
        <v>#REF!</v>
      </c>
      <c r="AN4" s="146" t="e">
        <f>SUM(#REF!)</f>
        <v>#REF!</v>
      </c>
      <c r="AO4" s="146" t="e">
        <f>SUM(#REF!)</f>
        <v>#REF!</v>
      </c>
      <c r="AP4" s="146" t="e">
        <f>SUM(#REF!)</f>
        <v>#REF!</v>
      </c>
      <c r="AQ4" s="146" t="e">
        <f>SUM(#REF!)</f>
        <v>#REF!</v>
      </c>
      <c r="AR4" s="146" t="e">
        <f>SUM(#REF!)</f>
        <v>#REF!</v>
      </c>
      <c r="AS4" s="146" t="e">
        <f>SUM(#REF!)</f>
        <v>#REF!</v>
      </c>
      <c r="AT4" s="146" t="e">
        <f>SUM(#REF!)</f>
        <v>#REF!</v>
      </c>
      <c r="AU4" s="146" t="e">
        <f>SUM(#REF!)</f>
        <v>#REF!</v>
      </c>
      <c r="AV4" s="146" t="e">
        <f>SUM(#REF!)</f>
        <v>#REF!</v>
      </c>
      <c r="AW4" s="146" t="e">
        <f>SUM(#REF!)</f>
        <v>#REF!</v>
      </c>
      <c r="AX4" s="146" t="e">
        <f>SUM(#REF!)</f>
        <v>#REF!</v>
      </c>
      <c r="AY4" s="146" t="e">
        <f>SUM(#REF!)</f>
        <v>#REF!</v>
      </c>
      <c r="AZ4" s="146" t="e">
        <f>SUM(#REF!)</f>
        <v>#REF!</v>
      </c>
      <c r="BA4" s="146" t="e">
        <f>SUM(#REF!)</f>
        <v>#REF!</v>
      </c>
      <c r="BB4" s="146" t="e">
        <f>SUM(#REF!)</f>
        <v>#REF!</v>
      </c>
      <c r="BC4" s="146" t="e">
        <f>SUM(#REF!)</f>
        <v>#REF!</v>
      </c>
      <c r="BD4" s="146" t="e">
        <f>SUM(#REF!)</f>
        <v>#REF!</v>
      </c>
      <c r="BE4" s="146" t="e">
        <f>SUM(#REF!)</f>
        <v>#REF!</v>
      </c>
      <c r="BF4" s="146" t="e">
        <f>SUM(#REF!)</f>
        <v>#REF!</v>
      </c>
      <c r="BG4" s="146" t="e">
        <f>SUM(#REF!)</f>
        <v>#REF!</v>
      </c>
      <c r="BH4" s="146" t="e">
        <f>SUM(#REF!)</f>
        <v>#REF!</v>
      </c>
      <c r="BI4" s="146" t="e">
        <f>SUM(#REF!)</f>
        <v>#REF!</v>
      </c>
      <c r="BJ4" s="146" t="e">
        <f>SUM(#REF!)</f>
        <v>#REF!</v>
      </c>
      <c r="BK4" s="146" t="e">
        <f>SUM(#REF!)</f>
        <v>#REF!</v>
      </c>
      <c r="BL4" s="146" t="e">
        <f>SUM(#REF!)</f>
        <v>#REF!</v>
      </c>
      <c r="BM4" s="146" t="e">
        <f>SUM(#REF!)</f>
        <v>#REF!</v>
      </c>
      <c r="BN4" s="146" t="e">
        <f>SUM(#REF!)</f>
        <v>#REF!</v>
      </c>
      <c r="BO4" s="146" t="e">
        <f>SUM(#REF!)</f>
        <v>#REF!</v>
      </c>
      <c r="BP4" s="146" t="e">
        <f>SUM(#REF!)</f>
        <v>#REF!</v>
      </c>
      <c r="BQ4" s="146" t="e">
        <f>SUM(#REF!)</f>
        <v>#REF!</v>
      </c>
      <c r="BR4" s="146" t="e">
        <f>SUM(#REF!)</f>
        <v>#REF!</v>
      </c>
      <c r="BS4" s="146" t="e">
        <f>SUM(#REF!)</f>
        <v>#REF!</v>
      </c>
      <c r="BT4" s="146" t="e">
        <f>SUM(#REF!)</f>
        <v>#REF!</v>
      </c>
      <c r="BU4" s="146" t="e">
        <f>SUM(#REF!)</f>
        <v>#REF!</v>
      </c>
      <c r="BV4" s="146" t="e">
        <f>SUM(#REF!)</f>
        <v>#REF!</v>
      </c>
      <c r="BW4" s="146" t="e">
        <f>SUM(#REF!)</f>
        <v>#REF!</v>
      </c>
      <c r="BX4" s="146" t="e">
        <f>SUM(#REF!)</f>
        <v>#REF!</v>
      </c>
      <c r="BY4" s="146" t="e">
        <f>SUM(#REF!)</f>
        <v>#REF!</v>
      </c>
      <c r="BZ4" s="146" t="e">
        <f>SUM(#REF!)</f>
        <v>#REF!</v>
      </c>
      <c r="CA4" s="146" t="e">
        <f>SUM(#REF!)</f>
        <v>#REF!</v>
      </c>
      <c r="CB4" s="146" t="e">
        <f>SUM(#REF!)</f>
        <v>#REF!</v>
      </c>
      <c r="CC4" s="146" t="e">
        <f>SUM(#REF!)</f>
        <v>#REF!</v>
      </c>
      <c r="CD4" s="146" t="e">
        <f>SUM(#REF!)</f>
        <v>#REF!</v>
      </c>
      <c r="CE4" s="146" t="e">
        <f>SUM(#REF!)</f>
        <v>#REF!</v>
      </c>
      <c r="CF4" s="146" t="e">
        <f>SUM(#REF!)</f>
        <v>#REF!</v>
      </c>
      <c r="CG4" s="146" t="e">
        <f>SUM(#REF!)</f>
        <v>#REF!</v>
      </c>
      <c r="CH4" s="146" t="e">
        <f>SUM(#REF!)</f>
        <v>#REF!</v>
      </c>
      <c r="CI4" s="146" t="e">
        <f>SUM(#REF!)</f>
        <v>#REF!</v>
      </c>
      <c r="CJ4" s="146" t="e">
        <f>SUM(#REF!)</f>
        <v>#REF!</v>
      </c>
      <c r="CK4" s="146" t="e">
        <f>SUM(#REF!)</f>
        <v>#REF!</v>
      </c>
      <c r="CL4" s="146" t="e">
        <f>SUM(#REF!)</f>
        <v>#REF!</v>
      </c>
      <c r="CM4" s="146" t="e">
        <f>SUM(#REF!)</f>
        <v>#REF!</v>
      </c>
      <c r="CN4" s="146" t="e">
        <f>SUM(#REF!)</f>
        <v>#REF!</v>
      </c>
      <c r="CO4" s="146" t="e">
        <f>SUM(#REF!)</f>
        <v>#REF!</v>
      </c>
      <c r="CP4" s="146" t="e">
        <f>SUM(#REF!)</f>
        <v>#REF!</v>
      </c>
      <c r="CQ4" s="146" t="e">
        <f>SUM(#REF!)</f>
        <v>#REF!</v>
      </c>
      <c r="CR4" s="146" t="e">
        <f>SUM(#REF!)</f>
        <v>#REF!</v>
      </c>
      <c r="CS4" s="146" t="e">
        <f>SUM(#REF!)</f>
        <v>#REF!</v>
      </c>
      <c r="CT4" s="146" t="e">
        <f>SUM(#REF!)</f>
        <v>#REF!</v>
      </c>
      <c r="CU4" s="146" t="e">
        <f>SUM(#REF!)</f>
        <v>#REF!</v>
      </c>
      <c r="CV4" s="146" t="e">
        <f>SUM(#REF!)</f>
        <v>#REF!</v>
      </c>
      <c r="CW4" s="146" t="e">
        <f>SUM(#REF!)</f>
        <v>#REF!</v>
      </c>
      <c r="CX4" s="146" t="e">
        <f>SUM(#REF!)</f>
        <v>#REF!</v>
      </c>
      <c r="CY4" s="146" t="e">
        <f>SUM(#REF!)</f>
        <v>#REF!</v>
      </c>
      <c r="CZ4" s="146" t="e">
        <f>SUM(#REF!)</f>
        <v>#REF!</v>
      </c>
      <c r="DA4" s="146" t="e">
        <f>SUM(#REF!)</f>
        <v>#REF!</v>
      </c>
      <c r="DB4" s="146" t="e">
        <f>SUM(#REF!)</f>
        <v>#REF!</v>
      </c>
      <c r="DC4" s="146" t="e">
        <f>SUM(#REF!)</f>
        <v>#REF!</v>
      </c>
      <c r="DD4" s="146" t="e">
        <f>SUM(#REF!)</f>
        <v>#REF!</v>
      </c>
      <c r="DE4" s="146" t="e">
        <f>SUM(#REF!)</f>
        <v>#REF!</v>
      </c>
      <c r="DF4" s="146" t="e">
        <f>SUM(#REF!)</f>
        <v>#REF!</v>
      </c>
      <c r="DG4" s="146" t="e">
        <f>SUM(#REF!)</f>
        <v>#REF!</v>
      </c>
      <c r="DH4" s="146" t="e">
        <f>SUM(#REF!)</f>
        <v>#REF!</v>
      </c>
      <c r="DI4" s="146" t="e">
        <f>SUM(#REF!)</f>
        <v>#REF!</v>
      </c>
      <c r="DJ4" s="146" t="e">
        <f>SUM(#REF!)</f>
        <v>#REF!</v>
      </c>
      <c r="DK4" s="146" t="e">
        <f>SUM(#REF!)</f>
        <v>#REF!</v>
      </c>
      <c r="DL4" s="146" t="e">
        <f>SUM(#REF!)</f>
        <v>#REF!</v>
      </c>
      <c r="DM4" s="146" t="e">
        <f>SUM(#REF!)</f>
        <v>#REF!</v>
      </c>
      <c r="DN4" s="146" t="e">
        <f>SUM(#REF!)</f>
        <v>#REF!</v>
      </c>
      <c r="DO4" s="146" t="e">
        <f>SUM(#REF!)</f>
        <v>#REF!</v>
      </c>
      <c r="DP4" s="146" t="e">
        <f>SUM(#REF!)</f>
        <v>#REF!</v>
      </c>
      <c r="DQ4" s="146" t="e">
        <f>SUM(#REF!)</f>
        <v>#REF!</v>
      </c>
      <c r="DR4" s="146" t="e">
        <f>SUM(#REF!)</f>
        <v>#REF!</v>
      </c>
      <c r="DS4" s="146" t="e">
        <f>SUM(#REF!)</f>
        <v>#REF!</v>
      </c>
      <c r="DT4" s="146" t="e">
        <f>SUM(#REF!)</f>
        <v>#REF!</v>
      </c>
      <c r="DU4" s="146" t="e">
        <f>SUM(#REF!)</f>
        <v>#REF!</v>
      </c>
      <c r="DV4" s="146" t="e">
        <f>SUM(#REF!)</f>
        <v>#REF!</v>
      </c>
      <c r="DW4" s="146" t="e">
        <f>SUM(#REF!)</f>
        <v>#REF!</v>
      </c>
      <c r="DX4" s="146" t="e">
        <f>SUM(#REF!)</f>
        <v>#REF!</v>
      </c>
      <c r="DY4" s="146" t="e">
        <f>SUM(#REF!)</f>
        <v>#REF!</v>
      </c>
      <c r="DZ4" s="146" t="e">
        <f>SUM(#REF!)</f>
        <v>#REF!</v>
      </c>
      <c r="EA4" s="146" t="e">
        <f>SUM(#REF!)</f>
        <v>#REF!</v>
      </c>
      <c r="EB4" s="146" t="e">
        <f>SUM(#REF!)</f>
        <v>#REF!</v>
      </c>
      <c r="EC4" s="146" t="e">
        <f>SUM(#REF!)</f>
        <v>#REF!</v>
      </c>
      <c r="ED4" s="146" t="e">
        <f>SUM(#REF!)</f>
        <v>#REF!</v>
      </c>
      <c r="EE4" s="146" t="e">
        <f>SUM(#REF!)</f>
        <v>#REF!</v>
      </c>
      <c r="EF4" s="146" t="e">
        <f>SUM(#REF!)</f>
        <v>#REF!</v>
      </c>
      <c r="EG4" s="146" t="e">
        <f>SUM(#REF!)</f>
        <v>#REF!</v>
      </c>
      <c r="EH4" s="146" t="e">
        <f>SUM(#REF!)</f>
        <v>#REF!</v>
      </c>
      <c r="EI4" s="146" t="e">
        <f>SUM(#REF!)</f>
        <v>#REF!</v>
      </c>
      <c r="EJ4" s="146" t="e">
        <f>SUM(#REF!)</f>
        <v>#REF!</v>
      </c>
      <c r="EK4" s="146" t="e">
        <f>SUM(#REF!)</f>
        <v>#REF!</v>
      </c>
      <c r="EL4" s="146" t="e">
        <f>SUM(#REF!)</f>
        <v>#REF!</v>
      </c>
      <c r="EM4" s="146" t="e">
        <f>SUM(#REF!)</f>
        <v>#REF!</v>
      </c>
      <c r="EN4" s="147">
        <f t="shared" ref="EN4:GB4" si="0">SUM(EN5:EN8)</f>
        <v>0</v>
      </c>
      <c r="EO4" s="147">
        <f t="shared" si="0"/>
        <v>0</v>
      </c>
      <c r="EP4" s="147">
        <f t="shared" si="0"/>
        <v>0</v>
      </c>
      <c r="EQ4" s="147">
        <f t="shared" si="0"/>
        <v>0</v>
      </c>
      <c r="ER4" s="147">
        <f t="shared" si="0"/>
        <v>0</v>
      </c>
      <c r="ES4" s="147">
        <f t="shared" si="0"/>
        <v>0</v>
      </c>
      <c r="ET4" s="147">
        <f t="shared" si="0"/>
        <v>0</v>
      </c>
      <c r="EU4" s="147">
        <f t="shared" si="0"/>
        <v>0</v>
      </c>
      <c r="EV4" s="147">
        <f t="shared" si="0"/>
        <v>0</v>
      </c>
      <c r="EW4" s="147">
        <f t="shared" si="0"/>
        <v>0</v>
      </c>
      <c r="EX4" s="147">
        <f t="shared" si="0"/>
        <v>0</v>
      </c>
      <c r="EY4" s="147">
        <f t="shared" si="0"/>
        <v>0</v>
      </c>
      <c r="EZ4" s="147">
        <f t="shared" si="0"/>
        <v>0</v>
      </c>
      <c r="FA4" s="147">
        <f t="shared" si="0"/>
        <v>0</v>
      </c>
      <c r="FB4" s="147">
        <f t="shared" si="0"/>
        <v>0</v>
      </c>
      <c r="FC4" s="147">
        <f t="shared" si="0"/>
        <v>0</v>
      </c>
      <c r="FD4" s="147">
        <f t="shared" si="0"/>
        <v>0</v>
      </c>
      <c r="FE4" s="147">
        <f t="shared" si="0"/>
        <v>0</v>
      </c>
      <c r="FF4" s="147">
        <f t="shared" si="0"/>
        <v>0</v>
      </c>
      <c r="FG4" s="147">
        <f t="shared" si="0"/>
        <v>0</v>
      </c>
      <c r="FH4" s="147">
        <f t="shared" si="0"/>
        <v>0</v>
      </c>
      <c r="FI4" s="147">
        <f t="shared" si="0"/>
        <v>743389163636.36353</v>
      </c>
      <c r="FJ4" s="147">
        <f t="shared" si="0"/>
        <v>0</v>
      </c>
      <c r="FK4" s="147">
        <f t="shared" si="0"/>
        <v>0</v>
      </c>
      <c r="FL4" s="147">
        <f t="shared" si="0"/>
        <v>0</v>
      </c>
      <c r="FM4" s="147">
        <f t="shared" si="0"/>
        <v>357058800000</v>
      </c>
      <c r="FN4" s="147">
        <f t="shared" si="0"/>
        <v>0</v>
      </c>
      <c r="FO4" s="147">
        <f t="shared" si="0"/>
        <v>0</v>
      </c>
      <c r="FP4" s="147">
        <f t="shared" si="0"/>
        <v>0</v>
      </c>
      <c r="FQ4" s="147">
        <f t="shared" si="0"/>
        <v>295860599999.99994</v>
      </c>
      <c r="FR4" s="147">
        <f t="shared" si="0"/>
        <v>0</v>
      </c>
      <c r="FS4" s="147">
        <f t="shared" si="0"/>
        <v>0</v>
      </c>
      <c r="FT4" s="147">
        <f t="shared" si="0"/>
        <v>0</v>
      </c>
      <c r="FU4" s="147">
        <f t="shared" si="0"/>
        <v>0</v>
      </c>
      <c r="FV4" s="147">
        <f t="shared" si="0"/>
        <v>0</v>
      </c>
      <c r="FW4" s="147">
        <f t="shared" si="0"/>
        <v>0</v>
      </c>
      <c r="FX4" s="147">
        <f t="shared" si="0"/>
        <v>0</v>
      </c>
      <c r="FY4" s="147">
        <f t="shared" si="0"/>
        <v>0</v>
      </c>
      <c r="FZ4" s="147">
        <f t="shared" si="0"/>
        <v>0</v>
      </c>
      <c r="GA4" s="147">
        <f t="shared" si="0"/>
        <v>0</v>
      </c>
      <c r="GB4" s="147">
        <f t="shared" si="0"/>
        <v>0</v>
      </c>
    </row>
    <row r="5" spans="1:184">
      <c r="A5" s="563">
        <v>1</v>
      </c>
      <c r="B5" s="564" t="str">
        <f>'5. KHBH'!C8</f>
        <v>Nhà ở xã hội 1</v>
      </c>
      <c r="C5" s="565">
        <f t="shared" ref="C5" si="1">SUM(EN5:GB5)</f>
        <v>438990299999.99994</v>
      </c>
      <c r="D5" s="565">
        <f>SUMIF('5. KHBH'!$I$8:$I$11,B5,'5. KHBH'!$M$8:$M$11)</f>
        <v>21461.747999999996</v>
      </c>
      <c r="E5" s="352">
        <f>SUMIFS('5. KHBH'!$P$8:$P$11,'5. KHBH'!$Q$8:$Q$11,'7. P&amp;L TOÀN DỰ ÁN'!E$3,'5. KHBH'!$I$8:$I$11,'7. P&amp;L TOÀN DỰ ÁN'!$B5)/1.1</f>
        <v>0</v>
      </c>
      <c r="F5" s="352">
        <f>SUMIFS('5. KHBH'!$P$8:$P$11,'5. KHBH'!$Q$8:$Q$11,'7. P&amp;L TOÀN DỰ ÁN'!F$3,'5. KHBH'!$I$8:$I$11,'7. P&amp;L TOÀN DỰ ÁN'!$B5)/1.1</f>
        <v>0</v>
      </c>
      <c r="G5" s="352">
        <f>SUMIFS('5. KHBH'!$P$8:$P$11,'5. KHBH'!$Q$8:$Q$11,'7. P&amp;L TOÀN DỰ ÁN'!G$3,'5. KHBH'!$I$8:$I$11,'7. P&amp;L TOÀN DỰ ÁN'!$B5)/1.1</f>
        <v>0</v>
      </c>
      <c r="H5" s="352">
        <f>SUMIFS('5. KHBH'!$P$8:$P$11,'5. KHBH'!$Q$8:$Q$11,'7. P&amp;L TOÀN DỰ ÁN'!H$3,'5. KHBH'!$I$8:$I$11,'7. P&amp;L TOÀN DỰ ÁN'!$B5)/1.1</f>
        <v>0</v>
      </c>
      <c r="I5" s="352">
        <f>SUMIFS('5. KHBH'!$P$8:$P$11,'5. KHBH'!$Q$8:$Q$11,'7. P&amp;L TOÀN DỰ ÁN'!I$3,'5. KHBH'!$I$8:$I$11,'7. P&amp;L TOÀN DỰ ÁN'!$B5)/1.1</f>
        <v>0</v>
      </c>
      <c r="J5" s="352">
        <f>SUMIFS('5. KHBH'!$P$8:$P$11,'5. KHBH'!$Q$8:$Q$11,'7. P&amp;L TOÀN DỰ ÁN'!J$3,'5. KHBH'!$I$8:$I$11,'7. P&amp;L TOÀN DỰ ÁN'!$B5)/1.1</f>
        <v>0</v>
      </c>
      <c r="K5" s="352">
        <f>SUMIFS('5. KHBH'!$P$8:$P$11,'5. KHBH'!$Q$8:$Q$11,'7. P&amp;L TOÀN DỰ ÁN'!K$3,'5. KHBH'!$I$8:$I$11,'7. P&amp;L TOÀN DỰ ÁN'!$B5)/1.1</f>
        <v>0</v>
      </c>
      <c r="L5" s="352">
        <f>SUMIFS('5. KHBH'!$P$8:$P$11,'5. KHBH'!$Q$8:$Q$11,'7. P&amp;L TOÀN DỰ ÁN'!L$3,'5. KHBH'!$I$8:$I$11,'7. P&amp;L TOÀN DỰ ÁN'!$B5)/1.1</f>
        <v>0</v>
      </c>
      <c r="M5" s="352">
        <f>SUMIFS('5. KHBH'!$P$8:$P$11,'5. KHBH'!$Q$8:$Q$11,'7. P&amp;L TOÀN DỰ ÁN'!M$3,'5. KHBH'!$I$8:$I$11,'7. P&amp;L TOÀN DỰ ÁN'!$B5)/1.1</f>
        <v>0</v>
      </c>
      <c r="N5" s="352">
        <f>SUMIFS('5. KHBH'!$P$8:$P$11,'5. KHBH'!$Q$8:$Q$11,'7. P&amp;L TOÀN DỰ ÁN'!N$3,'5. KHBH'!$I$8:$I$11,'7. P&amp;L TOÀN DỰ ÁN'!$B5)/1.1</f>
        <v>0</v>
      </c>
      <c r="O5" s="352">
        <f>SUMIFS('5. KHBH'!$P$8:$P$11,'5. KHBH'!$Q$8:$Q$11,'7. P&amp;L TOÀN DỰ ÁN'!O$3,'5. KHBH'!$I$8:$I$11,'7. P&amp;L TOÀN DỰ ÁN'!$B5)/1.1</f>
        <v>0</v>
      </c>
      <c r="P5" s="352">
        <f>SUMIFS('5. KHBH'!$P$8:$P$11,'5. KHBH'!$Q$8:$Q$11,'7. P&amp;L TOÀN DỰ ÁN'!P$3,'5. KHBH'!$I$8:$I$11,'7. P&amp;L TOÀN DỰ ÁN'!$B5)/1.1</f>
        <v>0</v>
      </c>
      <c r="Q5" s="352">
        <f>SUMIFS('5. KHBH'!$P$8:$P$11,'5. KHBH'!$Q$8:$Q$11,'7. P&amp;L TOÀN DỰ ÁN'!Q$3,'5. KHBH'!$I$8:$I$11,'7. P&amp;L TOÀN DỰ ÁN'!$B5)/1.1</f>
        <v>0</v>
      </c>
      <c r="R5" s="352">
        <f>SUMIFS('5. KHBH'!$P$8:$P$11,'5. KHBH'!$Q$8:$Q$11,'7. P&amp;L TOÀN DỰ ÁN'!R$3,'5. KHBH'!$I$8:$I$11,'7. P&amp;L TOÀN DỰ ÁN'!$B5)/1.1</f>
        <v>0</v>
      </c>
      <c r="S5" s="352">
        <f>SUMIFS('5. KHBH'!$P$8:$P$11,'5. KHBH'!$Q$8:$Q$11,'7. P&amp;L TOÀN DỰ ÁN'!S$3,'5. KHBH'!$I$8:$I$11,'7. P&amp;L TOÀN DỰ ÁN'!$B5)/1.1</f>
        <v>0</v>
      </c>
      <c r="T5" s="352">
        <f>SUMIFS('5. KHBH'!$P$8:$P$11,'5. KHBH'!$Q$8:$Q$11,'7. P&amp;L TOÀN DỰ ÁN'!T$3,'5. KHBH'!$I$8:$I$11,'7. P&amp;L TOÀN DỰ ÁN'!$B5)/1.1</f>
        <v>0</v>
      </c>
      <c r="U5" s="352">
        <f>SUMIFS('5. KHBH'!$P$8:$P$11,'5. KHBH'!$Q$8:$Q$11,'7. P&amp;L TOÀN DỰ ÁN'!U$3,'5. KHBH'!$I$8:$I$11,'7. P&amp;L TOÀN DỰ ÁN'!$B5)/1.1</f>
        <v>0</v>
      </c>
      <c r="V5" s="352">
        <f>SUMIFS('5. KHBH'!$P$8:$P$11,'5. KHBH'!$Q$8:$Q$11,'7. P&amp;L TOÀN DỰ ÁN'!V$3,'5. KHBH'!$I$8:$I$11,'7. P&amp;L TOÀN DỰ ÁN'!$B5)/1.1</f>
        <v>0</v>
      </c>
      <c r="W5" s="352">
        <f>SUMIFS('5. KHBH'!$P$8:$P$11,'5. KHBH'!$Q$8:$Q$11,'7. P&amp;L TOÀN DỰ ÁN'!W$3,'5. KHBH'!$I$8:$I$11,'7. P&amp;L TOÀN DỰ ÁN'!$B5)/1.1</f>
        <v>0</v>
      </c>
      <c r="X5" s="352">
        <f>SUMIFS('5. KHBH'!$P$8:$P$11,'5. KHBH'!$Q$8:$Q$11,'7. P&amp;L TOÀN DỰ ÁN'!X$3,'5. KHBH'!$I$8:$I$11,'7. P&amp;L TOÀN DỰ ÁN'!$B5)/1.1</f>
        <v>0</v>
      </c>
      <c r="Y5" s="352">
        <f>SUMIFS('5. KHBH'!$P$8:$P$11,'5. KHBH'!$Q$8:$Q$11,'7. P&amp;L TOÀN DỰ ÁN'!Y$3,'5. KHBH'!$I$8:$I$11,'7. P&amp;L TOÀN DỰ ÁN'!$B5)/1.1</f>
        <v>0</v>
      </c>
      <c r="Z5" s="352">
        <f>SUMIFS('5. KHBH'!$P$8:$P$11,'5. KHBH'!$Q$8:$Q$11,'7. P&amp;L TOÀN DỰ ÁN'!Z$3,'5. KHBH'!$I$8:$I$11,'7. P&amp;L TOÀN DỰ ÁN'!$B5)/1.1</f>
        <v>0</v>
      </c>
      <c r="AA5" s="352">
        <f>SUMIFS('5. KHBH'!$P$8:$P$11,'5. KHBH'!$Q$8:$Q$11,'7. P&amp;L TOÀN DỰ ÁN'!AA$3,'5. KHBH'!$I$8:$I$11,'7. P&amp;L TOÀN DỰ ÁN'!$B5)/1.1</f>
        <v>0</v>
      </c>
      <c r="AB5" s="352">
        <f>SUMIFS('5. KHBH'!$P$8:$P$11,'5. KHBH'!$Q$8:$Q$11,'7. P&amp;L TOÀN DỰ ÁN'!AB$3,'5. KHBH'!$I$8:$I$11,'7. P&amp;L TOÀN DỰ ÁN'!$B5)/1.1</f>
        <v>0</v>
      </c>
      <c r="AC5" s="352">
        <f>SUMIFS('5. KHBH'!$P$8:$P$11,'5. KHBH'!$Q$8:$Q$11,'7. P&amp;L TOÀN DỰ ÁN'!AC$3,'5. KHBH'!$I$8:$I$11,'7. P&amp;L TOÀN DỰ ÁN'!$B5)/1.1</f>
        <v>0</v>
      </c>
      <c r="AD5" s="352">
        <f>SUMIFS('5. KHBH'!$P$8:$P$11,'5. KHBH'!$Q$8:$Q$11,'7. P&amp;L TOÀN DỰ ÁN'!AD$3,'5. KHBH'!$I$8:$I$11,'7. P&amp;L TOÀN DỰ ÁN'!$B5)/1.1</f>
        <v>0</v>
      </c>
      <c r="AE5" s="352">
        <f>SUMIFS('5. KHBH'!$P$8:$P$11,'5. KHBH'!$Q$8:$Q$11,'7. P&amp;L TOÀN DỰ ÁN'!AE$3,'5. KHBH'!$I$8:$I$11,'7. P&amp;L TOÀN DỰ ÁN'!$B5)/1.1</f>
        <v>0</v>
      </c>
      <c r="AF5" s="352">
        <f>SUMIFS('5. KHBH'!$P$8:$P$11,'5. KHBH'!$Q$8:$Q$11,'7. P&amp;L TOÀN DỰ ÁN'!AF$3,'5. KHBH'!$I$8:$I$11,'7. P&amp;L TOÀN DỰ ÁN'!$B5)/1.1</f>
        <v>0</v>
      </c>
      <c r="AG5" s="352">
        <f>SUMIFS('5. KHBH'!$P$8:$P$11,'5. KHBH'!$Q$8:$Q$11,'7. P&amp;L TOÀN DỰ ÁN'!AG$3,'5. KHBH'!$I$8:$I$11,'7. P&amp;L TOÀN DỰ ÁN'!$B5)/1.1</f>
        <v>0</v>
      </c>
      <c r="AH5" s="352">
        <f>SUMIFS('5. KHBH'!$P$8:$P$11,'5. KHBH'!$Q$8:$Q$11,'7. P&amp;L TOÀN DỰ ÁN'!AH$3,'5. KHBH'!$I$8:$I$11,'7. P&amp;L TOÀN DỰ ÁN'!$B5)/1.1</f>
        <v>0</v>
      </c>
      <c r="AI5" s="352">
        <f>SUMIFS('5. KHBH'!$P$8:$P$11,'5. KHBH'!$Q$8:$Q$11,'7. P&amp;L TOÀN DỰ ÁN'!AI$3,'5. KHBH'!$I$8:$I$11,'7. P&amp;L TOÀN DỰ ÁN'!$B5)/1.1</f>
        <v>0</v>
      </c>
      <c r="AJ5" s="352">
        <f>SUMIFS('5. KHBH'!$P$8:$P$11,'5. KHBH'!$Q$8:$Q$11,'7. P&amp;L TOÀN DỰ ÁN'!AJ$3,'5. KHBH'!$I$8:$I$11,'7. P&amp;L TOÀN DỰ ÁN'!$B5)/1.1</f>
        <v>0</v>
      </c>
      <c r="AK5" s="352">
        <f>SUMIFS('5. KHBH'!$P$8:$P$11,'5. KHBH'!$Q$8:$Q$11,'7. P&amp;L TOÀN DỰ ÁN'!AK$3,'5. KHBH'!$I$8:$I$11,'7. P&amp;L TOÀN DỰ ÁN'!$B5)/1.1</f>
        <v>0</v>
      </c>
      <c r="AL5" s="352">
        <f>SUMIFS('5. KHBH'!$P$8:$P$11,'5. KHBH'!$Q$8:$Q$11,'7. P&amp;L TOÀN DỰ ÁN'!AL$3,'5. KHBH'!$I$8:$I$11,'7. P&amp;L TOÀN DỰ ÁN'!$B5)/1.1</f>
        <v>0</v>
      </c>
      <c r="AM5" s="352">
        <f>SUMIFS('5. KHBH'!$P$8:$P$11,'5. KHBH'!$Q$8:$Q$11,'7. P&amp;L TOÀN DỰ ÁN'!AM$3,'5. KHBH'!$I$8:$I$11,'7. P&amp;L TOÀN DỰ ÁN'!$B5)/1.1</f>
        <v>0</v>
      </c>
      <c r="AN5" s="352">
        <f>SUMIFS('5. KHBH'!$P$8:$P$11,'5. KHBH'!$Q$8:$Q$11,'7. P&amp;L TOÀN DỰ ÁN'!AN$3,'5. KHBH'!$I$8:$I$11,'7. P&amp;L TOÀN DỰ ÁN'!$B5)/1.1</f>
        <v>0</v>
      </c>
      <c r="AO5" s="352">
        <f>SUMIFS('5. KHBH'!$P$8:$P$11,'5. KHBH'!$Q$8:$Q$11,'7. P&amp;L TOÀN DỰ ÁN'!AO$3,'5. KHBH'!$I$8:$I$11,'7. P&amp;L TOÀN DỰ ÁN'!$B5)/1.1</f>
        <v>0</v>
      </c>
      <c r="AP5" s="352">
        <f>SUMIFS('5. KHBH'!$P$8:$P$11,'5. KHBH'!$Q$8:$Q$11,'7. P&amp;L TOÀN DỰ ÁN'!AP$3,'5. KHBH'!$I$8:$I$11,'7. P&amp;L TOÀN DỰ ÁN'!$B5)/1.1</f>
        <v>0</v>
      </c>
      <c r="AQ5" s="352">
        <f>SUMIFS('5. KHBH'!$P$8:$P$11,'5. KHBH'!$Q$8:$Q$11,'7. P&amp;L TOÀN DỰ ÁN'!AQ$3,'5. KHBH'!$I$8:$I$11,'7. P&amp;L TOÀN DỰ ÁN'!$B5)/1.1</f>
        <v>0</v>
      </c>
      <c r="AR5" s="352">
        <f>SUMIFS('5. KHBH'!$P$8:$P$11,'5. KHBH'!$Q$8:$Q$11,'7. P&amp;L TOÀN DỰ ÁN'!AR$3,'5. KHBH'!$I$8:$I$11,'7. P&amp;L TOÀN DỰ ÁN'!$B5)/1.1</f>
        <v>0</v>
      </c>
      <c r="AS5" s="352">
        <f>SUMIFS('5. KHBH'!$P$8:$P$11,'5. KHBH'!$Q$8:$Q$11,'7. P&amp;L TOÀN DỰ ÁN'!AS$3,'5. KHBH'!$I$8:$I$11,'7. P&amp;L TOÀN DỰ ÁN'!$B5)/1.1</f>
        <v>0</v>
      </c>
      <c r="AT5" s="352">
        <f>SUMIFS('5. KHBH'!$P$8:$P$11,'5. KHBH'!$Q$8:$Q$11,'7. P&amp;L TOÀN DỰ ÁN'!AT$3,'5. KHBH'!$I$8:$I$11,'7. P&amp;L TOÀN DỰ ÁN'!$B5)/1.1</f>
        <v>0</v>
      </c>
      <c r="AU5" s="352">
        <f>SUMIFS('5. KHBH'!$P$8:$P$11,'5. KHBH'!$Q$8:$Q$11,'7. P&amp;L TOÀN DỰ ÁN'!AU$3,'5. KHBH'!$I$8:$I$11,'7. P&amp;L TOÀN DỰ ÁN'!$B5)/1.1</f>
        <v>0</v>
      </c>
      <c r="AV5" s="352">
        <f>SUMIFS('5. KHBH'!$P$8:$P$11,'5. KHBH'!$Q$8:$Q$11,'7. P&amp;L TOÀN DỰ ÁN'!AV$3,'5. KHBH'!$I$8:$I$11,'7. P&amp;L TOÀN DỰ ÁN'!$B5)/1.1</f>
        <v>0</v>
      </c>
      <c r="AW5" s="352">
        <f>SUMIFS('5. KHBH'!$P$8:$P$11,'5. KHBH'!$Q$8:$Q$11,'7. P&amp;L TOÀN DỰ ÁN'!AW$3,'5. KHBH'!$I$8:$I$11,'7. P&amp;L TOÀN DỰ ÁN'!$B5)/1.1</f>
        <v>0</v>
      </c>
      <c r="AX5" s="352">
        <f>SUMIFS('5. KHBH'!$P$8:$P$11,'5. KHBH'!$Q$8:$Q$11,'7. P&amp;L TOÀN DỰ ÁN'!AX$3,'5. KHBH'!$I$8:$I$11,'7. P&amp;L TOÀN DỰ ÁN'!$B5)/1.1</f>
        <v>0</v>
      </c>
      <c r="AY5" s="352">
        <f>SUMIFS('5. KHBH'!$P$8:$P$11,'5. KHBH'!$Q$8:$Q$11,'7. P&amp;L TOÀN DỰ ÁN'!AY$3,'5. KHBH'!$I$8:$I$11,'7. P&amp;L TOÀN DỰ ÁN'!$B5)/1.1</f>
        <v>0</v>
      </c>
      <c r="AZ5" s="352">
        <f>SUMIFS('5. KHBH'!$P$8:$P$11,'5. KHBH'!$Q$8:$Q$11,'7. P&amp;L TOÀN DỰ ÁN'!AZ$3,'5. KHBH'!$I$8:$I$11,'7. P&amp;L TOÀN DỰ ÁN'!$B5)/1.1</f>
        <v>0</v>
      </c>
      <c r="BA5" s="352">
        <f>SUMIFS('5. KHBH'!$P$8:$P$11,'5. KHBH'!$Q$8:$Q$11,'7. P&amp;L TOÀN DỰ ÁN'!BA$3,'5. KHBH'!$I$8:$I$11,'7. P&amp;L TOÀN DỰ ÁN'!$B5)/1.1</f>
        <v>0</v>
      </c>
      <c r="BB5" s="352">
        <f>SUMIFS('5. KHBH'!$P$8:$P$11,'5. KHBH'!$Q$8:$Q$11,'7. P&amp;L TOÀN DỰ ÁN'!BB$3,'5. KHBH'!$I$8:$I$11,'7. P&amp;L TOÀN DỰ ÁN'!$B5)/1.1</f>
        <v>0</v>
      </c>
      <c r="BC5" s="352">
        <f>SUMIFS('5. KHBH'!$P$8:$P$11,'5. KHBH'!$Q$8:$Q$11,'7. P&amp;L TOÀN DỰ ÁN'!BC$3,'5. KHBH'!$I$8:$I$11,'7. P&amp;L TOÀN DỰ ÁN'!$B5)/1.1</f>
        <v>0</v>
      </c>
      <c r="BD5" s="352">
        <f>SUMIFS('5. KHBH'!$P$8:$P$11,'5. KHBH'!$Q$8:$Q$11,'7. P&amp;L TOÀN DỰ ÁN'!BD$3,'5. KHBH'!$I$8:$I$11,'7. P&amp;L TOÀN DỰ ÁN'!$B5)/1.1</f>
        <v>0</v>
      </c>
      <c r="BE5" s="352">
        <f>SUMIFS('5. KHBH'!$P$8:$P$11,'5. KHBH'!$Q$8:$Q$11,'7. P&amp;L TOÀN DỰ ÁN'!BE$3,'5. KHBH'!$I$8:$I$11,'7. P&amp;L TOÀN DỰ ÁN'!$B5)/1.1</f>
        <v>0</v>
      </c>
      <c r="BF5" s="352">
        <f>SUMIFS('5. KHBH'!$P$8:$P$11,'5. KHBH'!$Q$8:$Q$11,'7. P&amp;L TOÀN DỰ ÁN'!BF$3,'5. KHBH'!$I$8:$I$11,'7. P&amp;L TOÀN DỰ ÁN'!$B5)/1.1</f>
        <v>0</v>
      </c>
      <c r="BG5" s="352">
        <f>SUMIFS('5. KHBH'!$P$8:$P$11,'5. KHBH'!$Q$8:$Q$11,'7. P&amp;L TOÀN DỰ ÁN'!BG$3,'5. KHBH'!$I$8:$I$11,'7. P&amp;L TOÀN DỰ ÁN'!$B5)/1.1</f>
        <v>0</v>
      </c>
      <c r="BH5" s="352">
        <f>SUMIFS('5. KHBH'!$P$8:$P$11,'5. KHBH'!$Q$8:$Q$11,'7. P&amp;L TOÀN DỰ ÁN'!BH$3,'5. KHBH'!$I$8:$I$11,'7. P&amp;L TOÀN DỰ ÁN'!$B5)/1.1</f>
        <v>0</v>
      </c>
      <c r="BI5" s="352">
        <f>SUMIFS('5. KHBH'!$P$8:$P$11,'5. KHBH'!$Q$8:$Q$11,'7. P&amp;L TOÀN DỰ ÁN'!BI$3,'5. KHBH'!$I$8:$I$11,'7. P&amp;L TOÀN DỰ ÁN'!$B5)/1.1</f>
        <v>0</v>
      </c>
      <c r="BJ5" s="352">
        <f>SUMIFS('5. KHBH'!$P$8:$P$11,'5. KHBH'!$Q$8:$Q$11,'7. P&amp;L TOÀN DỰ ÁN'!BJ$3,'5. KHBH'!$I$8:$I$11,'7. P&amp;L TOÀN DỰ ÁN'!$B5)/1.1</f>
        <v>0</v>
      </c>
      <c r="BK5" s="352">
        <f>SUMIFS('5. KHBH'!$P$8:$P$11,'5. KHBH'!$Q$8:$Q$11,'7. P&amp;L TOÀN DỰ ÁN'!BK$3,'5. KHBH'!$I$8:$I$11,'7. P&amp;L TOÀN DỰ ÁN'!$B5)/1.1</f>
        <v>0</v>
      </c>
      <c r="BL5" s="352">
        <f>SUMIFS('5. KHBH'!$P$8:$P$11,'5. KHBH'!$Q$8:$Q$11,'7. P&amp;L TOÀN DỰ ÁN'!BL$3,'5. KHBH'!$I$8:$I$11,'7. P&amp;L TOÀN DỰ ÁN'!$B5)/1.1</f>
        <v>0</v>
      </c>
      <c r="BM5" s="352">
        <f>SUMIFS('5. KHBH'!$P$8:$P$11,'5. KHBH'!$Q$8:$Q$11,'7. P&amp;L TOÀN DỰ ÁN'!BM$3,'5. KHBH'!$I$8:$I$11,'7. P&amp;L TOÀN DỰ ÁN'!$B5)/1.1</f>
        <v>0</v>
      </c>
      <c r="BN5" s="352">
        <f>SUMIFS('5. KHBH'!$P$8:$P$11,'5. KHBH'!$Q$8:$Q$11,'7. P&amp;L TOÀN DỰ ÁN'!BN$3,'5. KHBH'!$I$8:$I$11,'7. P&amp;L TOÀN DỰ ÁN'!$B5)/1.1</f>
        <v>0</v>
      </c>
      <c r="BO5" s="352">
        <f>SUMIFS('5. KHBH'!$P$8:$P$11,'5. KHBH'!$Q$8:$Q$11,'7. P&amp;L TOÀN DỰ ÁN'!BO$3,'5. KHBH'!$I$8:$I$11,'7. P&amp;L TOÀN DỰ ÁN'!$B5)/1.1</f>
        <v>0</v>
      </c>
      <c r="BP5" s="352">
        <f>SUMIFS('5. KHBH'!$P$8:$P$11,'5. KHBH'!$Q$8:$Q$11,'7. P&amp;L TOÀN DỰ ÁN'!BP$3,'5. KHBH'!$I$8:$I$11,'7. P&amp;L TOÀN DỰ ÁN'!$B5)/1.1</f>
        <v>0</v>
      </c>
      <c r="BQ5" s="352">
        <f>SUMIFS('5. KHBH'!$P$8:$P$11,'5. KHBH'!$Q$8:$Q$11,'7. P&amp;L TOÀN DỰ ÁN'!BQ$3,'5. KHBH'!$I$8:$I$11,'7. P&amp;L TOÀN DỰ ÁN'!$B5)/1.1</f>
        <v>0</v>
      </c>
      <c r="BR5" s="352">
        <f>SUMIFS('5. KHBH'!$P$8:$P$11,'5. KHBH'!$Q$8:$Q$11,'7. P&amp;L TOÀN DỰ ÁN'!BR$3,'5. KHBH'!$I$8:$I$11,'7. P&amp;L TOÀN DỰ ÁN'!$B5)/1.1</f>
        <v>0</v>
      </c>
      <c r="BS5" s="352">
        <f>SUMIFS('5. KHBH'!$P$8:$P$11,'5. KHBH'!$Q$8:$Q$11,'7. P&amp;L TOÀN DỰ ÁN'!BS$3,'5. KHBH'!$I$8:$I$11,'7. P&amp;L TOÀN DỰ ÁN'!$B5)/1.1</f>
        <v>0</v>
      </c>
      <c r="BT5" s="352">
        <f>SUMIFS('5. KHBH'!$P$8:$P$11,'5. KHBH'!$Q$8:$Q$11,'7. P&amp;L TOÀN DỰ ÁN'!BT$3,'5. KHBH'!$I$8:$I$11,'7. P&amp;L TOÀN DỰ ÁN'!$B5)/1.1</f>
        <v>0</v>
      </c>
      <c r="BU5" s="352">
        <f>SUMIFS('5. KHBH'!$P$8:$P$11,'5. KHBH'!$Q$8:$Q$11,'7. P&amp;L TOÀN DỰ ÁN'!BU$3,'5. KHBH'!$I$8:$I$11,'7. P&amp;L TOÀN DỰ ÁN'!$B5)/1.1</f>
        <v>0</v>
      </c>
      <c r="BV5" s="352">
        <f>SUMIFS('5. KHBH'!$P$8:$P$11,'5. KHBH'!$Q$8:$Q$11,'7. P&amp;L TOÀN DỰ ÁN'!BV$3,'5. KHBH'!$I$8:$I$11,'7. P&amp;L TOÀN DỰ ÁN'!$B5)/1.1</f>
        <v>0</v>
      </c>
      <c r="BW5" s="352">
        <f>SUMIFS('5. KHBH'!$P$8:$P$11,'5. KHBH'!$Q$8:$Q$11,'7. P&amp;L TOÀN DỰ ÁN'!BW$3,'5. KHBH'!$I$8:$I$11,'7. P&amp;L TOÀN DỰ ÁN'!$B5)/1.1</f>
        <v>0</v>
      </c>
      <c r="BX5" s="352">
        <f>SUMIFS('5. KHBH'!$P$8:$P$11,'5. KHBH'!$Q$8:$Q$11,'7. P&amp;L TOÀN DỰ ÁN'!BX$3,'5. KHBH'!$I$8:$I$11,'7. P&amp;L TOÀN DỰ ÁN'!$B5)/1.1</f>
        <v>0</v>
      </c>
      <c r="BY5" s="352">
        <f>SUMIFS('5. KHBH'!$P$8:$P$11,'5. KHBH'!$Q$8:$Q$11,'7. P&amp;L TOÀN DỰ ÁN'!BY$3,'5. KHBH'!$I$8:$I$11,'7. P&amp;L TOÀN DỰ ÁN'!$B5)/1.1</f>
        <v>0</v>
      </c>
      <c r="BZ5" s="352">
        <f>SUMIFS('5. KHBH'!$P$8:$P$11,'5. KHBH'!$Q$8:$Q$11,'7. P&amp;L TOÀN DỰ ÁN'!BZ$3,'5. KHBH'!$I$8:$I$11,'7. P&amp;L TOÀN DỰ ÁN'!$B5)/1.1</f>
        <v>0</v>
      </c>
      <c r="CA5" s="352">
        <f>SUMIFS('5. KHBH'!$P$8:$P$11,'5. KHBH'!$Q$8:$Q$11,'7. P&amp;L TOÀN DỰ ÁN'!CA$3,'5. KHBH'!$I$8:$I$11,'7. P&amp;L TOÀN DỰ ÁN'!$B5)/1.1</f>
        <v>0</v>
      </c>
      <c r="CB5" s="352">
        <f>SUMIFS('5. KHBH'!$P$8:$P$11,'5. KHBH'!$Q$8:$Q$11,'7. P&amp;L TOÀN DỰ ÁN'!CB$3,'5. KHBH'!$I$8:$I$11,'7. P&amp;L TOÀN DỰ ÁN'!$B5)/1.1</f>
        <v>0</v>
      </c>
      <c r="CC5" s="352">
        <f>SUMIFS('5. KHBH'!$P$8:$P$11,'5. KHBH'!$Q$8:$Q$11,'7. P&amp;L TOÀN DỰ ÁN'!CC$3,'5. KHBH'!$I$8:$I$11,'7. P&amp;L TOÀN DỰ ÁN'!$B5)/1.1</f>
        <v>0</v>
      </c>
      <c r="CD5" s="352">
        <f>SUMIFS('5. KHBH'!$P$8:$P$11,'5. KHBH'!$Q$8:$Q$11,'7. P&amp;L TOÀN DỰ ÁN'!CD$3,'5. KHBH'!$I$8:$I$11,'7. P&amp;L TOÀN DỰ ÁN'!$B5)/1.1</f>
        <v>0</v>
      </c>
      <c r="CE5" s="352">
        <f>SUMIFS('5. KHBH'!$P$8:$P$11,'5. KHBH'!$Q$8:$Q$11,'7. P&amp;L TOÀN DỰ ÁN'!CE$3,'5. KHBH'!$I$8:$I$11,'7. P&amp;L TOÀN DỰ ÁN'!$B5)/1.1</f>
        <v>0</v>
      </c>
      <c r="CF5" s="352">
        <f>SUMIFS('5. KHBH'!$P$8:$P$11,'5. KHBH'!$Q$8:$Q$11,'7. P&amp;L TOÀN DỰ ÁN'!CF$3,'5. KHBH'!$I$8:$I$11,'7. P&amp;L TOÀN DỰ ÁN'!$B5)/1.1</f>
        <v>438990299999.99994</v>
      </c>
      <c r="CG5" s="352">
        <f>SUMIFS('5. KHBH'!$P$8:$P$11,'5. KHBH'!$Q$8:$Q$11,'7. P&amp;L TOÀN DỰ ÁN'!CG$3,'5. KHBH'!$I$8:$I$11,'7. P&amp;L TOÀN DỰ ÁN'!$B5)/1.1</f>
        <v>0</v>
      </c>
      <c r="CH5" s="352">
        <f>SUMIFS('5. KHBH'!$P$8:$P$11,'5. KHBH'!$Q$8:$Q$11,'7. P&amp;L TOÀN DỰ ÁN'!CH$3,'5. KHBH'!$I$8:$I$11,'7. P&amp;L TOÀN DỰ ÁN'!$B5)/1.1</f>
        <v>0</v>
      </c>
      <c r="CI5" s="352">
        <f>SUMIFS('5. KHBH'!$P$8:$P$11,'5. KHBH'!$Q$8:$Q$11,'7. P&amp;L TOÀN DỰ ÁN'!CI$3,'5. KHBH'!$I$8:$I$11,'7. P&amp;L TOÀN DỰ ÁN'!$B5)/1.1</f>
        <v>0</v>
      </c>
      <c r="CJ5" s="352">
        <f>SUMIFS('5. KHBH'!$P$8:$P$11,'5. KHBH'!$Q$8:$Q$11,'7. P&amp;L TOÀN DỰ ÁN'!CJ$3,'5. KHBH'!$I$8:$I$11,'7. P&amp;L TOÀN DỰ ÁN'!$B5)/1.1</f>
        <v>0</v>
      </c>
      <c r="CK5" s="352">
        <f>SUMIFS('5. KHBH'!$P$8:$P$11,'5. KHBH'!$Q$8:$Q$11,'7. P&amp;L TOÀN DỰ ÁN'!CK$3,'5. KHBH'!$I$8:$I$11,'7. P&amp;L TOÀN DỰ ÁN'!$B5)/1.1</f>
        <v>0</v>
      </c>
      <c r="CL5" s="352">
        <f>SUMIFS('5. KHBH'!$P$8:$P$11,'5. KHBH'!$Q$8:$Q$11,'7. P&amp;L TOÀN DỰ ÁN'!CL$3,'5. KHBH'!$I$8:$I$11,'7. P&amp;L TOÀN DỰ ÁN'!$B5)/1.1</f>
        <v>0</v>
      </c>
      <c r="CM5" s="352">
        <f>SUMIFS('5. KHBH'!$P$8:$P$11,'5. KHBH'!$Q$8:$Q$11,'7. P&amp;L TOÀN DỰ ÁN'!CM$3,'5. KHBH'!$I$8:$I$11,'7. P&amp;L TOÀN DỰ ÁN'!$B5)/1.1</f>
        <v>0</v>
      </c>
      <c r="CN5" s="352">
        <f>SUMIFS('5. KHBH'!$P$8:$P$11,'5. KHBH'!$Q$8:$Q$11,'7. P&amp;L TOÀN DỰ ÁN'!CN$3,'5. KHBH'!$I$8:$I$11,'7. P&amp;L TOÀN DỰ ÁN'!$B5)/1.1</f>
        <v>0</v>
      </c>
      <c r="CO5" s="352">
        <f>SUMIFS('5. KHBH'!$P$8:$P$11,'5. KHBH'!$Q$8:$Q$11,'7. P&amp;L TOÀN DỰ ÁN'!CO$3,'5. KHBH'!$I$8:$I$11,'7. P&amp;L TOÀN DỰ ÁN'!$B5)/1.1</f>
        <v>0</v>
      </c>
      <c r="CP5" s="352">
        <f>SUMIFS('5. KHBH'!$P$8:$P$11,'5. KHBH'!$Q$8:$Q$11,'7. P&amp;L TOÀN DỰ ÁN'!CP$3,'5. KHBH'!$I$8:$I$11,'7. P&amp;L TOÀN DỰ ÁN'!$B5)/1.1</f>
        <v>0</v>
      </c>
      <c r="CQ5" s="352">
        <f>SUMIFS('5. KHBH'!$P$8:$P$11,'5. KHBH'!$Q$8:$Q$11,'7. P&amp;L TOÀN DỰ ÁN'!CQ$3,'5. KHBH'!$I$8:$I$11,'7. P&amp;L TOÀN DỰ ÁN'!$B5)/1.1</f>
        <v>0</v>
      </c>
      <c r="CR5" s="352">
        <f>SUMIFS('5. KHBH'!$P$8:$P$11,'5. KHBH'!$Q$8:$Q$11,'7. P&amp;L TOÀN DỰ ÁN'!CR$3,'5. KHBH'!$I$8:$I$11,'7. P&amp;L TOÀN DỰ ÁN'!$B5)/1.1</f>
        <v>0</v>
      </c>
      <c r="CS5" s="352">
        <f>SUMIFS('5. KHBH'!$P$8:$P$11,'5. KHBH'!$Q$8:$Q$11,'7. P&amp;L TOÀN DỰ ÁN'!CS$3,'5. KHBH'!$I$8:$I$11,'7. P&amp;L TOÀN DỰ ÁN'!$B5)/1.1</f>
        <v>0</v>
      </c>
      <c r="CT5" s="352">
        <f>SUMIFS('5. KHBH'!$P$8:$P$11,'5. KHBH'!$Q$8:$Q$11,'7. P&amp;L TOÀN DỰ ÁN'!CT$3,'5. KHBH'!$I$8:$I$11,'7. P&amp;L TOÀN DỰ ÁN'!$B5)/1.1</f>
        <v>0</v>
      </c>
      <c r="CU5" s="352">
        <f>SUMIFS('5. KHBH'!$P$8:$P$11,'5. KHBH'!$Q$8:$Q$11,'7. P&amp;L TOÀN DỰ ÁN'!CU$3,'5. KHBH'!$I$8:$I$11,'7. P&amp;L TOÀN DỰ ÁN'!$B5)/1.1</f>
        <v>0</v>
      </c>
      <c r="CV5" s="352">
        <f>SUMIFS('5. KHBH'!$P$8:$P$11,'5. KHBH'!$Q$8:$Q$11,'7. P&amp;L TOÀN DỰ ÁN'!CV$3,'5. KHBH'!$I$8:$I$11,'7. P&amp;L TOÀN DỰ ÁN'!$B5)/1.1</f>
        <v>0</v>
      </c>
      <c r="CW5" s="352">
        <f>SUMIFS('5. KHBH'!$P$8:$P$11,'5. KHBH'!$Q$8:$Q$11,'7. P&amp;L TOÀN DỰ ÁN'!CW$3,'5. KHBH'!$I$8:$I$11,'7. P&amp;L TOÀN DỰ ÁN'!$B5)/1.1</f>
        <v>0</v>
      </c>
      <c r="CX5" s="352">
        <f>SUMIFS('5. KHBH'!$P$8:$P$11,'5. KHBH'!$Q$8:$Q$11,'7. P&amp;L TOÀN DỰ ÁN'!CX$3,'5. KHBH'!$I$8:$I$11,'7. P&amp;L TOÀN DỰ ÁN'!$B5)/1.1</f>
        <v>0</v>
      </c>
      <c r="CY5" s="352">
        <f>SUMIFS('5. KHBH'!$P$8:$P$11,'5. KHBH'!$Q$8:$Q$11,'7. P&amp;L TOÀN DỰ ÁN'!CY$3,'5. KHBH'!$I$8:$I$11,'7. P&amp;L TOÀN DỰ ÁN'!$B5)/1.1</f>
        <v>0</v>
      </c>
      <c r="CZ5" s="352">
        <f>SUMIFS('5. KHBH'!$P$8:$P$11,'5. KHBH'!$Q$8:$Q$11,'7. P&amp;L TOÀN DỰ ÁN'!CZ$3,'5. KHBH'!$I$8:$I$11,'7. P&amp;L TOÀN DỰ ÁN'!$B5)/1.1</f>
        <v>0</v>
      </c>
      <c r="DA5" s="352">
        <f>SUMIFS('5. KHBH'!$P$8:$P$11,'5. KHBH'!$Q$8:$Q$11,'7. P&amp;L TOÀN DỰ ÁN'!DA$3,'5. KHBH'!$I$8:$I$11,'7. P&amp;L TOÀN DỰ ÁN'!$B5)/1.1</f>
        <v>0</v>
      </c>
      <c r="DB5" s="352">
        <f>SUMIFS('5. KHBH'!$P$8:$P$11,'5. KHBH'!$Q$8:$Q$11,'7. P&amp;L TOÀN DỰ ÁN'!DB$3,'5. KHBH'!$I$8:$I$11,'7. P&amp;L TOÀN DỰ ÁN'!$B5)/1.1</f>
        <v>0</v>
      </c>
      <c r="DC5" s="352">
        <f>SUMIFS('5. KHBH'!$P$8:$P$11,'5. KHBH'!$Q$8:$Q$11,'7. P&amp;L TOÀN DỰ ÁN'!DC$3,'5. KHBH'!$I$8:$I$11,'7. P&amp;L TOÀN DỰ ÁN'!$B5)/1.1</f>
        <v>0</v>
      </c>
      <c r="DD5" s="352">
        <f>SUMIFS('5. KHBH'!$P$8:$P$11,'5. KHBH'!$Q$8:$Q$11,'7. P&amp;L TOÀN DỰ ÁN'!DD$3,'5. KHBH'!$I$8:$I$11,'7. P&amp;L TOÀN DỰ ÁN'!$B5)/1.1</f>
        <v>0</v>
      </c>
      <c r="DE5" s="352">
        <f>SUMIFS('5. KHBH'!$P$8:$P$11,'5. KHBH'!$Q$8:$Q$11,'7. P&amp;L TOÀN DỰ ÁN'!DE$3,'5. KHBH'!$I$8:$I$11,'7. P&amp;L TOÀN DỰ ÁN'!$B5)/1.1</f>
        <v>0</v>
      </c>
      <c r="DF5" s="352">
        <f>SUMIFS('5. KHBH'!$P$8:$P$11,'5. KHBH'!$Q$8:$Q$11,'7. P&amp;L TOÀN DỰ ÁN'!DF$3,'5. KHBH'!$I$8:$I$11,'7. P&amp;L TOÀN DỰ ÁN'!$B5)/1.1</f>
        <v>0</v>
      </c>
      <c r="DG5" s="352">
        <f>SUMIFS('5. KHBH'!$P$8:$P$11,'5. KHBH'!$Q$8:$Q$11,'7. P&amp;L TOÀN DỰ ÁN'!DG$3,'5. KHBH'!$I$8:$I$11,'7. P&amp;L TOÀN DỰ ÁN'!$B5)/1.1</f>
        <v>0</v>
      </c>
      <c r="DH5" s="352">
        <f>SUMIFS('5. KHBH'!$P$8:$P$11,'5. KHBH'!$Q$8:$Q$11,'7. P&amp;L TOÀN DỰ ÁN'!DH$3,'5. KHBH'!$I$8:$I$11,'7. P&amp;L TOÀN DỰ ÁN'!$B5)/1.1</f>
        <v>0</v>
      </c>
      <c r="DI5" s="352">
        <f>SUMIFS('5. KHBH'!$P$8:$P$11,'5. KHBH'!$Q$8:$Q$11,'7. P&amp;L TOÀN DỰ ÁN'!DI$3,'5. KHBH'!$I$8:$I$11,'7. P&amp;L TOÀN DỰ ÁN'!$B5)/1.1</f>
        <v>0</v>
      </c>
      <c r="DJ5" s="352">
        <f>SUMIFS('5. KHBH'!$P$8:$P$11,'5. KHBH'!$Q$8:$Q$11,'7. P&amp;L TOÀN DỰ ÁN'!DJ$3,'5. KHBH'!$I$8:$I$11,'7. P&amp;L TOÀN DỰ ÁN'!$B5)/1.1</f>
        <v>0</v>
      </c>
      <c r="DK5" s="352">
        <f>SUMIFS('5. KHBH'!$P$8:$P$11,'5. KHBH'!$Q$8:$Q$11,'7. P&amp;L TOÀN DỰ ÁN'!DK$3,'5. KHBH'!$I$8:$I$11,'7. P&amp;L TOÀN DỰ ÁN'!$B5)/1.1</f>
        <v>0</v>
      </c>
      <c r="DL5" s="352">
        <f>SUMIFS('5. KHBH'!$P$8:$P$11,'5. KHBH'!$Q$8:$Q$11,'7. P&amp;L TOÀN DỰ ÁN'!DL$3,'5. KHBH'!$I$8:$I$11,'7. P&amp;L TOÀN DỰ ÁN'!$B5)/1.1</f>
        <v>0</v>
      </c>
      <c r="DM5" s="352">
        <f>SUMIFS('5. KHBH'!$P$8:$P$11,'5. KHBH'!$Q$8:$Q$11,'7. P&amp;L TOÀN DỰ ÁN'!DM$3,'5. KHBH'!$I$8:$I$11,'7. P&amp;L TOÀN DỰ ÁN'!$B5)/1.1</f>
        <v>0</v>
      </c>
      <c r="DN5" s="352">
        <f>SUMIFS('5. KHBH'!$P$8:$P$11,'5. KHBH'!$Q$8:$Q$11,'7. P&amp;L TOÀN DỰ ÁN'!DN$3,'5. KHBH'!$I$8:$I$11,'7. P&amp;L TOÀN DỰ ÁN'!$B5)/1.1</f>
        <v>0</v>
      </c>
      <c r="DO5" s="352">
        <f>SUMIFS('5. KHBH'!$P$8:$P$11,'5. KHBH'!$Q$8:$Q$11,'7. P&amp;L TOÀN DỰ ÁN'!DO$3,'5. KHBH'!$I$8:$I$11,'7. P&amp;L TOÀN DỰ ÁN'!$B5)/1.1</f>
        <v>0</v>
      </c>
      <c r="DP5" s="352">
        <f>SUMIFS('5. KHBH'!$P$8:$P$11,'5. KHBH'!$Q$8:$Q$11,'7. P&amp;L TOÀN DỰ ÁN'!DP$3,'5. KHBH'!$I$8:$I$11,'7. P&amp;L TOÀN DỰ ÁN'!$B5)/1.1</f>
        <v>0</v>
      </c>
      <c r="DQ5" s="352">
        <f>SUMIFS('5. KHBH'!$P$8:$P$11,'5. KHBH'!$Q$8:$Q$11,'7. P&amp;L TOÀN DỰ ÁN'!DQ$3,'5. KHBH'!$I$8:$I$11,'7. P&amp;L TOÀN DỰ ÁN'!$B5)/1.1</f>
        <v>0</v>
      </c>
      <c r="DR5" s="352">
        <f>SUMIFS('5. KHBH'!$P$8:$P$11,'5. KHBH'!$Q$8:$Q$11,'7. P&amp;L TOÀN DỰ ÁN'!DR$3,'5. KHBH'!$I$8:$I$11,'7. P&amp;L TOÀN DỰ ÁN'!$B5)/1.1</f>
        <v>0</v>
      </c>
      <c r="DS5" s="352">
        <f>SUMIFS('5. KHBH'!$P$8:$P$11,'5. KHBH'!$Q$8:$Q$11,'7. P&amp;L TOÀN DỰ ÁN'!DS$3,'5. KHBH'!$I$8:$I$11,'7. P&amp;L TOÀN DỰ ÁN'!$B5)/1.1</f>
        <v>0</v>
      </c>
      <c r="DT5" s="352">
        <f>SUMIFS('5. KHBH'!$P$8:$P$11,'5. KHBH'!$Q$8:$Q$11,'7. P&amp;L TOÀN DỰ ÁN'!DT$3,'5. KHBH'!$I$8:$I$11,'7. P&amp;L TOÀN DỰ ÁN'!$B5)/1.1</f>
        <v>0</v>
      </c>
      <c r="DU5" s="352">
        <f>SUMIFS('5. KHBH'!$P$8:$P$11,'5. KHBH'!$Q$8:$Q$11,'7. P&amp;L TOÀN DỰ ÁN'!DU$3,'5. KHBH'!$I$8:$I$11,'7. P&amp;L TOÀN DỰ ÁN'!$B5)/1.1</f>
        <v>0</v>
      </c>
      <c r="DV5" s="352">
        <f>SUMIFS('5. KHBH'!$P$8:$P$11,'5. KHBH'!$Q$8:$Q$11,'7. P&amp;L TOÀN DỰ ÁN'!DV$3,'5. KHBH'!$I$8:$I$11,'7. P&amp;L TOÀN DỰ ÁN'!$B5)/1.1</f>
        <v>0</v>
      </c>
      <c r="DW5" s="352">
        <f>SUMIFS('5. KHBH'!$P$8:$P$11,'5. KHBH'!$Q$8:$Q$11,'7. P&amp;L TOÀN DỰ ÁN'!DW$3,'5. KHBH'!$I$8:$I$11,'7. P&amp;L TOÀN DỰ ÁN'!$B5)/1.1</f>
        <v>0</v>
      </c>
      <c r="DX5" s="352">
        <f>SUMIFS('5. KHBH'!$P$8:$P$11,'5. KHBH'!$Q$8:$Q$11,'7. P&amp;L TOÀN DỰ ÁN'!DX$3,'5. KHBH'!$I$8:$I$11,'7. P&amp;L TOÀN DỰ ÁN'!$B5)/1.1</f>
        <v>0</v>
      </c>
      <c r="DY5" s="352">
        <f>SUMIFS('5. KHBH'!$P$8:$P$11,'5. KHBH'!$Q$8:$Q$11,'7. P&amp;L TOÀN DỰ ÁN'!DY$3,'5. KHBH'!$I$8:$I$11,'7. P&amp;L TOÀN DỰ ÁN'!$B5)/1.1</f>
        <v>0</v>
      </c>
      <c r="DZ5" s="352">
        <f>SUMIFS('5. KHBH'!$P$8:$P$11,'5. KHBH'!$Q$8:$Q$11,'7. P&amp;L TOÀN DỰ ÁN'!DZ$3,'5. KHBH'!$I$8:$I$11,'7. P&amp;L TOÀN DỰ ÁN'!$B5)/1.1</f>
        <v>0</v>
      </c>
      <c r="EA5" s="352">
        <f>SUMIFS('5. KHBH'!$P$8:$P$11,'5. KHBH'!$Q$8:$Q$11,'7. P&amp;L TOÀN DỰ ÁN'!EA$3,'5. KHBH'!$I$8:$I$11,'7. P&amp;L TOÀN DỰ ÁN'!$B5)/1.1</f>
        <v>0</v>
      </c>
      <c r="EB5" s="352">
        <f>SUMIFS('5. KHBH'!$P$8:$P$11,'5. KHBH'!$Q$8:$Q$11,'7. P&amp;L TOÀN DỰ ÁN'!EB$3,'5. KHBH'!$I$8:$I$11,'7. P&amp;L TOÀN DỰ ÁN'!$B5)/1.1</f>
        <v>0</v>
      </c>
      <c r="EC5" s="352">
        <f>SUMIFS('5. KHBH'!$P$8:$P$11,'5. KHBH'!$Q$8:$Q$11,'7. P&amp;L TOÀN DỰ ÁN'!EC$3,'5. KHBH'!$I$8:$I$11,'7. P&amp;L TOÀN DỰ ÁN'!$B5)/1.1</f>
        <v>0</v>
      </c>
      <c r="ED5" s="352">
        <f>SUMIFS('5. KHBH'!$P$8:$P$11,'5. KHBH'!$Q$8:$Q$11,'7. P&amp;L TOÀN DỰ ÁN'!ED$3,'5. KHBH'!$I$8:$I$11,'7. P&amp;L TOÀN DỰ ÁN'!$B5)/1.1</f>
        <v>0</v>
      </c>
      <c r="EE5" s="352">
        <f>SUMIFS('5. KHBH'!$P$8:$P$11,'5. KHBH'!$Q$8:$Q$11,'7. P&amp;L TOÀN DỰ ÁN'!EE$3,'5. KHBH'!$I$8:$I$11,'7. P&amp;L TOÀN DỰ ÁN'!$B5)/1.1</f>
        <v>0</v>
      </c>
      <c r="EF5" s="352">
        <f>SUMIFS('5. KHBH'!$P$8:$P$11,'5. KHBH'!$Q$8:$Q$11,'7. P&amp;L TOÀN DỰ ÁN'!EF$3,'5. KHBH'!$I$8:$I$11,'7. P&amp;L TOÀN DỰ ÁN'!$B5)/1.1</f>
        <v>0</v>
      </c>
      <c r="EG5" s="352">
        <f>SUMIFS('5. KHBH'!$P$8:$P$11,'5. KHBH'!$Q$8:$Q$11,'7. P&amp;L TOÀN DỰ ÁN'!EG$3,'5. KHBH'!$I$8:$I$11,'7. P&amp;L TOÀN DỰ ÁN'!$B5)/1.1</f>
        <v>0</v>
      </c>
      <c r="EH5" s="352">
        <f>SUMIFS('5. KHBH'!$P$8:$P$11,'5. KHBH'!$Q$8:$Q$11,'7. P&amp;L TOÀN DỰ ÁN'!EH$3,'5. KHBH'!$I$8:$I$11,'7. P&amp;L TOÀN DỰ ÁN'!$B5)/1.1</f>
        <v>0</v>
      </c>
      <c r="EI5" s="352">
        <f>SUMIFS('5. KHBH'!$P$8:$P$11,'5. KHBH'!$Q$8:$Q$11,'7. P&amp;L TOÀN DỰ ÁN'!EI$3,'5. KHBH'!$I$8:$I$11,'7. P&amp;L TOÀN DỰ ÁN'!$B5)/1.1</f>
        <v>0</v>
      </c>
      <c r="EJ5" s="352">
        <f>SUMIFS('5. KHBH'!$P$8:$P$11,'5. KHBH'!$Q$8:$Q$11,'7. P&amp;L TOÀN DỰ ÁN'!EJ$3,'5. KHBH'!$I$8:$I$11,'7. P&amp;L TOÀN DỰ ÁN'!$B5)/1.1</f>
        <v>0</v>
      </c>
      <c r="EK5" s="352">
        <f>SUMIFS('5. KHBH'!$P$8:$P$11,'5. KHBH'!$Q$8:$Q$11,'7. P&amp;L TOÀN DỰ ÁN'!EK$3,'5. KHBH'!$I$8:$I$11,'7. P&amp;L TOÀN DỰ ÁN'!$B5)/1.1</f>
        <v>0</v>
      </c>
      <c r="EL5" s="352">
        <f>SUMIFS('5. KHBH'!$P$8:$P$11,'5. KHBH'!$Q$8:$Q$11,'7. P&amp;L TOÀN DỰ ÁN'!EL$3,'5. KHBH'!$I$8:$I$11,'7. P&amp;L TOÀN DỰ ÁN'!$B5)/1.1</f>
        <v>0</v>
      </c>
      <c r="EM5" s="352">
        <f>SUMIFS('5. KHBH'!$P$8:$P$11,'5. KHBH'!$Q$8:$Q$11,'7. P&amp;L TOÀN DỰ ÁN'!EM$3,'5. KHBH'!$I$8:$I$11,'7. P&amp;L TOÀN DỰ ÁN'!$B5)/1.1</f>
        <v>0</v>
      </c>
      <c r="EN5" s="353">
        <f t="shared" ref="EN5:EW8" si="2">SUMIFS($E5:$EM5,$E$2:$EM$2,EN$3)</f>
        <v>0</v>
      </c>
      <c r="EO5" s="353">
        <f t="shared" si="2"/>
        <v>0</v>
      </c>
      <c r="EP5" s="353">
        <f t="shared" si="2"/>
        <v>0</v>
      </c>
      <c r="EQ5" s="353">
        <f t="shared" si="2"/>
        <v>0</v>
      </c>
      <c r="ER5" s="353">
        <f t="shared" si="2"/>
        <v>0</v>
      </c>
      <c r="ES5" s="353">
        <f t="shared" si="2"/>
        <v>0</v>
      </c>
      <c r="ET5" s="353">
        <f t="shared" si="2"/>
        <v>0</v>
      </c>
      <c r="EU5" s="353">
        <f t="shared" si="2"/>
        <v>0</v>
      </c>
      <c r="EV5" s="353">
        <f t="shared" si="2"/>
        <v>0</v>
      </c>
      <c r="EW5" s="353">
        <f t="shared" si="2"/>
        <v>0</v>
      </c>
      <c r="EX5" s="353">
        <f t="shared" ref="EX5:FG8" si="3">SUMIFS($E5:$EM5,$E$2:$EM$2,EX$3)</f>
        <v>0</v>
      </c>
      <c r="EY5" s="353">
        <f t="shared" si="3"/>
        <v>0</v>
      </c>
      <c r="EZ5" s="353">
        <f t="shared" si="3"/>
        <v>0</v>
      </c>
      <c r="FA5" s="353">
        <f t="shared" si="3"/>
        <v>0</v>
      </c>
      <c r="FB5" s="353">
        <f t="shared" si="3"/>
        <v>0</v>
      </c>
      <c r="FC5" s="353">
        <f t="shared" si="3"/>
        <v>0</v>
      </c>
      <c r="FD5" s="353">
        <f t="shared" si="3"/>
        <v>0</v>
      </c>
      <c r="FE5" s="353">
        <f t="shared" si="3"/>
        <v>0</v>
      </c>
      <c r="FF5" s="353">
        <f t="shared" si="3"/>
        <v>0</v>
      </c>
      <c r="FG5" s="353">
        <f t="shared" si="3"/>
        <v>0</v>
      </c>
      <c r="FH5" s="353">
        <f t="shared" ref="FH5:FQ8" si="4">SUMIFS($E5:$EM5,$E$2:$EM$2,FH$3)</f>
        <v>0</v>
      </c>
      <c r="FI5" s="353">
        <f t="shared" si="4"/>
        <v>438990299999.99994</v>
      </c>
      <c r="FJ5" s="353">
        <f t="shared" si="4"/>
        <v>0</v>
      </c>
      <c r="FK5" s="353">
        <f t="shared" si="4"/>
        <v>0</v>
      </c>
      <c r="FL5" s="353">
        <f t="shared" si="4"/>
        <v>0</v>
      </c>
      <c r="FM5" s="353">
        <f t="shared" si="4"/>
        <v>0</v>
      </c>
      <c r="FN5" s="353">
        <f t="shared" si="4"/>
        <v>0</v>
      </c>
      <c r="FO5" s="353">
        <f t="shared" si="4"/>
        <v>0</v>
      </c>
      <c r="FP5" s="353">
        <f t="shared" si="4"/>
        <v>0</v>
      </c>
      <c r="FQ5" s="353">
        <f t="shared" si="4"/>
        <v>0</v>
      </c>
      <c r="FR5" s="353">
        <f t="shared" ref="FR5:GB8" si="5">SUMIFS($E5:$EM5,$E$2:$EM$2,FR$3)</f>
        <v>0</v>
      </c>
      <c r="FS5" s="353">
        <f t="shared" si="5"/>
        <v>0</v>
      </c>
      <c r="FT5" s="353">
        <f t="shared" si="5"/>
        <v>0</v>
      </c>
      <c r="FU5" s="353">
        <f t="shared" si="5"/>
        <v>0</v>
      </c>
      <c r="FV5" s="353">
        <f t="shared" si="5"/>
        <v>0</v>
      </c>
      <c r="FW5" s="353">
        <f t="shared" si="5"/>
        <v>0</v>
      </c>
      <c r="FX5" s="353">
        <f t="shared" si="5"/>
        <v>0</v>
      </c>
      <c r="FY5" s="353">
        <f t="shared" si="5"/>
        <v>0</v>
      </c>
      <c r="FZ5" s="353">
        <f t="shared" si="5"/>
        <v>0</v>
      </c>
      <c r="GA5" s="353">
        <f t="shared" si="5"/>
        <v>0</v>
      </c>
      <c r="GB5" s="353">
        <f t="shared" si="5"/>
        <v>0</v>
      </c>
    </row>
    <row r="6" spans="1:184">
      <c r="A6" s="563">
        <f t="shared" ref="A6" si="6">A5+1</f>
        <v>2</v>
      </c>
      <c r="B6" s="564" t="str">
        <f>'5. KHBH'!C9</f>
        <v>Nhà ở xã hội 2</v>
      </c>
      <c r="C6" s="565">
        <f t="shared" ref="C6:C8" si="7">SUM(EN6:GB6)</f>
        <v>357058800000</v>
      </c>
      <c r="D6" s="565">
        <f>SUMIF('5. KHBH'!$I$8:$I$11,B6,'5. KHBH'!$M$8:$M$11)</f>
        <v>17456.207999999999</v>
      </c>
      <c r="E6" s="352">
        <f>SUMIFS('5. KHBH'!$P$8:$P$11,'5. KHBH'!$Q$8:$Q$11,'7. P&amp;L TOÀN DỰ ÁN'!E$3,'5. KHBH'!$I$8:$I$11,'7. P&amp;L TOÀN DỰ ÁN'!$B6)/1.1</f>
        <v>0</v>
      </c>
      <c r="F6" s="352">
        <f>SUMIFS('5. KHBH'!$P$8:$P$11,'5. KHBH'!$Q$8:$Q$11,'7. P&amp;L TOÀN DỰ ÁN'!F$3,'5. KHBH'!$I$8:$I$11,'7. P&amp;L TOÀN DỰ ÁN'!$B6)/1.1</f>
        <v>0</v>
      </c>
      <c r="G6" s="352">
        <f>SUMIFS('5. KHBH'!$P$8:$P$11,'5. KHBH'!$Q$8:$Q$11,'7. P&amp;L TOÀN DỰ ÁN'!G$3,'5. KHBH'!$I$8:$I$11,'7. P&amp;L TOÀN DỰ ÁN'!$B6)/1.1</f>
        <v>0</v>
      </c>
      <c r="H6" s="352">
        <f>SUMIFS('5. KHBH'!$P$8:$P$11,'5. KHBH'!$Q$8:$Q$11,'7. P&amp;L TOÀN DỰ ÁN'!H$3,'5. KHBH'!$I$8:$I$11,'7. P&amp;L TOÀN DỰ ÁN'!$B6)/1.1</f>
        <v>0</v>
      </c>
      <c r="I6" s="352">
        <f>SUMIFS('5. KHBH'!$P$8:$P$11,'5. KHBH'!$Q$8:$Q$11,'7. P&amp;L TOÀN DỰ ÁN'!I$3,'5. KHBH'!$I$8:$I$11,'7. P&amp;L TOÀN DỰ ÁN'!$B6)/1.1</f>
        <v>0</v>
      </c>
      <c r="J6" s="352">
        <f>SUMIFS('5. KHBH'!$P$8:$P$11,'5. KHBH'!$Q$8:$Q$11,'7. P&amp;L TOÀN DỰ ÁN'!J$3,'5. KHBH'!$I$8:$I$11,'7. P&amp;L TOÀN DỰ ÁN'!$B6)/1.1</f>
        <v>0</v>
      </c>
      <c r="K6" s="352">
        <f>SUMIFS('5. KHBH'!$P$8:$P$11,'5. KHBH'!$Q$8:$Q$11,'7. P&amp;L TOÀN DỰ ÁN'!K$3,'5. KHBH'!$I$8:$I$11,'7. P&amp;L TOÀN DỰ ÁN'!$B6)/1.1</f>
        <v>0</v>
      </c>
      <c r="L6" s="352">
        <f>SUMIFS('5. KHBH'!$P$8:$P$11,'5. KHBH'!$Q$8:$Q$11,'7. P&amp;L TOÀN DỰ ÁN'!L$3,'5. KHBH'!$I$8:$I$11,'7. P&amp;L TOÀN DỰ ÁN'!$B6)/1.1</f>
        <v>0</v>
      </c>
      <c r="M6" s="352">
        <f>SUMIFS('5. KHBH'!$P$8:$P$11,'5. KHBH'!$Q$8:$Q$11,'7. P&amp;L TOÀN DỰ ÁN'!M$3,'5. KHBH'!$I$8:$I$11,'7. P&amp;L TOÀN DỰ ÁN'!$B6)/1.1</f>
        <v>0</v>
      </c>
      <c r="N6" s="352">
        <f>SUMIFS('5. KHBH'!$P$8:$P$11,'5. KHBH'!$Q$8:$Q$11,'7. P&amp;L TOÀN DỰ ÁN'!N$3,'5. KHBH'!$I$8:$I$11,'7. P&amp;L TOÀN DỰ ÁN'!$B6)/1.1</f>
        <v>0</v>
      </c>
      <c r="O6" s="352">
        <f>SUMIFS('5. KHBH'!$P$8:$P$11,'5. KHBH'!$Q$8:$Q$11,'7. P&amp;L TOÀN DỰ ÁN'!O$3,'5. KHBH'!$I$8:$I$11,'7. P&amp;L TOÀN DỰ ÁN'!$B6)/1.1</f>
        <v>0</v>
      </c>
      <c r="P6" s="352">
        <f>SUMIFS('5. KHBH'!$P$8:$P$11,'5. KHBH'!$Q$8:$Q$11,'7. P&amp;L TOÀN DỰ ÁN'!P$3,'5. KHBH'!$I$8:$I$11,'7. P&amp;L TOÀN DỰ ÁN'!$B6)/1.1</f>
        <v>0</v>
      </c>
      <c r="Q6" s="352">
        <f>SUMIFS('5. KHBH'!$P$8:$P$11,'5. KHBH'!$Q$8:$Q$11,'7. P&amp;L TOÀN DỰ ÁN'!Q$3,'5. KHBH'!$I$8:$I$11,'7. P&amp;L TOÀN DỰ ÁN'!$B6)/1.1</f>
        <v>0</v>
      </c>
      <c r="R6" s="352">
        <f>SUMIFS('5. KHBH'!$P$8:$P$11,'5. KHBH'!$Q$8:$Q$11,'7. P&amp;L TOÀN DỰ ÁN'!R$3,'5. KHBH'!$I$8:$I$11,'7. P&amp;L TOÀN DỰ ÁN'!$B6)/1.1</f>
        <v>0</v>
      </c>
      <c r="S6" s="352">
        <f>SUMIFS('5. KHBH'!$P$8:$P$11,'5. KHBH'!$Q$8:$Q$11,'7. P&amp;L TOÀN DỰ ÁN'!S$3,'5. KHBH'!$I$8:$I$11,'7. P&amp;L TOÀN DỰ ÁN'!$B6)/1.1</f>
        <v>0</v>
      </c>
      <c r="T6" s="352">
        <f>SUMIFS('5. KHBH'!$P$8:$P$11,'5. KHBH'!$Q$8:$Q$11,'7. P&amp;L TOÀN DỰ ÁN'!T$3,'5. KHBH'!$I$8:$I$11,'7. P&amp;L TOÀN DỰ ÁN'!$B6)/1.1</f>
        <v>0</v>
      </c>
      <c r="U6" s="352">
        <f>SUMIFS('5. KHBH'!$P$8:$P$11,'5. KHBH'!$Q$8:$Q$11,'7. P&amp;L TOÀN DỰ ÁN'!U$3,'5. KHBH'!$I$8:$I$11,'7. P&amp;L TOÀN DỰ ÁN'!$B6)/1.1</f>
        <v>0</v>
      </c>
      <c r="V6" s="352">
        <f>SUMIFS('5. KHBH'!$P$8:$P$11,'5. KHBH'!$Q$8:$Q$11,'7. P&amp;L TOÀN DỰ ÁN'!V$3,'5. KHBH'!$I$8:$I$11,'7. P&amp;L TOÀN DỰ ÁN'!$B6)/1.1</f>
        <v>0</v>
      </c>
      <c r="W6" s="352">
        <f>SUMIFS('5. KHBH'!$P$8:$P$11,'5. KHBH'!$Q$8:$Q$11,'7. P&amp;L TOÀN DỰ ÁN'!W$3,'5. KHBH'!$I$8:$I$11,'7. P&amp;L TOÀN DỰ ÁN'!$B6)/1.1</f>
        <v>0</v>
      </c>
      <c r="X6" s="352">
        <f>SUMIFS('5. KHBH'!$P$8:$P$11,'5. KHBH'!$Q$8:$Q$11,'7. P&amp;L TOÀN DỰ ÁN'!X$3,'5. KHBH'!$I$8:$I$11,'7. P&amp;L TOÀN DỰ ÁN'!$B6)/1.1</f>
        <v>0</v>
      </c>
      <c r="Y6" s="352">
        <f>SUMIFS('5. KHBH'!$P$8:$P$11,'5. KHBH'!$Q$8:$Q$11,'7. P&amp;L TOÀN DỰ ÁN'!Y$3,'5. KHBH'!$I$8:$I$11,'7. P&amp;L TOÀN DỰ ÁN'!$B6)/1.1</f>
        <v>0</v>
      </c>
      <c r="Z6" s="352">
        <f>SUMIFS('5. KHBH'!$P$8:$P$11,'5. KHBH'!$Q$8:$Q$11,'7. P&amp;L TOÀN DỰ ÁN'!Z$3,'5. KHBH'!$I$8:$I$11,'7. P&amp;L TOÀN DỰ ÁN'!$B6)/1.1</f>
        <v>0</v>
      </c>
      <c r="AA6" s="352">
        <f>SUMIFS('5. KHBH'!$P$8:$P$11,'5. KHBH'!$Q$8:$Q$11,'7. P&amp;L TOÀN DỰ ÁN'!AA$3,'5. KHBH'!$I$8:$I$11,'7. P&amp;L TOÀN DỰ ÁN'!$B6)/1.1</f>
        <v>0</v>
      </c>
      <c r="AB6" s="352">
        <f>SUMIFS('5. KHBH'!$P$8:$P$11,'5. KHBH'!$Q$8:$Q$11,'7. P&amp;L TOÀN DỰ ÁN'!AB$3,'5. KHBH'!$I$8:$I$11,'7. P&amp;L TOÀN DỰ ÁN'!$B6)/1.1</f>
        <v>0</v>
      </c>
      <c r="AC6" s="352">
        <f>SUMIFS('5. KHBH'!$P$8:$P$11,'5. KHBH'!$Q$8:$Q$11,'7. P&amp;L TOÀN DỰ ÁN'!AC$3,'5. KHBH'!$I$8:$I$11,'7. P&amp;L TOÀN DỰ ÁN'!$B6)/1.1</f>
        <v>0</v>
      </c>
      <c r="AD6" s="352">
        <f>SUMIFS('5. KHBH'!$P$8:$P$11,'5. KHBH'!$Q$8:$Q$11,'7. P&amp;L TOÀN DỰ ÁN'!AD$3,'5. KHBH'!$I$8:$I$11,'7. P&amp;L TOÀN DỰ ÁN'!$B6)/1.1</f>
        <v>0</v>
      </c>
      <c r="AE6" s="352">
        <f>SUMIFS('5. KHBH'!$P$8:$P$11,'5. KHBH'!$Q$8:$Q$11,'7. P&amp;L TOÀN DỰ ÁN'!AE$3,'5. KHBH'!$I$8:$I$11,'7. P&amp;L TOÀN DỰ ÁN'!$B6)/1.1</f>
        <v>0</v>
      </c>
      <c r="AF6" s="352">
        <f>SUMIFS('5. KHBH'!$P$8:$P$11,'5. KHBH'!$Q$8:$Q$11,'7. P&amp;L TOÀN DỰ ÁN'!AF$3,'5. KHBH'!$I$8:$I$11,'7. P&amp;L TOÀN DỰ ÁN'!$B6)/1.1</f>
        <v>0</v>
      </c>
      <c r="AG6" s="352">
        <f>SUMIFS('5. KHBH'!$P$8:$P$11,'5. KHBH'!$Q$8:$Q$11,'7. P&amp;L TOÀN DỰ ÁN'!AG$3,'5. KHBH'!$I$8:$I$11,'7. P&amp;L TOÀN DỰ ÁN'!$B6)/1.1</f>
        <v>0</v>
      </c>
      <c r="AH6" s="352">
        <f>SUMIFS('5. KHBH'!$P$8:$P$11,'5. KHBH'!$Q$8:$Q$11,'7. P&amp;L TOÀN DỰ ÁN'!AH$3,'5. KHBH'!$I$8:$I$11,'7. P&amp;L TOÀN DỰ ÁN'!$B6)/1.1</f>
        <v>0</v>
      </c>
      <c r="AI6" s="352">
        <f>SUMIFS('5. KHBH'!$P$8:$P$11,'5. KHBH'!$Q$8:$Q$11,'7. P&amp;L TOÀN DỰ ÁN'!AI$3,'5. KHBH'!$I$8:$I$11,'7. P&amp;L TOÀN DỰ ÁN'!$B6)/1.1</f>
        <v>0</v>
      </c>
      <c r="AJ6" s="352">
        <f>SUMIFS('5. KHBH'!$P$8:$P$11,'5. KHBH'!$Q$8:$Q$11,'7. P&amp;L TOÀN DỰ ÁN'!AJ$3,'5. KHBH'!$I$8:$I$11,'7. P&amp;L TOÀN DỰ ÁN'!$B6)/1.1</f>
        <v>0</v>
      </c>
      <c r="AK6" s="352">
        <f>SUMIFS('5. KHBH'!$P$8:$P$11,'5. KHBH'!$Q$8:$Q$11,'7. P&amp;L TOÀN DỰ ÁN'!AK$3,'5. KHBH'!$I$8:$I$11,'7. P&amp;L TOÀN DỰ ÁN'!$B6)/1.1</f>
        <v>0</v>
      </c>
      <c r="AL6" s="352">
        <f>SUMIFS('5. KHBH'!$P$8:$P$11,'5. KHBH'!$Q$8:$Q$11,'7. P&amp;L TOÀN DỰ ÁN'!AL$3,'5. KHBH'!$I$8:$I$11,'7. P&amp;L TOÀN DỰ ÁN'!$B6)/1.1</f>
        <v>0</v>
      </c>
      <c r="AM6" s="352">
        <f>SUMIFS('5. KHBH'!$P$8:$P$11,'5. KHBH'!$Q$8:$Q$11,'7. P&amp;L TOÀN DỰ ÁN'!AM$3,'5. KHBH'!$I$8:$I$11,'7. P&amp;L TOÀN DỰ ÁN'!$B6)/1.1</f>
        <v>0</v>
      </c>
      <c r="AN6" s="352">
        <f>SUMIFS('5. KHBH'!$P$8:$P$11,'5. KHBH'!$Q$8:$Q$11,'7. P&amp;L TOÀN DỰ ÁN'!AN$3,'5. KHBH'!$I$8:$I$11,'7. P&amp;L TOÀN DỰ ÁN'!$B6)/1.1</f>
        <v>0</v>
      </c>
      <c r="AO6" s="352">
        <f>SUMIFS('5. KHBH'!$P$8:$P$11,'5. KHBH'!$Q$8:$Q$11,'7. P&amp;L TOÀN DỰ ÁN'!AO$3,'5. KHBH'!$I$8:$I$11,'7. P&amp;L TOÀN DỰ ÁN'!$B6)/1.1</f>
        <v>0</v>
      </c>
      <c r="AP6" s="352">
        <f>SUMIFS('5. KHBH'!$P$8:$P$11,'5. KHBH'!$Q$8:$Q$11,'7. P&amp;L TOÀN DỰ ÁN'!AP$3,'5. KHBH'!$I$8:$I$11,'7. P&amp;L TOÀN DỰ ÁN'!$B6)/1.1</f>
        <v>0</v>
      </c>
      <c r="AQ6" s="352">
        <f>SUMIFS('5. KHBH'!$P$8:$P$11,'5. KHBH'!$Q$8:$Q$11,'7. P&amp;L TOÀN DỰ ÁN'!AQ$3,'5. KHBH'!$I$8:$I$11,'7. P&amp;L TOÀN DỰ ÁN'!$B6)/1.1</f>
        <v>0</v>
      </c>
      <c r="AR6" s="352">
        <f>SUMIFS('5. KHBH'!$P$8:$P$11,'5. KHBH'!$Q$8:$Q$11,'7. P&amp;L TOÀN DỰ ÁN'!AR$3,'5. KHBH'!$I$8:$I$11,'7. P&amp;L TOÀN DỰ ÁN'!$B6)/1.1</f>
        <v>0</v>
      </c>
      <c r="AS6" s="352">
        <f>SUMIFS('5. KHBH'!$P$8:$P$11,'5. KHBH'!$Q$8:$Q$11,'7. P&amp;L TOÀN DỰ ÁN'!AS$3,'5. KHBH'!$I$8:$I$11,'7. P&amp;L TOÀN DỰ ÁN'!$B6)/1.1</f>
        <v>0</v>
      </c>
      <c r="AT6" s="352">
        <f>SUMIFS('5. KHBH'!$P$8:$P$11,'5. KHBH'!$Q$8:$Q$11,'7. P&amp;L TOÀN DỰ ÁN'!AT$3,'5. KHBH'!$I$8:$I$11,'7. P&amp;L TOÀN DỰ ÁN'!$B6)/1.1</f>
        <v>0</v>
      </c>
      <c r="AU6" s="352">
        <f>SUMIFS('5. KHBH'!$P$8:$P$11,'5. KHBH'!$Q$8:$Q$11,'7. P&amp;L TOÀN DỰ ÁN'!AU$3,'5. KHBH'!$I$8:$I$11,'7. P&amp;L TOÀN DỰ ÁN'!$B6)/1.1</f>
        <v>0</v>
      </c>
      <c r="AV6" s="352">
        <f>SUMIFS('5. KHBH'!$P$8:$P$11,'5. KHBH'!$Q$8:$Q$11,'7. P&amp;L TOÀN DỰ ÁN'!AV$3,'5. KHBH'!$I$8:$I$11,'7. P&amp;L TOÀN DỰ ÁN'!$B6)/1.1</f>
        <v>0</v>
      </c>
      <c r="AW6" s="352">
        <f>SUMIFS('5. KHBH'!$P$8:$P$11,'5. KHBH'!$Q$8:$Q$11,'7. P&amp;L TOÀN DỰ ÁN'!AW$3,'5. KHBH'!$I$8:$I$11,'7. P&amp;L TOÀN DỰ ÁN'!$B6)/1.1</f>
        <v>0</v>
      </c>
      <c r="AX6" s="352">
        <f>SUMIFS('5. KHBH'!$P$8:$P$11,'5. KHBH'!$Q$8:$Q$11,'7. P&amp;L TOÀN DỰ ÁN'!AX$3,'5. KHBH'!$I$8:$I$11,'7. P&amp;L TOÀN DỰ ÁN'!$B6)/1.1</f>
        <v>0</v>
      </c>
      <c r="AY6" s="352">
        <f>SUMIFS('5. KHBH'!$P$8:$P$11,'5. KHBH'!$Q$8:$Q$11,'7. P&amp;L TOÀN DỰ ÁN'!AY$3,'5. KHBH'!$I$8:$I$11,'7. P&amp;L TOÀN DỰ ÁN'!$B6)/1.1</f>
        <v>0</v>
      </c>
      <c r="AZ6" s="352">
        <f>SUMIFS('5. KHBH'!$P$8:$P$11,'5. KHBH'!$Q$8:$Q$11,'7. P&amp;L TOÀN DỰ ÁN'!AZ$3,'5. KHBH'!$I$8:$I$11,'7. P&amp;L TOÀN DỰ ÁN'!$B6)/1.1</f>
        <v>0</v>
      </c>
      <c r="BA6" s="352">
        <f>SUMIFS('5. KHBH'!$P$8:$P$11,'5. KHBH'!$Q$8:$Q$11,'7. P&amp;L TOÀN DỰ ÁN'!BA$3,'5. KHBH'!$I$8:$I$11,'7. P&amp;L TOÀN DỰ ÁN'!$B6)/1.1</f>
        <v>0</v>
      </c>
      <c r="BB6" s="352">
        <f>SUMIFS('5. KHBH'!$P$8:$P$11,'5. KHBH'!$Q$8:$Q$11,'7. P&amp;L TOÀN DỰ ÁN'!BB$3,'5. KHBH'!$I$8:$I$11,'7. P&amp;L TOÀN DỰ ÁN'!$B6)/1.1</f>
        <v>0</v>
      </c>
      <c r="BC6" s="352">
        <f>SUMIFS('5. KHBH'!$P$8:$P$11,'5. KHBH'!$Q$8:$Q$11,'7. P&amp;L TOÀN DỰ ÁN'!BC$3,'5. KHBH'!$I$8:$I$11,'7. P&amp;L TOÀN DỰ ÁN'!$B6)/1.1</f>
        <v>0</v>
      </c>
      <c r="BD6" s="352">
        <f>SUMIFS('5. KHBH'!$P$8:$P$11,'5. KHBH'!$Q$8:$Q$11,'7. P&amp;L TOÀN DỰ ÁN'!BD$3,'5. KHBH'!$I$8:$I$11,'7. P&amp;L TOÀN DỰ ÁN'!$B6)/1.1</f>
        <v>0</v>
      </c>
      <c r="BE6" s="352">
        <f>SUMIFS('5. KHBH'!$P$8:$P$11,'5. KHBH'!$Q$8:$Q$11,'7. P&amp;L TOÀN DỰ ÁN'!BE$3,'5. KHBH'!$I$8:$I$11,'7. P&amp;L TOÀN DỰ ÁN'!$B6)/1.1</f>
        <v>0</v>
      </c>
      <c r="BF6" s="352">
        <f>SUMIFS('5. KHBH'!$P$8:$P$11,'5. KHBH'!$Q$8:$Q$11,'7. P&amp;L TOÀN DỰ ÁN'!BF$3,'5. KHBH'!$I$8:$I$11,'7. P&amp;L TOÀN DỰ ÁN'!$B6)/1.1</f>
        <v>0</v>
      </c>
      <c r="BG6" s="352">
        <f>SUMIFS('5. KHBH'!$P$8:$P$11,'5. KHBH'!$Q$8:$Q$11,'7. P&amp;L TOÀN DỰ ÁN'!BG$3,'5. KHBH'!$I$8:$I$11,'7. P&amp;L TOÀN DỰ ÁN'!$B6)/1.1</f>
        <v>0</v>
      </c>
      <c r="BH6" s="352">
        <f>SUMIFS('5. KHBH'!$P$8:$P$11,'5. KHBH'!$Q$8:$Q$11,'7. P&amp;L TOÀN DỰ ÁN'!BH$3,'5. KHBH'!$I$8:$I$11,'7. P&amp;L TOÀN DỰ ÁN'!$B6)/1.1</f>
        <v>0</v>
      </c>
      <c r="BI6" s="352">
        <f>SUMIFS('5. KHBH'!$P$8:$P$11,'5. KHBH'!$Q$8:$Q$11,'7. P&amp;L TOÀN DỰ ÁN'!BI$3,'5. KHBH'!$I$8:$I$11,'7. P&amp;L TOÀN DỰ ÁN'!$B6)/1.1</f>
        <v>0</v>
      </c>
      <c r="BJ6" s="352">
        <f>SUMIFS('5. KHBH'!$P$8:$P$11,'5. KHBH'!$Q$8:$Q$11,'7. P&amp;L TOÀN DỰ ÁN'!BJ$3,'5. KHBH'!$I$8:$I$11,'7. P&amp;L TOÀN DỰ ÁN'!$B6)/1.1</f>
        <v>0</v>
      </c>
      <c r="BK6" s="352">
        <f>SUMIFS('5. KHBH'!$P$8:$P$11,'5. KHBH'!$Q$8:$Q$11,'7. P&amp;L TOÀN DỰ ÁN'!BK$3,'5. KHBH'!$I$8:$I$11,'7. P&amp;L TOÀN DỰ ÁN'!$B6)/1.1</f>
        <v>0</v>
      </c>
      <c r="BL6" s="352">
        <f>SUMIFS('5. KHBH'!$P$8:$P$11,'5. KHBH'!$Q$8:$Q$11,'7. P&amp;L TOÀN DỰ ÁN'!BL$3,'5. KHBH'!$I$8:$I$11,'7. P&amp;L TOÀN DỰ ÁN'!$B6)/1.1</f>
        <v>0</v>
      </c>
      <c r="BM6" s="352">
        <f>SUMIFS('5. KHBH'!$P$8:$P$11,'5. KHBH'!$Q$8:$Q$11,'7. P&amp;L TOÀN DỰ ÁN'!BM$3,'5. KHBH'!$I$8:$I$11,'7. P&amp;L TOÀN DỰ ÁN'!$B6)/1.1</f>
        <v>0</v>
      </c>
      <c r="BN6" s="352">
        <f>SUMIFS('5. KHBH'!$P$8:$P$11,'5. KHBH'!$Q$8:$Q$11,'7. P&amp;L TOÀN DỰ ÁN'!BN$3,'5. KHBH'!$I$8:$I$11,'7. P&amp;L TOÀN DỰ ÁN'!$B6)/1.1</f>
        <v>0</v>
      </c>
      <c r="BO6" s="352">
        <f>SUMIFS('5. KHBH'!$P$8:$P$11,'5. KHBH'!$Q$8:$Q$11,'7. P&amp;L TOÀN DỰ ÁN'!BO$3,'5. KHBH'!$I$8:$I$11,'7. P&amp;L TOÀN DỰ ÁN'!$B6)/1.1</f>
        <v>0</v>
      </c>
      <c r="BP6" s="352">
        <f>SUMIFS('5. KHBH'!$P$8:$P$11,'5. KHBH'!$Q$8:$Q$11,'7. P&amp;L TOÀN DỰ ÁN'!BP$3,'5. KHBH'!$I$8:$I$11,'7. P&amp;L TOÀN DỰ ÁN'!$B6)/1.1</f>
        <v>0</v>
      </c>
      <c r="BQ6" s="352">
        <f>SUMIFS('5. KHBH'!$P$8:$P$11,'5. KHBH'!$Q$8:$Q$11,'7. P&amp;L TOÀN DỰ ÁN'!BQ$3,'5. KHBH'!$I$8:$I$11,'7. P&amp;L TOÀN DỰ ÁN'!$B6)/1.1</f>
        <v>0</v>
      </c>
      <c r="BR6" s="352">
        <f>SUMIFS('5. KHBH'!$P$8:$P$11,'5. KHBH'!$Q$8:$Q$11,'7. P&amp;L TOÀN DỰ ÁN'!BR$3,'5. KHBH'!$I$8:$I$11,'7. P&amp;L TOÀN DỰ ÁN'!$B6)/1.1</f>
        <v>0</v>
      </c>
      <c r="BS6" s="352">
        <f>SUMIFS('5. KHBH'!$P$8:$P$11,'5. KHBH'!$Q$8:$Q$11,'7. P&amp;L TOÀN DỰ ÁN'!BS$3,'5. KHBH'!$I$8:$I$11,'7. P&amp;L TOÀN DỰ ÁN'!$B6)/1.1</f>
        <v>0</v>
      </c>
      <c r="BT6" s="352">
        <f>SUMIFS('5. KHBH'!$P$8:$P$11,'5. KHBH'!$Q$8:$Q$11,'7. P&amp;L TOÀN DỰ ÁN'!BT$3,'5. KHBH'!$I$8:$I$11,'7. P&amp;L TOÀN DỰ ÁN'!$B6)/1.1</f>
        <v>0</v>
      </c>
      <c r="BU6" s="352">
        <f>SUMIFS('5. KHBH'!$P$8:$P$11,'5. KHBH'!$Q$8:$Q$11,'7. P&amp;L TOÀN DỰ ÁN'!BU$3,'5. KHBH'!$I$8:$I$11,'7. P&amp;L TOÀN DỰ ÁN'!$B6)/1.1</f>
        <v>0</v>
      </c>
      <c r="BV6" s="352">
        <f>SUMIFS('5. KHBH'!$P$8:$P$11,'5. KHBH'!$Q$8:$Q$11,'7. P&amp;L TOÀN DỰ ÁN'!BV$3,'5. KHBH'!$I$8:$I$11,'7. P&amp;L TOÀN DỰ ÁN'!$B6)/1.1</f>
        <v>0</v>
      </c>
      <c r="BW6" s="352">
        <f>SUMIFS('5. KHBH'!$P$8:$P$11,'5. KHBH'!$Q$8:$Q$11,'7. P&amp;L TOÀN DỰ ÁN'!BW$3,'5. KHBH'!$I$8:$I$11,'7. P&amp;L TOÀN DỰ ÁN'!$B6)/1.1</f>
        <v>0</v>
      </c>
      <c r="BX6" s="352">
        <f>SUMIFS('5. KHBH'!$P$8:$P$11,'5. KHBH'!$Q$8:$Q$11,'7. P&amp;L TOÀN DỰ ÁN'!BX$3,'5. KHBH'!$I$8:$I$11,'7. P&amp;L TOÀN DỰ ÁN'!$B6)/1.1</f>
        <v>0</v>
      </c>
      <c r="BY6" s="352">
        <f>SUMIFS('5. KHBH'!$P$8:$P$11,'5. KHBH'!$Q$8:$Q$11,'7. P&amp;L TOÀN DỰ ÁN'!BY$3,'5. KHBH'!$I$8:$I$11,'7. P&amp;L TOÀN DỰ ÁN'!$B6)/1.1</f>
        <v>0</v>
      </c>
      <c r="BZ6" s="352">
        <f>SUMIFS('5. KHBH'!$P$8:$P$11,'5. KHBH'!$Q$8:$Q$11,'7. P&amp;L TOÀN DỰ ÁN'!BZ$3,'5. KHBH'!$I$8:$I$11,'7. P&amp;L TOÀN DỰ ÁN'!$B6)/1.1</f>
        <v>0</v>
      </c>
      <c r="CA6" s="352">
        <f>SUMIFS('5. KHBH'!$P$8:$P$11,'5. KHBH'!$Q$8:$Q$11,'7. P&amp;L TOÀN DỰ ÁN'!CA$3,'5. KHBH'!$I$8:$I$11,'7. P&amp;L TOÀN DỰ ÁN'!$B6)/1.1</f>
        <v>0</v>
      </c>
      <c r="CB6" s="352">
        <f>SUMIFS('5. KHBH'!$P$8:$P$11,'5. KHBH'!$Q$8:$Q$11,'7. P&amp;L TOÀN DỰ ÁN'!CB$3,'5. KHBH'!$I$8:$I$11,'7. P&amp;L TOÀN DỰ ÁN'!$B6)/1.1</f>
        <v>0</v>
      </c>
      <c r="CC6" s="352">
        <f>SUMIFS('5. KHBH'!$P$8:$P$11,'5. KHBH'!$Q$8:$Q$11,'7. P&amp;L TOÀN DỰ ÁN'!CC$3,'5. KHBH'!$I$8:$I$11,'7. P&amp;L TOÀN DỰ ÁN'!$B6)/1.1</f>
        <v>0</v>
      </c>
      <c r="CD6" s="352">
        <f>SUMIFS('5. KHBH'!$P$8:$P$11,'5. KHBH'!$Q$8:$Q$11,'7. P&amp;L TOÀN DỰ ÁN'!CD$3,'5. KHBH'!$I$8:$I$11,'7. P&amp;L TOÀN DỰ ÁN'!$B6)/1.1</f>
        <v>0</v>
      </c>
      <c r="CE6" s="352">
        <f>SUMIFS('5. KHBH'!$P$8:$P$11,'5. KHBH'!$Q$8:$Q$11,'7. P&amp;L TOÀN DỰ ÁN'!CE$3,'5. KHBH'!$I$8:$I$11,'7. P&amp;L TOÀN DỰ ÁN'!$B6)/1.1</f>
        <v>0</v>
      </c>
      <c r="CF6" s="352">
        <f>SUMIFS('5. KHBH'!$P$8:$P$11,'5. KHBH'!$Q$8:$Q$11,'7. P&amp;L TOÀN DỰ ÁN'!CF$3,'5. KHBH'!$I$8:$I$11,'7. P&amp;L TOÀN DỰ ÁN'!$B6)/1.1</f>
        <v>0</v>
      </c>
      <c r="CG6" s="352">
        <f>SUMIFS('5. KHBH'!$P$8:$P$11,'5. KHBH'!$Q$8:$Q$11,'7. P&amp;L TOÀN DỰ ÁN'!CG$3,'5. KHBH'!$I$8:$I$11,'7. P&amp;L TOÀN DỰ ÁN'!$B6)/1.1</f>
        <v>0</v>
      </c>
      <c r="CH6" s="352">
        <f>SUMIFS('5. KHBH'!$P$8:$P$11,'5. KHBH'!$Q$8:$Q$11,'7. P&amp;L TOÀN DỰ ÁN'!CH$3,'5. KHBH'!$I$8:$I$11,'7. P&amp;L TOÀN DỰ ÁN'!$B6)/1.1</f>
        <v>0</v>
      </c>
      <c r="CI6" s="352">
        <f>SUMIFS('5. KHBH'!$P$8:$P$11,'5. KHBH'!$Q$8:$Q$11,'7. P&amp;L TOÀN DỰ ÁN'!CI$3,'5. KHBH'!$I$8:$I$11,'7. P&amp;L TOÀN DỰ ÁN'!$B6)/1.1</f>
        <v>0</v>
      </c>
      <c r="CJ6" s="352">
        <f>SUMIFS('5. KHBH'!$P$8:$P$11,'5. KHBH'!$Q$8:$Q$11,'7. P&amp;L TOÀN DỰ ÁN'!CJ$3,'5. KHBH'!$I$8:$I$11,'7. P&amp;L TOÀN DỰ ÁN'!$B6)/1.1</f>
        <v>0</v>
      </c>
      <c r="CK6" s="352">
        <f>SUMIFS('5. KHBH'!$P$8:$P$11,'5. KHBH'!$Q$8:$Q$11,'7. P&amp;L TOÀN DỰ ÁN'!CK$3,'5. KHBH'!$I$8:$I$11,'7. P&amp;L TOÀN DỰ ÁN'!$B6)/1.1</f>
        <v>0</v>
      </c>
      <c r="CL6" s="352">
        <f>SUMIFS('5. KHBH'!$P$8:$P$11,'5. KHBH'!$Q$8:$Q$11,'7. P&amp;L TOÀN DỰ ÁN'!CL$3,'5. KHBH'!$I$8:$I$11,'7. P&amp;L TOÀN DỰ ÁN'!$B6)/1.1</f>
        <v>0</v>
      </c>
      <c r="CM6" s="352">
        <f>SUMIFS('5. KHBH'!$P$8:$P$11,'5. KHBH'!$Q$8:$Q$11,'7. P&amp;L TOÀN DỰ ÁN'!CM$3,'5. KHBH'!$I$8:$I$11,'7. P&amp;L TOÀN DỰ ÁN'!$B6)/1.1</f>
        <v>0</v>
      </c>
      <c r="CN6" s="352">
        <f>SUMIFS('5. KHBH'!$P$8:$P$11,'5. KHBH'!$Q$8:$Q$11,'7. P&amp;L TOÀN DỰ ÁN'!CN$3,'5. KHBH'!$I$8:$I$11,'7. P&amp;L TOÀN DỰ ÁN'!$B6)/1.1</f>
        <v>0</v>
      </c>
      <c r="CO6" s="352">
        <f>SUMIFS('5. KHBH'!$P$8:$P$11,'5. KHBH'!$Q$8:$Q$11,'7. P&amp;L TOÀN DỰ ÁN'!CO$3,'5. KHBH'!$I$8:$I$11,'7. P&amp;L TOÀN DỰ ÁN'!$B6)/1.1</f>
        <v>0</v>
      </c>
      <c r="CP6" s="352">
        <f>SUMIFS('5. KHBH'!$P$8:$P$11,'5. KHBH'!$Q$8:$Q$11,'7. P&amp;L TOÀN DỰ ÁN'!CP$3,'5. KHBH'!$I$8:$I$11,'7. P&amp;L TOÀN DỰ ÁN'!$B6)/1.1</f>
        <v>0</v>
      </c>
      <c r="CQ6" s="352">
        <f>SUMIFS('5. KHBH'!$P$8:$P$11,'5. KHBH'!$Q$8:$Q$11,'7. P&amp;L TOÀN DỰ ÁN'!CQ$3,'5. KHBH'!$I$8:$I$11,'7. P&amp;L TOÀN DỰ ÁN'!$B6)/1.1</f>
        <v>0</v>
      </c>
      <c r="CR6" s="352">
        <f>SUMIFS('5. KHBH'!$P$8:$P$11,'5. KHBH'!$Q$8:$Q$11,'7. P&amp;L TOÀN DỰ ÁN'!CR$3,'5. KHBH'!$I$8:$I$11,'7. P&amp;L TOÀN DỰ ÁN'!$B6)/1.1</f>
        <v>357058800000</v>
      </c>
      <c r="CS6" s="352">
        <f>SUMIFS('5. KHBH'!$P$8:$P$11,'5. KHBH'!$Q$8:$Q$11,'7. P&amp;L TOÀN DỰ ÁN'!CS$3,'5. KHBH'!$I$8:$I$11,'7. P&amp;L TOÀN DỰ ÁN'!$B6)/1.1</f>
        <v>0</v>
      </c>
      <c r="CT6" s="352">
        <f>SUMIFS('5. KHBH'!$P$8:$P$11,'5. KHBH'!$Q$8:$Q$11,'7. P&amp;L TOÀN DỰ ÁN'!CT$3,'5. KHBH'!$I$8:$I$11,'7. P&amp;L TOÀN DỰ ÁN'!$B6)/1.1</f>
        <v>0</v>
      </c>
      <c r="CU6" s="352">
        <f>SUMIFS('5. KHBH'!$P$8:$P$11,'5. KHBH'!$Q$8:$Q$11,'7. P&amp;L TOÀN DỰ ÁN'!CU$3,'5. KHBH'!$I$8:$I$11,'7. P&amp;L TOÀN DỰ ÁN'!$B6)/1.1</f>
        <v>0</v>
      </c>
      <c r="CV6" s="352">
        <f>SUMIFS('5. KHBH'!$P$8:$P$11,'5. KHBH'!$Q$8:$Q$11,'7. P&amp;L TOÀN DỰ ÁN'!CV$3,'5. KHBH'!$I$8:$I$11,'7. P&amp;L TOÀN DỰ ÁN'!$B6)/1.1</f>
        <v>0</v>
      </c>
      <c r="CW6" s="352">
        <f>SUMIFS('5. KHBH'!$P$8:$P$11,'5. KHBH'!$Q$8:$Q$11,'7. P&amp;L TOÀN DỰ ÁN'!CW$3,'5. KHBH'!$I$8:$I$11,'7. P&amp;L TOÀN DỰ ÁN'!$B6)/1.1</f>
        <v>0</v>
      </c>
      <c r="CX6" s="352">
        <f>SUMIFS('5. KHBH'!$P$8:$P$11,'5. KHBH'!$Q$8:$Q$11,'7. P&amp;L TOÀN DỰ ÁN'!CX$3,'5. KHBH'!$I$8:$I$11,'7. P&amp;L TOÀN DỰ ÁN'!$B6)/1.1</f>
        <v>0</v>
      </c>
      <c r="CY6" s="352">
        <f>SUMIFS('5. KHBH'!$P$8:$P$11,'5. KHBH'!$Q$8:$Q$11,'7. P&amp;L TOÀN DỰ ÁN'!CY$3,'5. KHBH'!$I$8:$I$11,'7. P&amp;L TOÀN DỰ ÁN'!$B6)/1.1</f>
        <v>0</v>
      </c>
      <c r="CZ6" s="352">
        <f>SUMIFS('5. KHBH'!$P$8:$P$11,'5. KHBH'!$Q$8:$Q$11,'7. P&amp;L TOÀN DỰ ÁN'!CZ$3,'5. KHBH'!$I$8:$I$11,'7. P&amp;L TOÀN DỰ ÁN'!$B6)/1.1</f>
        <v>0</v>
      </c>
      <c r="DA6" s="352">
        <f>SUMIFS('5. KHBH'!$P$8:$P$11,'5. KHBH'!$Q$8:$Q$11,'7. P&amp;L TOÀN DỰ ÁN'!DA$3,'5. KHBH'!$I$8:$I$11,'7. P&amp;L TOÀN DỰ ÁN'!$B6)/1.1</f>
        <v>0</v>
      </c>
      <c r="DB6" s="352">
        <f>SUMIFS('5. KHBH'!$P$8:$P$11,'5. KHBH'!$Q$8:$Q$11,'7. P&amp;L TOÀN DỰ ÁN'!DB$3,'5. KHBH'!$I$8:$I$11,'7. P&amp;L TOÀN DỰ ÁN'!$B6)/1.1</f>
        <v>0</v>
      </c>
      <c r="DC6" s="352">
        <f>SUMIFS('5. KHBH'!$P$8:$P$11,'5. KHBH'!$Q$8:$Q$11,'7. P&amp;L TOÀN DỰ ÁN'!DC$3,'5. KHBH'!$I$8:$I$11,'7. P&amp;L TOÀN DỰ ÁN'!$B6)/1.1</f>
        <v>0</v>
      </c>
      <c r="DD6" s="352">
        <f>SUMIFS('5. KHBH'!$P$8:$P$11,'5. KHBH'!$Q$8:$Q$11,'7. P&amp;L TOÀN DỰ ÁN'!DD$3,'5. KHBH'!$I$8:$I$11,'7. P&amp;L TOÀN DỰ ÁN'!$B6)/1.1</f>
        <v>0</v>
      </c>
      <c r="DE6" s="352">
        <f>SUMIFS('5. KHBH'!$P$8:$P$11,'5. KHBH'!$Q$8:$Q$11,'7. P&amp;L TOÀN DỰ ÁN'!DE$3,'5. KHBH'!$I$8:$I$11,'7. P&amp;L TOÀN DỰ ÁN'!$B6)/1.1</f>
        <v>0</v>
      </c>
      <c r="DF6" s="352">
        <f>SUMIFS('5. KHBH'!$P$8:$P$11,'5. KHBH'!$Q$8:$Q$11,'7. P&amp;L TOÀN DỰ ÁN'!DF$3,'5. KHBH'!$I$8:$I$11,'7. P&amp;L TOÀN DỰ ÁN'!$B6)/1.1</f>
        <v>0</v>
      </c>
      <c r="DG6" s="352">
        <f>SUMIFS('5. KHBH'!$P$8:$P$11,'5. KHBH'!$Q$8:$Q$11,'7. P&amp;L TOÀN DỰ ÁN'!DG$3,'5. KHBH'!$I$8:$I$11,'7. P&amp;L TOÀN DỰ ÁN'!$B6)/1.1</f>
        <v>0</v>
      </c>
      <c r="DH6" s="352">
        <f>SUMIFS('5. KHBH'!$P$8:$P$11,'5. KHBH'!$Q$8:$Q$11,'7. P&amp;L TOÀN DỰ ÁN'!DH$3,'5. KHBH'!$I$8:$I$11,'7. P&amp;L TOÀN DỰ ÁN'!$B6)/1.1</f>
        <v>0</v>
      </c>
      <c r="DI6" s="352">
        <f>SUMIFS('5. KHBH'!$P$8:$P$11,'5. KHBH'!$Q$8:$Q$11,'7. P&amp;L TOÀN DỰ ÁN'!DI$3,'5. KHBH'!$I$8:$I$11,'7. P&amp;L TOÀN DỰ ÁN'!$B6)/1.1</f>
        <v>0</v>
      </c>
      <c r="DJ6" s="352">
        <f>SUMIFS('5. KHBH'!$P$8:$P$11,'5. KHBH'!$Q$8:$Q$11,'7. P&amp;L TOÀN DỰ ÁN'!DJ$3,'5. KHBH'!$I$8:$I$11,'7. P&amp;L TOÀN DỰ ÁN'!$B6)/1.1</f>
        <v>0</v>
      </c>
      <c r="DK6" s="352">
        <f>SUMIFS('5. KHBH'!$P$8:$P$11,'5. KHBH'!$Q$8:$Q$11,'7. P&amp;L TOÀN DỰ ÁN'!DK$3,'5. KHBH'!$I$8:$I$11,'7. P&amp;L TOÀN DỰ ÁN'!$B6)/1.1</f>
        <v>0</v>
      </c>
      <c r="DL6" s="352">
        <f>SUMIFS('5. KHBH'!$P$8:$P$11,'5. KHBH'!$Q$8:$Q$11,'7. P&amp;L TOÀN DỰ ÁN'!DL$3,'5. KHBH'!$I$8:$I$11,'7. P&amp;L TOÀN DỰ ÁN'!$B6)/1.1</f>
        <v>0</v>
      </c>
      <c r="DM6" s="352">
        <f>SUMIFS('5. KHBH'!$P$8:$P$11,'5. KHBH'!$Q$8:$Q$11,'7. P&amp;L TOÀN DỰ ÁN'!DM$3,'5. KHBH'!$I$8:$I$11,'7. P&amp;L TOÀN DỰ ÁN'!$B6)/1.1</f>
        <v>0</v>
      </c>
      <c r="DN6" s="352">
        <f>SUMIFS('5. KHBH'!$P$8:$P$11,'5. KHBH'!$Q$8:$Q$11,'7. P&amp;L TOÀN DỰ ÁN'!DN$3,'5. KHBH'!$I$8:$I$11,'7. P&amp;L TOÀN DỰ ÁN'!$B6)/1.1</f>
        <v>0</v>
      </c>
      <c r="DO6" s="352">
        <f>SUMIFS('5. KHBH'!$P$8:$P$11,'5. KHBH'!$Q$8:$Q$11,'7. P&amp;L TOÀN DỰ ÁN'!DO$3,'5. KHBH'!$I$8:$I$11,'7. P&amp;L TOÀN DỰ ÁN'!$B6)/1.1</f>
        <v>0</v>
      </c>
      <c r="DP6" s="352">
        <f>SUMIFS('5. KHBH'!$P$8:$P$11,'5. KHBH'!$Q$8:$Q$11,'7. P&amp;L TOÀN DỰ ÁN'!DP$3,'5. KHBH'!$I$8:$I$11,'7. P&amp;L TOÀN DỰ ÁN'!$B6)/1.1</f>
        <v>0</v>
      </c>
      <c r="DQ6" s="352">
        <f>SUMIFS('5. KHBH'!$P$8:$P$11,'5. KHBH'!$Q$8:$Q$11,'7. P&amp;L TOÀN DỰ ÁN'!DQ$3,'5. KHBH'!$I$8:$I$11,'7. P&amp;L TOÀN DỰ ÁN'!$B6)/1.1</f>
        <v>0</v>
      </c>
      <c r="DR6" s="352">
        <f>SUMIFS('5. KHBH'!$P$8:$P$11,'5. KHBH'!$Q$8:$Q$11,'7. P&amp;L TOÀN DỰ ÁN'!DR$3,'5. KHBH'!$I$8:$I$11,'7. P&amp;L TOÀN DỰ ÁN'!$B6)/1.1</f>
        <v>0</v>
      </c>
      <c r="DS6" s="352">
        <f>SUMIFS('5. KHBH'!$P$8:$P$11,'5. KHBH'!$Q$8:$Q$11,'7. P&amp;L TOÀN DỰ ÁN'!DS$3,'5. KHBH'!$I$8:$I$11,'7. P&amp;L TOÀN DỰ ÁN'!$B6)/1.1</f>
        <v>0</v>
      </c>
      <c r="DT6" s="352">
        <f>SUMIFS('5. KHBH'!$P$8:$P$11,'5. KHBH'!$Q$8:$Q$11,'7. P&amp;L TOÀN DỰ ÁN'!DT$3,'5. KHBH'!$I$8:$I$11,'7. P&amp;L TOÀN DỰ ÁN'!$B6)/1.1</f>
        <v>0</v>
      </c>
      <c r="DU6" s="352">
        <f>SUMIFS('5. KHBH'!$P$8:$P$11,'5. KHBH'!$Q$8:$Q$11,'7. P&amp;L TOÀN DỰ ÁN'!DU$3,'5. KHBH'!$I$8:$I$11,'7. P&amp;L TOÀN DỰ ÁN'!$B6)/1.1</f>
        <v>0</v>
      </c>
      <c r="DV6" s="352">
        <f>SUMIFS('5. KHBH'!$P$8:$P$11,'5. KHBH'!$Q$8:$Q$11,'7. P&amp;L TOÀN DỰ ÁN'!DV$3,'5. KHBH'!$I$8:$I$11,'7. P&amp;L TOÀN DỰ ÁN'!$B6)/1.1</f>
        <v>0</v>
      </c>
      <c r="DW6" s="352">
        <f>SUMIFS('5. KHBH'!$P$8:$P$11,'5. KHBH'!$Q$8:$Q$11,'7. P&amp;L TOÀN DỰ ÁN'!DW$3,'5. KHBH'!$I$8:$I$11,'7. P&amp;L TOÀN DỰ ÁN'!$B6)/1.1</f>
        <v>0</v>
      </c>
      <c r="DX6" s="352">
        <f>SUMIFS('5. KHBH'!$P$8:$P$11,'5. KHBH'!$Q$8:$Q$11,'7. P&amp;L TOÀN DỰ ÁN'!DX$3,'5. KHBH'!$I$8:$I$11,'7. P&amp;L TOÀN DỰ ÁN'!$B6)/1.1</f>
        <v>0</v>
      </c>
      <c r="DY6" s="352">
        <f>SUMIFS('5. KHBH'!$P$8:$P$11,'5. KHBH'!$Q$8:$Q$11,'7. P&amp;L TOÀN DỰ ÁN'!DY$3,'5. KHBH'!$I$8:$I$11,'7. P&amp;L TOÀN DỰ ÁN'!$B6)/1.1</f>
        <v>0</v>
      </c>
      <c r="DZ6" s="352">
        <f>SUMIFS('5. KHBH'!$P$8:$P$11,'5. KHBH'!$Q$8:$Q$11,'7. P&amp;L TOÀN DỰ ÁN'!DZ$3,'5. KHBH'!$I$8:$I$11,'7. P&amp;L TOÀN DỰ ÁN'!$B6)/1.1</f>
        <v>0</v>
      </c>
      <c r="EA6" s="352">
        <f>SUMIFS('5. KHBH'!$P$8:$P$11,'5. KHBH'!$Q$8:$Q$11,'7. P&amp;L TOÀN DỰ ÁN'!EA$3,'5. KHBH'!$I$8:$I$11,'7. P&amp;L TOÀN DỰ ÁN'!$B6)/1.1</f>
        <v>0</v>
      </c>
      <c r="EB6" s="352">
        <f>SUMIFS('5. KHBH'!$P$8:$P$11,'5. KHBH'!$Q$8:$Q$11,'7. P&amp;L TOÀN DỰ ÁN'!EB$3,'5. KHBH'!$I$8:$I$11,'7. P&amp;L TOÀN DỰ ÁN'!$B6)/1.1</f>
        <v>0</v>
      </c>
      <c r="EC6" s="352">
        <f>SUMIFS('5. KHBH'!$P$8:$P$11,'5. KHBH'!$Q$8:$Q$11,'7. P&amp;L TOÀN DỰ ÁN'!EC$3,'5. KHBH'!$I$8:$I$11,'7. P&amp;L TOÀN DỰ ÁN'!$B6)/1.1</f>
        <v>0</v>
      </c>
      <c r="ED6" s="352">
        <f>SUMIFS('5. KHBH'!$P$8:$P$11,'5. KHBH'!$Q$8:$Q$11,'7. P&amp;L TOÀN DỰ ÁN'!ED$3,'5. KHBH'!$I$8:$I$11,'7. P&amp;L TOÀN DỰ ÁN'!$B6)/1.1</f>
        <v>0</v>
      </c>
      <c r="EE6" s="352">
        <f>SUMIFS('5. KHBH'!$P$8:$P$11,'5. KHBH'!$Q$8:$Q$11,'7. P&amp;L TOÀN DỰ ÁN'!EE$3,'5. KHBH'!$I$8:$I$11,'7. P&amp;L TOÀN DỰ ÁN'!$B6)/1.1</f>
        <v>0</v>
      </c>
      <c r="EF6" s="352">
        <f>SUMIFS('5. KHBH'!$P$8:$P$11,'5. KHBH'!$Q$8:$Q$11,'7. P&amp;L TOÀN DỰ ÁN'!EF$3,'5. KHBH'!$I$8:$I$11,'7. P&amp;L TOÀN DỰ ÁN'!$B6)/1.1</f>
        <v>0</v>
      </c>
      <c r="EG6" s="352">
        <f>SUMIFS('5. KHBH'!$P$8:$P$11,'5. KHBH'!$Q$8:$Q$11,'7. P&amp;L TOÀN DỰ ÁN'!EG$3,'5. KHBH'!$I$8:$I$11,'7. P&amp;L TOÀN DỰ ÁN'!$B6)/1.1</f>
        <v>0</v>
      </c>
      <c r="EH6" s="352">
        <f>SUMIFS('5. KHBH'!$P$8:$P$11,'5. KHBH'!$Q$8:$Q$11,'7. P&amp;L TOÀN DỰ ÁN'!EH$3,'5. KHBH'!$I$8:$I$11,'7. P&amp;L TOÀN DỰ ÁN'!$B6)/1.1</f>
        <v>0</v>
      </c>
      <c r="EI6" s="352">
        <f>SUMIFS('5. KHBH'!$P$8:$P$11,'5. KHBH'!$Q$8:$Q$11,'7. P&amp;L TOÀN DỰ ÁN'!EI$3,'5. KHBH'!$I$8:$I$11,'7. P&amp;L TOÀN DỰ ÁN'!$B6)/1.1</f>
        <v>0</v>
      </c>
      <c r="EJ6" s="352">
        <f>SUMIFS('5. KHBH'!$P$8:$P$11,'5. KHBH'!$Q$8:$Q$11,'7. P&amp;L TOÀN DỰ ÁN'!EJ$3,'5. KHBH'!$I$8:$I$11,'7. P&amp;L TOÀN DỰ ÁN'!$B6)/1.1</f>
        <v>0</v>
      </c>
      <c r="EK6" s="352">
        <f>SUMIFS('5. KHBH'!$P$8:$P$11,'5. KHBH'!$Q$8:$Q$11,'7. P&amp;L TOÀN DỰ ÁN'!EK$3,'5. KHBH'!$I$8:$I$11,'7. P&amp;L TOÀN DỰ ÁN'!$B6)/1.1</f>
        <v>0</v>
      </c>
      <c r="EL6" s="352">
        <f>SUMIFS('5. KHBH'!$P$8:$P$11,'5. KHBH'!$Q$8:$Q$11,'7. P&amp;L TOÀN DỰ ÁN'!EL$3,'5. KHBH'!$I$8:$I$11,'7. P&amp;L TOÀN DỰ ÁN'!$B6)/1.1</f>
        <v>0</v>
      </c>
      <c r="EM6" s="352">
        <f>SUMIFS('5. KHBH'!$P$8:$P$11,'5. KHBH'!$Q$8:$Q$11,'7. P&amp;L TOÀN DỰ ÁN'!EM$3,'5. KHBH'!$I$8:$I$11,'7. P&amp;L TOÀN DỰ ÁN'!$B6)/1.1</f>
        <v>0</v>
      </c>
      <c r="EN6" s="353">
        <f t="shared" si="2"/>
        <v>0</v>
      </c>
      <c r="EO6" s="353">
        <f t="shared" si="2"/>
        <v>0</v>
      </c>
      <c r="EP6" s="353">
        <f t="shared" si="2"/>
        <v>0</v>
      </c>
      <c r="EQ6" s="353">
        <f t="shared" si="2"/>
        <v>0</v>
      </c>
      <c r="ER6" s="353">
        <f t="shared" si="2"/>
        <v>0</v>
      </c>
      <c r="ES6" s="353">
        <f t="shared" si="2"/>
        <v>0</v>
      </c>
      <c r="ET6" s="353">
        <f t="shared" si="2"/>
        <v>0</v>
      </c>
      <c r="EU6" s="353">
        <f t="shared" si="2"/>
        <v>0</v>
      </c>
      <c r="EV6" s="353">
        <f t="shared" si="2"/>
        <v>0</v>
      </c>
      <c r="EW6" s="353">
        <f t="shared" si="2"/>
        <v>0</v>
      </c>
      <c r="EX6" s="353">
        <f t="shared" si="3"/>
        <v>0</v>
      </c>
      <c r="EY6" s="353">
        <f t="shared" si="3"/>
        <v>0</v>
      </c>
      <c r="EZ6" s="353">
        <f t="shared" si="3"/>
        <v>0</v>
      </c>
      <c r="FA6" s="353">
        <f t="shared" si="3"/>
        <v>0</v>
      </c>
      <c r="FB6" s="353">
        <f t="shared" si="3"/>
        <v>0</v>
      </c>
      <c r="FC6" s="353">
        <f t="shared" si="3"/>
        <v>0</v>
      </c>
      <c r="FD6" s="353">
        <f t="shared" si="3"/>
        <v>0</v>
      </c>
      <c r="FE6" s="353">
        <f t="shared" si="3"/>
        <v>0</v>
      </c>
      <c r="FF6" s="353">
        <f t="shared" si="3"/>
        <v>0</v>
      </c>
      <c r="FG6" s="353">
        <f t="shared" si="3"/>
        <v>0</v>
      </c>
      <c r="FH6" s="353">
        <f t="shared" si="4"/>
        <v>0</v>
      </c>
      <c r="FI6" s="353">
        <f t="shared" si="4"/>
        <v>0</v>
      </c>
      <c r="FJ6" s="353">
        <f t="shared" si="4"/>
        <v>0</v>
      </c>
      <c r="FK6" s="353">
        <f t="shared" si="4"/>
        <v>0</v>
      </c>
      <c r="FL6" s="353">
        <f t="shared" si="4"/>
        <v>0</v>
      </c>
      <c r="FM6" s="353">
        <f t="shared" si="4"/>
        <v>357058800000</v>
      </c>
      <c r="FN6" s="353">
        <f t="shared" si="4"/>
        <v>0</v>
      </c>
      <c r="FO6" s="353">
        <f t="shared" si="4"/>
        <v>0</v>
      </c>
      <c r="FP6" s="353">
        <f t="shared" si="4"/>
        <v>0</v>
      </c>
      <c r="FQ6" s="353">
        <f t="shared" si="4"/>
        <v>0</v>
      </c>
      <c r="FR6" s="353">
        <f t="shared" si="5"/>
        <v>0</v>
      </c>
      <c r="FS6" s="353">
        <f t="shared" si="5"/>
        <v>0</v>
      </c>
      <c r="FT6" s="353">
        <f t="shared" si="5"/>
        <v>0</v>
      </c>
      <c r="FU6" s="353">
        <f t="shared" si="5"/>
        <v>0</v>
      </c>
      <c r="FV6" s="353">
        <f t="shared" si="5"/>
        <v>0</v>
      </c>
      <c r="FW6" s="353">
        <f t="shared" si="5"/>
        <v>0</v>
      </c>
      <c r="FX6" s="353">
        <f t="shared" si="5"/>
        <v>0</v>
      </c>
      <c r="FY6" s="353">
        <f t="shared" si="5"/>
        <v>0</v>
      </c>
      <c r="FZ6" s="353">
        <f t="shared" si="5"/>
        <v>0</v>
      </c>
      <c r="GA6" s="353">
        <f t="shared" si="5"/>
        <v>0</v>
      </c>
      <c r="GB6" s="353">
        <f t="shared" si="5"/>
        <v>0</v>
      </c>
    </row>
    <row r="7" spans="1:184">
      <c r="A7" s="563">
        <v>3</v>
      </c>
      <c r="B7" s="564" t="str">
        <f>'5. KHBH'!C10</f>
        <v>Nhà ở xã hội 3</v>
      </c>
      <c r="C7" s="565">
        <f t="shared" ref="C7" si="8">SUM(EN7:GB7)</f>
        <v>295860599999.99994</v>
      </c>
      <c r="D7" s="565">
        <f>SUMIF('5. KHBH'!$I$8:$I$11,B7,'5. KHBH'!$M$8:$M$11)</f>
        <v>14464.295999999998</v>
      </c>
      <c r="E7" s="352">
        <f>SUMIFS('5. KHBH'!$P$8:$P$11,'5. KHBH'!$Q$8:$Q$11,'7. P&amp;L TOÀN DỰ ÁN'!E$3,'5. KHBH'!$I$8:$I$11,'7. P&amp;L TOÀN DỰ ÁN'!$B7)/1.1</f>
        <v>0</v>
      </c>
      <c r="F7" s="352">
        <f>SUMIFS('5. KHBH'!$P$8:$P$11,'5. KHBH'!$Q$8:$Q$11,'7. P&amp;L TOÀN DỰ ÁN'!F$3,'5. KHBH'!$I$8:$I$11,'7. P&amp;L TOÀN DỰ ÁN'!$B7)/1.1</f>
        <v>0</v>
      </c>
      <c r="G7" s="352">
        <f>SUMIFS('5. KHBH'!$P$8:$P$11,'5. KHBH'!$Q$8:$Q$11,'7. P&amp;L TOÀN DỰ ÁN'!G$3,'5. KHBH'!$I$8:$I$11,'7. P&amp;L TOÀN DỰ ÁN'!$B7)/1.1</f>
        <v>0</v>
      </c>
      <c r="H7" s="352">
        <f>SUMIFS('5. KHBH'!$P$8:$P$11,'5. KHBH'!$Q$8:$Q$11,'7. P&amp;L TOÀN DỰ ÁN'!H$3,'5. KHBH'!$I$8:$I$11,'7. P&amp;L TOÀN DỰ ÁN'!$B7)/1.1</f>
        <v>0</v>
      </c>
      <c r="I7" s="352">
        <f>SUMIFS('5. KHBH'!$P$8:$P$11,'5. KHBH'!$Q$8:$Q$11,'7. P&amp;L TOÀN DỰ ÁN'!I$3,'5. KHBH'!$I$8:$I$11,'7. P&amp;L TOÀN DỰ ÁN'!$B7)/1.1</f>
        <v>0</v>
      </c>
      <c r="J7" s="352">
        <f>SUMIFS('5. KHBH'!$P$8:$P$11,'5. KHBH'!$Q$8:$Q$11,'7. P&amp;L TOÀN DỰ ÁN'!J$3,'5. KHBH'!$I$8:$I$11,'7. P&amp;L TOÀN DỰ ÁN'!$B7)/1.1</f>
        <v>0</v>
      </c>
      <c r="K7" s="352">
        <f>SUMIFS('5. KHBH'!$P$8:$P$11,'5. KHBH'!$Q$8:$Q$11,'7. P&amp;L TOÀN DỰ ÁN'!K$3,'5. KHBH'!$I$8:$I$11,'7. P&amp;L TOÀN DỰ ÁN'!$B7)/1.1</f>
        <v>0</v>
      </c>
      <c r="L7" s="352">
        <f>SUMIFS('5. KHBH'!$P$8:$P$11,'5. KHBH'!$Q$8:$Q$11,'7. P&amp;L TOÀN DỰ ÁN'!L$3,'5. KHBH'!$I$8:$I$11,'7. P&amp;L TOÀN DỰ ÁN'!$B7)/1.1</f>
        <v>0</v>
      </c>
      <c r="M7" s="352">
        <f>SUMIFS('5. KHBH'!$P$8:$P$11,'5. KHBH'!$Q$8:$Q$11,'7. P&amp;L TOÀN DỰ ÁN'!M$3,'5. KHBH'!$I$8:$I$11,'7. P&amp;L TOÀN DỰ ÁN'!$B7)/1.1</f>
        <v>0</v>
      </c>
      <c r="N7" s="352">
        <f>SUMIFS('5. KHBH'!$P$8:$P$11,'5. KHBH'!$Q$8:$Q$11,'7. P&amp;L TOÀN DỰ ÁN'!N$3,'5. KHBH'!$I$8:$I$11,'7. P&amp;L TOÀN DỰ ÁN'!$B7)/1.1</f>
        <v>0</v>
      </c>
      <c r="O7" s="352">
        <f>SUMIFS('5. KHBH'!$P$8:$P$11,'5. KHBH'!$Q$8:$Q$11,'7. P&amp;L TOÀN DỰ ÁN'!O$3,'5. KHBH'!$I$8:$I$11,'7. P&amp;L TOÀN DỰ ÁN'!$B7)/1.1</f>
        <v>0</v>
      </c>
      <c r="P7" s="352">
        <f>SUMIFS('5. KHBH'!$P$8:$P$11,'5. KHBH'!$Q$8:$Q$11,'7. P&amp;L TOÀN DỰ ÁN'!P$3,'5. KHBH'!$I$8:$I$11,'7. P&amp;L TOÀN DỰ ÁN'!$B7)/1.1</f>
        <v>0</v>
      </c>
      <c r="Q7" s="352">
        <f>SUMIFS('5. KHBH'!$P$8:$P$11,'5. KHBH'!$Q$8:$Q$11,'7. P&amp;L TOÀN DỰ ÁN'!Q$3,'5. KHBH'!$I$8:$I$11,'7. P&amp;L TOÀN DỰ ÁN'!$B7)/1.1</f>
        <v>0</v>
      </c>
      <c r="R7" s="352">
        <f>SUMIFS('5. KHBH'!$P$8:$P$11,'5. KHBH'!$Q$8:$Q$11,'7. P&amp;L TOÀN DỰ ÁN'!R$3,'5. KHBH'!$I$8:$I$11,'7. P&amp;L TOÀN DỰ ÁN'!$B7)/1.1</f>
        <v>0</v>
      </c>
      <c r="S7" s="352">
        <f>SUMIFS('5. KHBH'!$P$8:$P$11,'5. KHBH'!$Q$8:$Q$11,'7. P&amp;L TOÀN DỰ ÁN'!S$3,'5. KHBH'!$I$8:$I$11,'7. P&amp;L TOÀN DỰ ÁN'!$B7)/1.1</f>
        <v>0</v>
      </c>
      <c r="T7" s="352">
        <f>SUMIFS('5. KHBH'!$P$8:$P$11,'5. KHBH'!$Q$8:$Q$11,'7. P&amp;L TOÀN DỰ ÁN'!T$3,'5. KHBH'!$I$8:$I$11,'7. P&amp;L TOÀN DỰ ÁN'!$B7)/1.1</f>
        <v>0</v>
      </c>
      <c r="U7" s="352">
        <f>SUMIFS('5. KHBH'!$P$8:$P$11,'5. KHBH'!$Q$8:$Q$11,'7. P&amp;L TOÀN DỰ ÁN'!U$3,'5. KHBH'!$I$8:$I$11,'7. P&amp;L TOÀN DỰ ÁN'!$B7)/1.1</f>
        <v>0</v>
      </c>
      <c r="V7" s="352">
        <f>SUMIFS('5. KHBH'!$P$8:$P$11,'5. KHBH'!$Q$8:$Q$11,'7. P&amp;L TOÀN DỰ ÁN'!V$3,'5. KHBH'!$I$8:$I$11,'7. P&amp;L TOÀN DỰ ÁN'!$B7)/1.1</f>
        <v>0</v>
      </c>
      <c r="W7" s="352">
        <f>SUMIFS('5. KHBH'!$P$8:$P$11,'5. KHBH'!$Q$8:$Q$11,'7. P&amp;L TOÀN DỰ ÁN'!W$3,'5. KHBH'!$I$8:$I$11,'7. P&amp;L TOÀN DỰ ÁN'!$B7)/1.1</f>
        <v>0</v>
      </c>
      <c r="X7" s="352">
        <f>SUMIFS('5. KHBH'!$P$8:$P$11,'5. KHBH'!$Q$8:$Q$11,'7. P&amp;L TOÀN DỰ ÁN'!X$3,'5. KHBH'!$I$8:$I$11,'7. P&amp;L TOÀN DỰ ÁN'!$B7)/1.1</f>
        <v>0</v>
      </c>
      <c r="Y7" s="352">
        <f>SUMIFS('5. KHBH'!$P$8:$P$11,'5. KHBH'!$Q$8:$Q$11,'7. P&amp;L TOÀN DỰ ÁN'!Y$3,'5. KHBH'!$I$8:$I$11,'7. P&amp;L TOÀN DỰ ÁN'!$B7)/1.1</f>
        <v>0</v>
      </c>
      <c r="Z7" s="352">
        <f>SUMIFS('5. KHBH'!$P$8:$P$11,'5. KHBH'!$Q$8:$Q$11,'7. P&amp;L TOÀN DỰ ÁN'!Z$3,'5. KHBH'!$I$8:$I$11,'7. P&amp;L TOÀN DỰ ÁN'!$B7)/1.1</f>
        <v>0</v>
      </c>
      <c r="AA7" s="352">
        <f>SUMIFS('5. KHBH'!$P$8:$P$11,'5. KHBH'!$Q$8:$Q$11,'7. P&amp;L TOÀN DỰ ÁN'!AA$3,'5. KHBH'!$I$8:$I$11,'7. P&amp;L TOÀN DỰ ÁN'!$B7)/1.1</f>
        <v>0</v>
      </c>
      <c r="AB7" s="352">
        <f>SUMIFS('5. KHBH'!$P$8:$P$11,'5. KHBH'!$Q$8:$Q$11,'7. P&amp;L TOÀN DỰ ÁN'!AB$3,'5. KHBH'!$I$8:$I$11,'7. P&amp;L TOÀN DỰ ÁN'!$B7)/1.1</f>
        <v>0</v>
      </c>
      <c r="AC7" s="352">
        <f>SUMIFS('5. KHBH'!$P$8:$P$11,'5. KHBH'!$Q$8:$Q$11,'7. P&amp;L TOÀN DỰ ÁN'!AC$3,'5. KHBH'!$I$8:$I$11,'7. P&amp;L TOÀN DỰ ÁN'!$B7)/1.1</f>
        <v>0</v>
      </c>
      <c r="AD7" s="352">
        <f>SUMIFS('5. KHBH'!$P$8:$P$11,'5. KHBH'!$Q$8:$Q$11,'7. P&amp;L TOÀN DỰ ÁN'!AD$3,'5. KHBH'!$I$8:$I$11,'7. P&amp;L TOÀN DỰ ÁN'!$B7)/1.1</f>
        <v>0</v>
      </c>
      <c r="AE7" s="352">
        <f>SUMIFS('5. KHBH'!$P$8:$P$11,'5. KHBH'!$Q$8:$Q$11,'7. P&amp;L TOÀN DỰ ÁN'!AE$3,'5. KHBH'!$I$8:$I$11,'7. P&amp;L TOÀN DỰ ÁN'!$B7)/1.1</f>
        <v>0</v>
      </c>
      <c r="AF7" s="352">
        <f>SUMIFS('5. KHBH'!$P$8:$P$11,'5. KHBH'!$Q$8:$Q$11,'7. P&amp;L TOÀN DỰ ÁN'!AF$3,'5. KHBH'!$I$8:$I$11,'7. P&amp;L TOÀN DỰ ÁN'!$B7)/1.1</f>
        <v>0</v>
      </c>
      <c r="AG7" s="352">
        <f>SUMIFS('5. KHBH'!$P$8:$P$11,'5. KHBH'!$Q$8:$Q$11,'7. P&amp;L TOÀN DỰ ÁN'!AG$3,'5. KHBH'!$I$8:$I$11,'7. P&amp;L TOÀN DỰ ÁN'!$B7)/1.1</f>
        <v>0</v>
      </c>
      <c r="AH7" s="352">
        <f>SUMIFS('5. KHBH'!$P$8:$P$11,'5. KHBH'!$Q$8:$Q$11,'7. P&amp;L TOÀN DỰ ÁN'!AH$3,'5. KHBH'!$I$8:$I$11,'7. P&amp;L TOÀN DỰ ÁN'!$B7)/1.1</f>
        <v>0</v>
      </c>
      <c r="AI7" s="352">
        <f>SUMIFS('5. KHBH'!$P$8:$P$11,'5. KHBH'!$Q$8:$Q$11,'7. P&amp;L TOÀN DỰ ÁN'!AI$3,'5. KHBH'!$I$8:$I$11,'7. P&amp;L TOÀN DỰ ÁN'!$B7)/1.1</f>
        <v>0</v>
      </c>
      <c r="AJ7" s="352">
        <f>SUMIFS('5. KHBH'!$P$8:$P$11,'5. KHBH'!$Q$8:$Q$11,'7. P&amp;L TOÀN DỰ ÁN'!AJ$3,'5. KHBH'!$I$8:$I$11,'7. P&amp;L TOÀN DỰ ÁN'!$B7)/1.1</f>
        <v>0</v>
      </c>
      <c r="AK7" s="352">
        <f>SUMIFS('5. KHBH'!$P$8:$P$11,'5. KHBH'!$Q$8:$Q$11,'7. P&amp;L TOÀN DỰ ÁN'!AK$3,'5. KHBH'!$I$8:$I$11,'7. P&amp;L TOÀN DỰ ÁN'!$B7)/1.1</f>
        <v>0</v>
      </c>
      <c r="AL7" s="352">
        <f>SUMIFS('5. KHBH'!$P$8:$P$11,'5. KHBH'!$Q$8:$Q$11,'7. P&amp;L TOÀN DỰ ÁN'!AL$3,'5. KHBH'!$I$8:$I$11,'7. P&amp;L TOÀN DỰ ÁN'!$B7)/1.1</f>
        <v>0</v>
      </c>
      <c r="AM7" s="352">
        <f>SUMIFS('5. KHBH'!$P$8:$P$11,'5. KHBH'!$Q$8:$Q$11,'7. P&amp;L TOÀN DỰ ÁN'!AM$3,'5. KHBH'!$I$8:$I$11,'7. P&amp;L TOÀN DỰ ÁN'!$B7)/1.1</f>
        <v>0</v>
      </c>
      <c r="AN7" s="352">
        <f>SUMIFS('5. KHBH'!$P$8:$P$11,'5. KHBH'!$Q$8:$Q$11,'7. P&amp;L TOÀN DỰ ÁN'!AN$3,'5. KHBH'!$I$8:$I$11,'7. P&amp;L TOÀN DỰ ÁN'!$B7)/1.1</f>
        <v>0</v>
      </c>
      <c r="AO7" s="352">
        <f>SUMIFS('5. KHBH'!$P$8:$P$11,'5. KHBH'!$Q$8:$Q$11,'7. P&amp;L TOÀN DỰ ÁN'!AO$3,'5. KHBH'!$I$8:$I$11,'7. P&amp;L TOÀN DỰ ÁN'!$B7)/1.1</f>
        <v>0</v>
      </c>
      <c r="AP7" s="352">
        <f>SUMIFS('5. KHBH'!$P$8:$P$11,'5. KHBH'!$Q$8:$Q$11,'7. P&amp;L TOÀN DỰ ÁN'!AP$3,'5. KHBH'!$I$8:$I$11,'7. P&amp;L TOÀN DỰ ÁN'!$B7)/1.1</f>
        <v>0</v>
      </c>
      <c r="AQ7" s="352">
        <f>SUMIFS('5. KHBH'!$P$8:$P$11,'5. KHBH'!$Q$8:$Q$11,'7. P&amp;L TOÀN DỰ ÁN'!AQ$3,'5. KHBH'!$I$8:$I$11,'7. P&amp;L TOÀN DỰ ÁN'!$B7)/1.1</f>
        <v>0</v>
      </c>
      <c r="AR7" s="352">
        <f>SUMIFS('5. KHBH'!$P$8:$P$11,'5. KHBH'!$Q$8:$Q$11,'7. P&amp;L TOÀN DỰ ÁN'!AR$3,'5. KHBH'!$I$8:$I$11,'7. P&amp;L TOÀN DỰ ÁN'!$B7)/1.1</f>
        <v>0</v>
      </c>
      <c r="AS7" s="352">
        <f>SUMIFS('5. KHBH'!$P$8:$P$11,'5. KHBH'!$Q$8:$Q$11,'7. P&amp;L TOÀN DỰ ÁN'!AS$3,'5. KHBH'!$I$8:$I$11,'7. P&amp;L TOÀN DỰ ÁN'!$B7)/1.1</f>
        <v>0</v>
      </c>
      <c r="AT7" s="352">
        <f>SUMIFS('5. KHBH'!$P$8:$P$11,'5. KHBH'!$Q$8:$Q$11,'7. P&amp;L TOÀN DỰ ÁN'!AT$3,'5. KHBH'!$I$8:$I$11,'7. P&amp;L TOÀN DỰ ÁN'!$B7)/1.1</f>
        <v>0</v>
      </c>
      <c r="AU7" s="352">
        <f>SUMIFS('5. KHBH'!$P$8:$P$11,'5. KHBH'!$Q$8:$Q$11,'7. P&amp;L TOÀN DỰ ÁN'!AU$3,'5. KHBH'!$I$8:$I$11,'7. P&amp;L TOÀN DỰ ÁN'!$B7)/1.1</f>
        <v>0</v>
      </c>
      <c r="AV7" s="352">
        <f>SUMIFS('5. KHBH'!$P$8:$P$11,'5. KHBH'!$Q$8:$Q$11,'7. P&amp;L TOÀN DỰ ÁN'!AV$3,'5. KHBH'!$I$8:$I$11,'7. P&amp;L TOÀN DỰ ÁN'!$B7)/1.1</f>
        <v>0</v>
      </c>
      <c r="AW7" s="352">
        <f>SUMIFS('5. KHBH'!$P$8:$P$11,'5. KHBH'!$Q$8:$Q$11,'7. P&amp;L TOÀN DỰ ÁN'!AW$3,'5. KHBH'!$I$8:$I$11,'7. P&amp;L TOÀN DỰ ÁN'!$B7)/1.1</f>
        <v>0</v>
      </c>
      <c r="AX7" s="352">
        <f>SUMIFS('5. KHBH'!$P$8:$P$11,'5. KHBH'!$Q$8:$Q$11,'7. P&amp;L TOÀN DỰ ÁN'!AX$3,'5. KHBH'!$I$8:$I$11,'7. P&amp;L TOÀN DỰ ÁN'!$B7)/1.1</f>
        <v>0</v>
      </c>
      <c r="AY7" s="352">
        <f>SUMIFS('5. KHBH'!$P$8:$P$11,'5. KHBH'!$Q$8:$Q$11,'7. P&amp;L TOÀN DỰ ÁN'!AY$3,'5. KHBH'!$I$8:$I$11,'7. P&amp;L TOÀN DỰ ÁN'!$B7)/1.1</f>
        <v>0</v>
      </c>
      <c r="AZ7" s="352">
        <f>SUMIFS('5. KHBH'!$P$8:$P$11,'5. KHBH'!$Q$8:$Q$11,'7. P&amp;L TOÀN DỰ ÁN'!AZ$3,'5. KHBH'!$I$8:$I$11,'7. P&amp;L TOÀN DỰ ÁN'!$B7)/1.1</f>
        <v>0</v>
      </c>
      <c r="BA7" s="352">
        <f>SUMIFS('5. KHBH'!$P$8:$P$11,'5. KHBH'!$Q$8:$Q$11,'7. P&amp;L TOÀN DỰ ÁN'!BA$3,'5. KHBH'!$I$8:$I$11,'7. P&amp;L TOÀN DỰ ÁN'!$B7)/1.1</f>
        <v>0</v>
      </c>
      <c r="BB7" s="352">
        <f>SUMIFS('5. KHBH'!$P$8:$P$11,'5. KHBH'!$Q$8:$Q$11,'7. P&amp;L TOÀN DỰ ÁN'!BB$3,'5. KHBH'!$I$8:$I$11,'7. P&amp;L TOÀN DỰ ÁN'!$B7)/1.1</f>
        <v>0</v>
      </c>
      <c r="BC7" s="352">
        <f>SUMIFS('5. KHBH'!$P$8:$P$11,'5. KHBH'!$Q$8:$Q$11,'7. P&amp;L TOÀN DỰ ÁN'!BC$3,'5. KHBH'!$I$8:$I$11,'7. P&amp;L TOÀN DỰ ÁN'!$B7)/1.1</f>
        <v>0</v>
      </c>
      <c r="BD7" s="352">
        <f>SUMIFS('5. KHBH'!$P$8:$P$11,'5. KHBH'!$Q$8:$Q$11,'7. P&amp;L TOÀN DỰ ÁN'!BD$3,'5. KHBH'!$I$8:$I$11,'7. P&amp;L TOÀN DỰ ÁN'!$B7)/1.1</f>
        <v>0</v>
      </c>
      <c r="BE7" s="352">
        <f>SUMIFS('5. KHBH'!$P$8:$P$11,'5. KHBH'!$Q$8:$Q$11,'7. P&amp;L TOÀN DỰ ÁN'!BE$3,'5. KHBH'!$I$8:$I$11,'7. P&amp;L TOÀN DỰ ÁN'!$B7)/1.1</f>
        <v>0</v>
      </c>
      <c r="BF7" s="352">
        <f>SUMIFS('5. KHBH'!$P$8:$P$11,'5. KHBH'!$Q$8:$Q$11,'7. P&amp;L TOÀN DỰ ÁN'!BF$3,'5. KHBH'!$I$8:$I$11,'7. P&amp;L TOÀN DỰ ÁN'!$B7)/1.1</f>
        <v>0</v>
      </c>
      <c r="BG7" s="352">
        <f>SUMIFS('5. KHBH'!$P$8:$P$11,'5. KHBH'!$Q$8:$Q$11,'7. P&amp;L TOÀN DỰ ÁN'!BG$3,'5. KHBH'!$I$8:$I$11,'7. P&amp;L TOÀN DỰ ÁN'!$B7)/1.1</f>
        <v>0</v>
      </c>
      <c r="BH7" s="352">
        <f>SUMIFS('5. KHBH'!$P$8:$P$11,'5. KHBH'!$Q$8:$Q$11,'7. P&amp;L TOÀN DỰ ÁN'!BH$3,'5. KHBH'!$I$8:$I$11,'7. P&amp;L TOÀN DỰ ÁN'!$B7)/1.1</f>
        <v>0</v>
      </c>
      <c r="BI7" s="352">
        <f>SUMIFS('5. KHBH'!$P$8:$P$11,'5. KHBH'!$Q$8:$Q$11,'7. P&amp;L TOÀN DỰ ÁN'!BI$3,'5. KHBH'!$I$8:$I$11,'7. P&amp;L TOÀN DỰ ÁN'!$B7)/1.1</f>
        <v>0</v>
      </c>
      <c r="BJ7" s="352">
        <f>SUMIFS('5. KHBH'!$P$8:$P$11,'5. KHBH'!$Q$8:$Q$11,'7. P&amp;L TOÀN DỰ ÁN'!BJ$3,'5. KHBH'!$I$8:$I$11,'7. P&amp;L TOÀN DỰ ÁN'!$B7)/1.1</f>
        <v>0</v>
      </c>
      <c r="BK7" s="352">
        <f>SUMIFS('5. KHBH'!$P$8:$P$11,'5. KHBH'!$Q$8:$Q$11,'7. P&amp;L TOÀN DỰ ÁN'!BK$3,'5. KHBH'!$I$8:$I$11,'7. P&amp;L TOÀN DỰ ÁN'!$B7)/1.1</f>
        <v>0</v>
      </c>
      <c r="BL7" s="352">
        <f>SUMIFS('5. KHBH'!$P$8:$P$11,'5. KHBH'!$Q$8:$Q$11,'7. P&amp;L TOÀN DỰ ÁN'!BL$3,'5. KHBH'!$I$8:$I$11,'7. P&amp;L TOÀN DỰ ÁN'!$B7)/1.1</f>
        <v>0</v>
      </c>
      <c r="BM7" s="352">
        <f>SUMIFS('5. KHBH'!$P$8:$P$11,'5. KHBH'!$Q$8:$Q$11,'7. P&amp;L TOÀN DỰ ÁN'!BM$3,'5. KHBH'!$I$8:$I$11,'7. P&amp;L TOÀN DỰ ÁN'!$B7)/1.1</f>
        <v>0</v>
      </c>
      <c r="BN7" s="352">
        <f>SUMIFS('5. KHBH'!$P$8:$P$11,'5. KHBH'!$Q$8:$Q$11,'7. P&amp;L TOÀN DỰ ÁN'!BN$3,'5. KHBH'!$I$8:$I$11,'7. P&amp;L TOÀN DỰ ÁN'!$B7)/1.1</f>
        <v>0</v>
      </c>
      <c r="BO7" s="352">
        <f>SUMIFS('5. KHBH'!$P$8:$P$11,'5. KHBH'!$Q$8:$Q$11,'7. P&amp;L TOÀN DỰ ÁN'!BO$3,'5. KHBH'!$I$8:$I$11,'7. P&amp;L TOÀN DỰ ÁN'!$B7)/1.1</f>
        <v>0</v>
      </c>
      <c r="BP7" s="352">
        <f>SUMIFS('5. KHBH'!$P$8:$P$11,'5. KHBH'!$Q$8:$Q$11,'7. P&amp;L TOÀN DỰ ÁN'!BP$3,'5. KHBH'!$I$8:$I$11,'7. P&amp;L TOÀN DỰ ÁN'!$B7)/1.1</f>
        <v>0</v>
      </c>
      <c r="BQ7" s="352">
        <f>SUMIFS('5. KHBH'!$P$8:$P$11,'5. KHBH'!$Q$8:$Q$11,'7. P&amp;L TOÀN DỰ ÁN'!BQ$3,'5. KHBH'!$I$8:$I$11,'7. P&amp;L TOÀN DỰ ÁN'!$B7)/1.1</f>
        <v>0</v>
      </c>
      <c r="BR7" s="352">
        <f>SUMIFS('5. KHBH'!$P$8:$P$11,'5. KHBH'!$Q$8:$Q$11,'7. P&amp;L TOÀN DỰ ÁN'!BR$3,'5. KHBH'!$I$8:$I$11,'7. P&amp;L TOÀN DỰ ÁN'!$B7)/1.1</f>
        <v>0</v>
      </c>
      <c r="BS7" s="352">
        <f>SUMIFS('5. KHBH'!$P$8:$P$11,'5. KHBH'!$Q$8:$Q$11,'7. P&amp;L TOÀN DỰ ÁN'!BS$3,'5. KHBH'!$I$8:$I$11,'7. P&amp;L TOÀN DỰ ÁN'!$B7)/1.1</f>
        <v>0</v>
      </c>
      <c r="BT7" s="352">
        <f>SUMIFS('5. KHBH'!$P$8:$P$11,'5. KHBH'!$Q$8:$Q$11,'7. P&amp;L TOÀN DỰ ÁN'!BT$3,'5. KHBH'!$I$8:$I$11,'7. P&amp;L TOÀN DỰ ÁN'!$B7)/1.1</f>
        <v>0</v>
      </c>
      <c r="BU7" s="352">
        <f>SUMIFS('5. KHBH'!$P$8:$P$11,'5. KHBH'!$Q$8:$Q$11,'7. P&amp;L TOÀN DỰ ÁN'!BU$3,'5. KHBH'!$I$8:$I$11,'7. P&amp;L TOÀN DỰ ÁN'!$B7)/1.1</f>
        <v>0</v>
      </c>
      <c r="BV7" s="352">
        <f>SUMIFS('5. KHBH'!$P$8:$P$11,'5. KHBH'!$Q$8:$Q$11,'7. P&amp;L TOÀN DỰ ÁN'!BV$3,'5. KHBH'!$I$8:$I$11,'7. P&amp;L TOÀN DỰ ÁN'!$B7)/1.1</f>
        <v>0</v>
      </c>
      <c r="BW7" s="352">
        <f>SUMIFS('5. KHBH'!$P$8:$P$11,'5. KHBH'!$Q$8:$Q$11,'7. P&amp;L TOÀN DỰ ÁN'!BW$3,'5. KHBH'!$I$8:$I$11,'7. P&amp;L TOÀN DỰ ÁN'!$B7)/1.1</f>
        <v>0</v>
      </c>
      <c r="BX7" s="352">
        <f>SUMIFS('5. KHBH'!$P$8:$P$11,'5. KHBH'!$Q$8:$Q$11,'7. P&amp;L TOÀN DỰ ÁN'!BX$3,'5. KHBH'!$I$8:$I$11,'7. P&amp;L TOÀN DỰ ÁN'!$B7)/1.1</f>
        <v>0</v>
      </c>
      <c r="BY7" s="352">
        <f>SUMIFS('5. KHBH'!$P$8:$P$11,'5. KHBH'!$Q$8:$Q$11,'7. P&amp;L TOÀN DỰ ÁN'!BY$3,'5. KHBH'!$I$8:$I$11,'7. P&amp;L TOÀN DỰ ÁN'!$B7)/1.1</f>
        <v>0</v>
      </c>
      <c r="BZ7" s="352">
        <f>SUMIFS('5. KHBH'!$P$8:$P$11,'5. KHBH'!$Q$8:$Q$11,'7. P&amp;L TOÀN DỰ ÁN'!BZ$3,'5. KHBH'!$I$8:$I$11,'7. P&amp;L TOÀN DỰ ÁN'!$B7)/1.1</f>
        <v>0</v>
      </c>
      <c r="CA7" s="352">
        <f>SUMIFS('5. KHBH'!$P$8:$P$11,'5. KHBH'!$Q$8:$Q$11,'7. P&amp;L TOÀN DỰ ÁN'!CA$3,'5. KHBH'!$I$8:$I$11,'7. P&amp;L TOÀN DỰ ÁN'!$B7)/1.1</f>
        <v>0</v>
      </c>
      <c r="CB7" s="352">
        <f>SUMIFS('5. KHBH'!$P$8:$P$11,'5. KHBH'!$Q$8:$Q$11,'7. P&amp;L TOÀN DỰ ÁN'!CB$3,'5. KHBH'!$I$8:$I$11,'7. P&amp;L TOÀN DỰ ÁN'!$B7)/1.1</f>
        <v>0</v>
      </c>
      <c r="CC7" s="352">
        <f>SUMIFS('5. KHBH'!$P$8:$P$11,'5. KHBH'!$Q$8:$Q$11,'7. P&amp;L TOÀN DỰ ÁN'!CC$3,'5. KHBH'!$I$8:$I$11,'7. P&amp;L TOÀN DỰ ÁN'!$B7)/1.1</f>
        <v>0</v>
      </c>
      <c r="CD7" s="352">
        <f>SUMIFS('5. KHBH'!$P$8:$P$11,'5. KHBH'!$Q$8:$Q$11,'7. P&amp;L TOÀN DỰ ÁN'!CD$3,'5. KHBH'!$I$8:$I$11,'7. P&amp;L TOÀN DỰ ÁN'!$B7)/1.1</f>
        <v>0</v>
      </c>
      <c r="CE7" s="352">
        <f>SUMIFS('5. KHBH'!$P$8:$P$11,'5. KHBH'!$Q$8:$Q$11,'7. P&amp;L TOÀN DỰ ÁN'!CE$3,'5. KHBH'!$I$8:$I$11,'7. P&amp;L TOÀN DỰ ÁN'!$B7)/1.1</f>
        <v>0</v>
      </c>
      <c r="CF7" s="352">
        <f>SUMIFS('5. KHBH'!$P$8:$P$11,'5. KHBH'!$Q$8:$Q$11,'7. P&amp;L TOÀN DỰ ÁN'!CF$3,'5. KHBH'!$I$8:$I$11,'7. P&amp;L TOÀN DỰ ÁN'!$B7)/1.1</f>
        <v>0</v>
      </c>
      <c r="CG7" s="352">
        <f>SUMIFS('5. KHBH'!$P$8:$P$11,'5. KHBH'!$Q$8:$Q$11,'7. P&amp;L TOÀN DỰ ÁN'!CG$3,'5. KHBH'!$I$8:$I$11,'7. P&amp;L TOÀN DỰ ÁN'!$B7)/1.1</f>
        <v>0</v>
      </c>
      <c r="CH7" s="352">
        <f>SUMIFS('5. KHBH'!$P$8:$P$11,'5. KHBH'!$Q$8:$Q$11,'7. P&amp;L TOÀN DỰ ÁN'!CH$3,'5. KHBH'!$I$8:$I$11,'7. P&amp;L TOÀN DỰ ÁN'!$B7)/1.1</f>
        <v>0</v>
      </c>
      <c r="CI7" s="352">
        <f>SUMIFS('5. KHBH'!$P$8:$P$11,'5. KHBH'!$Q$8:$Q$11,'7. P&amp;L TOÀN DỰ ÁN'!CI$3,'5. KHBH'!$I$8:$I$11,'7. P&amp;L TOÀN DỰ ÁN'!$B7)/1.1</f>
        <v>0</v>
      </c>
      <c r="CJ7" s="352">
        <f>SUMIFS('5. KHBH'!$P$8:$P$11,'5. KHBH'!$Q$8:$Q$11,'7. P&amp;L TOÀN DỰ ÁN'!CJ$3,'5. KHBH'!$I$8:$I$11,'7. P&amp;L TOÀN DỰ ÁN'!$B7)/1.1</f>
        <v>0</v>
      </c>
      <c r="CK7" s="352">
        <f>SUMIFS('5. KHBH'!$P$8:$P$11,'5. KHBH'!$Q$8:$Q$11,'7. P&amp;L TOÀN DỰ ÁN'!CK$3,'5. KHBH'!$I$8:$I$11,'7. P&amp;L TOÀN DỰ ÁN'!$B7)/1.1</f>
        <v>0</v>
      </c>
      <c r="CL7" s="352">
        <f>SUMIFS('5. KHBH'!$P$8:$P$11,'5. KHBH'!$Q$8:$Q$11,'7. P&amp;L TOÀN DỰ ÁN'!CL$3,'5. KHBH'!$I$8:$I$11,'7. P&amp;L TOÀN DỰ ÁN'!$B7)/1.1</f>
        <v>0</v>
      </c>
      <c r="CM7" s="352">
        <f>SUMIFS('5. KHBH'!$P$8:$P$11,'5. KHBH'!$Q$8:$Q$11,'7. P&amp;L TOÀN DỰ ÁN'!CM$3,'5. KHBH'!$I$8:$I$11,'7. P&amp;L TOÀN DỰ ÁN'!$B7)/1.1</f>
        <v>0</v>
      </c>
      <c r="CN7" s="352">
        <f>SUMIFS('5. KHBH'!$P$8:$P$11,'5. KHBH'!$Q$8:$Q$11,'7. P&amp;L TOÀN DỰ ÁN'!CN$3,'5. KHBH'!$I$8:$I$11,'7. P&amp;L TOÀN DỰ ÁN'!$B7)/1.1</f>
        <v>0</v>
      </c>
      <c r="CO7" s="352">
        <f>SUMIFS('5. KHBH'!$P$8:$P$11,'5. KHBH'!$Q$8:$Q$11,'7. P&amp;L TOÀN DỰ ÁN'!CO$3,'5. KHBH'!$I$8:$I$11,'7. P&amp;L TOÀN DỰ ÁN'!$B7)/1.1</f>
        <v>0</v>
      </c>
      <c r="CP7" s="352">
        <f>SUMIFS('5. KHBH'!$P$8:$P$11,'5. KHBH'!$Q$8:$Q$11,'7. P&amp;L TOÀN DỰ ÁN'!CP$3,'5. KHBH'!$I$8:$I$11,'7. P&amp;L TOÀN DỰ ÁN'!$B7)/1.1</f>
        <v>0</v>
      </c>
      <c r="CQ7" s="352">
        <f>SUMIFS('5. KHBH'!$P$8:$P$11,'5. KHBH'!$Q$8:$Q$11,'7. P&amp;L TOÀN DỰ ÁN'!CQ$3,'5. KHBH'!$I$8:$I$11,'7. P&amp;L TOÀN DỰ ÁN'!$B7)/1.1</f>
        <v>0</v>
      </c>
      <c r="CR7" s="352">
        <f>SUMIFS('5. KHBH'!$P$8:$P$11,'5. KHBH'!$Q$8:$Q$11,'7. P&amp;L TOÀN DỰ ÁN'!CR$3,'5. KHBH'!$I$8:$I$11,'7. P&amp;L TOÀN DỰ ÁN'!$B7)/1.1</f>
        <v>0</v>
      </c>
      <c r="CS7" s="352">
        <f>SUMIFS('5. KHBH'!$P$8:$P$11,'5. KHBH'!$Q$8:$Q$11,'7. P&amp;L TOÀN DỰ ÁN'!CS$3,'5. KHBH'!$I$8:$I$11,'7. P&amp;L TOÀN DỰ ÁN'!$B7)/1.1</f>
        <v>0</v>
      </c>
      <c r="CT7" s="352">
        <f>SUMIFS('5. KHBH'!$P$8:$P$11,'5. KHBH'!$Q$8:$Q$11,'7. P&amp;L TOÀN DỰ ÁN'!CT$3,'5. KHBH'!$I$8:$I$11,'7. P&amp;L TOÀN DỰ ÁN'!$B7)/1.1</f>
        <v>0</v>
      </c>
      <c r="CU7" s="352">
        <f>SUMIFS('5. KHBH'!$P$8:$P$11,'5. KHBH'!$Q$8:$Q$11,'7. P&amp;L TOÀN DỰ ÁN'!CU$3,'5. KHBH'!$I$8:$I$11,'7. P&amp;L TOÀN DỰ ÁN'!$B7)/1.1</f>
        <v>0</v>
      </c>
      <c r="CV7" s="352">
        <f>SUMIFS('5. KHBH'!$P$8:$P$11,'5. KHBH'!$Q$8:$Q$11,'7. P&amp;L TOÀN DỰ ÁN'!CV$3,'5. KHBH'!$I$8:$I$11,'7. P&amp;L TOÀN DỰ ÁN'!$B7)/1.1</f>
        <v>0</v>
      </c>
      <c r="CW7" s="352">
        <f>SUMIFS('5. KHBH'!$P$8:$P$11,'5. KHBH'!$Q$8:$Q$11,'7. P&amp;L TOÀN DỰ ÁN'!CW$3,'5. KHBH'!$I$8:$I$11,'7. P&amp;L TOÀN DỰ ÁN'!$B7)/1.1</f>
        <v>0</v>
      </c>
      <c r="CX7" s="352">
        <f>SUMIFS('5. KHBH'!$P$8:$P$11,'5. KHBH'!$Q$8:$Q$11,'7. P&amp;L TOÀN DỰ ÁN'!CX$3,'5. KHBH'!$I$8:$I$11,'7. P&amp;L TOÀN DỰ ÁN'!$B7)/1.1</f>
        <v>0</v>
      </c>
      <c r="CY7" s="352">
        <f>SUMIFS('5. KHBH'!$P$8:$P$11,'5. KHBH'!$Q$8:$Q$11,'7. P&amp;L TOÀN DỰ ÁN'!CY$3,'5. KHBH'!$I$8:$I$11,'7. P&amp;L TOÀN DỰ ÁN'!$B7)/1.1</f>
        <v>0</v>
      </c>
      <c r="CZ7" s="352">
        <f>SUMIFS('5. KHBH'!$P$8:$P$11,'5. KHBH'!$Q$8:$Q$11,'7. P&amp;L TOÀN DỰ ÁN'!CZ$3,'5. KHBH'!$I$8:$I$11,'7. P&amp;L TOÀN DỰ ÁN'!$B7)/1.1</f>
        <v>0</v>
      </c>
      <c r="DA7" s="352">
        <f>SUMIFS('5. KHBH'!$P$8:$P$11,'5. KHBH'!$Q$8:$Q$11,'7. P&amp;L TOÀN DỰ ÁN'!DA$3,'5. KHBH'!$I$8:$I$11,'7. P&amp;L TOÀN DỰ ÁN'!$B7)/1.1</f>
        <v>0</v>
      </c>
      <c r="DB7" s="352">
        <f>SUMIFS('5. KHBH'!$P$8:$P$11,'5. KHBH'!$Q$8:$Q$11,'7. P&amp;L TOÀN DỰ ÁN'!DB$3,'5. KHBH'!$I$8:$I$11,'7. P&amp;L TOÀN DỰ ÁN'!$B7)/1.1</f>
        <v>0</v>
      </c>
      <c r="DC7" s="352">
        <f>SUMIFS('5. KHBH'!$P$8:$P$11,'5. KHBH'!$Q$8:$Q$11,'7. P&amp;L TOÀN DỰ ÁN'!DC$3,'5. KHBH'!$I$8:$I$11,'7. P&amp;L TOÀN DỰ ÁN'!$B7)/1.1</f>
        <v>0</v>
      </c>
      <c r="DD7" s="352">
        <f>SUMIFS('5. KHBH'!$P$8:$P$11,'5. KHBH'!$Q$8:$Q$11,'7. P&amp;L TOÀN DỰ ÁN'!DD$3,'5. KHBH'!$I$8:$I$11,'7. P&amp;L TOÀN DỰ ÁN'!$B7)/1.1</f>
        <v>295860599999.99994</v>
      </c>
      <c r="DE7" s="352">
        <f>SUMIFS('5. KHBH'!$P$8:$P$11,'5. KHBH'!$Q$8:$Q$11,'7. P&amp;L TOÀN DỰ ÁN'!DE$3,'5. KHBH'!$I$8:$I$11,'7. P&amp;L TOÀN DỰ ÁN'!$B7)/1.1</f>
        <v>0</v>
      </c>
      <c r="DF7" s="352">
        <f>SUMIFS('5. KHBH'!$P$8:$P$11,'5. KHBH'!$Q$8:$Q$11,'7. P&amp;L TOÀN DỰ ÁN'!DF$3,'5. KHBH'!$I$8:$I$11,'7. P&amp;L TOÀN DỰ ÁN'!$B7)/1.1</f>
        <v>0</v>
      </c>
      <c r="DG7" s="352">
        <f>SUMIFS('5. KHBH'!$P$8:$P$11,'5. KHBH'!$Q$8:$Q$11,'7. P&amp;L TOÀN DỰ ÁN'!DG$3,'5. KHBH'!$I$8:$I$11,'7. P&amp;L TOÀN DỰ ÁN'!$B7)/1.1</f>
        <v>0</v>
      </c>
      <c r="DH7" s="352">
        <f>SUMIFS('5. KHBH'!$P$8:$P$11,'5. KHBH'!$Q$8:$Q$11,'7. P&amp;L TOÀN DỰ ÁN'!DH$3,'5. KHBH'!$I$8:$I$11,'7. P&amp;L TOÀN DỰ ÁN'!$B7)/1.1</f>
        <v>0</v>
      </c>
      <c r="DI7" s="352">
        <f>SUMIFS('5. KHBH'!$P$8:$P$11,'5. KHBH'!$Q$8:$Q$11,'7. P&amp;L TOÀN DỰ ÁN'!DI$3,'5. KHBH'!$I$8:$I$11,'7. P&amp;L TOÀN DỰ ÁN'!$B7)/1.1</f>
        <v>0</v>
      </c>
      <c r="DJ7" s="352">
        <f>SUMIFS('5. KHBH'!$P$8:$P$11,'5. KHBH'!$Q$8:$Q$11,'7. P&amp;L TOÀN DỰ ÁN'!DJ$3,'5. KHBH'!$I$8:$I$11,'7. P&amp;L TOÀN DỰ ÁN'!$B7)/1.1</f>
        <v>0</v>
      </c>
      <c r="DK7" s="352">
        <f>SUMIFS('5. KHBH'!$P$8:$P$11,'5. KHBH'!$Q$8:$Q$11,'7. P&amp;L TOÀN DỰ ÁN'!DK$3,'5. KHBH'!$I$8:$I$11,'7. P&amp;L TOÀN DỰ ÁN'!$B7)/1.1</f>
        <v>0</v>
      </c>
      <c r="DL7" s="352">
        <f>SUMIFS('5. KHBH'!$P$8:$P$11,'5. KHBH'!$Q$8:$Q$11,'7. P&amp;L TOÀN DỰ ÁN'!DL$3,'5. KHBH'!$I$8:$I$11,'7. P&amp;L TOÀN DỰ ÁN'!$B7)/1.1</f>
        <v>0</v>
      </c>
      <c r="DM7" s="352">
        <f>SUMIFS('5. KHBH'!$P$8:$P$11,'5. KHBH'!$Q$8:$Q$11,'7. P&amp;L TOÀN DỰ ÁN'!DM$3,'5. KHBH'!$I$8:$I$11,'7. P&amp;L TOÀN DỰ ÁN'!$B7)/1.1</f>
        <v>0</v>
      </c>
      <c r="DN7" s="352">
        <f>SUMIFS('5. KHBH'!$P$8:$P$11,'5. KHBH'!$Q$8:$Q$11,'7. P&amp;L TOÀN DỰ ÁN'!DN$3,'5. KHBH'!$I$8:$I$11,'7. P&amp;L TOÀN DỰ ÁN'!$B7)/1.1</f>
        <v>0</v>
      </c>
      <c r="DO7" s="352">
        <f>SUMIFS('5. KHBH'!$P$8:$P$11,'5. KHBH'!$Q$8:$Q$11,'7. P&amp;L TOÀN DỰ ÁN'!DO$3,'5. KHBH'!$I$8:$I$11,'7. P&amp;L TOÀN DỰ ÁN'!$B7)/1.1</f>
        <v>0</v>
      </c>
      <c r="DP7" s="352">
        <f>SUMIFS('5. KHBH'!$P$8:$P$11,'5. KHBH'!$Q$8:$Q$11,'7. P&amp;L TOÀN DỰ ÁN'!DP$3,'5. KHBH'!$I$8:$I$11,'7. P&amp;L TOÀN DỰ ÁN'!$B7)/1.1</f>
        <v>0</v>
      </c>
      <c r="DQ7" s="352">
        <f>SUMIFS('5. KHBH'!$P$8:$P$11,'5. KHBH'!$Q$8:$Q$11,'7. P&amp;L TOÀN DỰ ÁN'!DQ$3,'5. KHBH'!$I$8:$I$11,'7. P&amp;L TOÀN DỰ ÁN'!$B7)/1.1</f>
        <v>0</v>
      </c>
      <c r="DR7" s="352">
        <f>SUMIFS('5. KHBH'!$P$8:$P$11,'5. KHBH'!$Q$8:$Q$11,'7. P&amp;L TOÀN DỰ ÁN'!DR$3,'5. KHBH'!$I$8:$I$11,'7. P&amp;L TOÀN DỰ ÁN'!$B7)/1.1</f>
        <v>0</v>
      </c>
      <c r="DS7" s="352">
        <f>SUMIFS('5. KHBH'!$P$8:$P$11,'5. KHBH'!$Q$8:$Q$11,'7. P&amp;L TOÀN DỰ ÁN'!DS$3,'5. KHBH'!$I$8:$I$11,'7. P&amp;L TOÀN DỰ ÁN'!$B7)/1.1</f>
        <v>0</v>
      </c>
      <c r="DT7" s="352">
        <f>SUMIFS('5. KHBH'!$P$8:$P$11,'5. KHBH'!$Q$8:$Q$11,'7. P&amp;L TOÀN DỰ ÁN'!DT$3,'5. KHBH'!$I$8:$I$11,'7. P&amp;L TOÀN DỰ ÁN'!$B7)/1.1</f>
        <v>0</v>
      </c>
      <c r="DU7" s="352">
        <f>SUMIFS('5. KHBH'!$P$8:$P$11,'5. KHBH'!$Q$8:$Q$11,'7. P&amp;L TOÀN DỰ ÁN'!DU$3,'5. KHBH'!$I$8:$I$11,'7. P&amp;L TOÀN DỰ ÁN'!$B7)/1.1</f>
        <v>0</v>
      </c>
      <c r="DV7" s="352">
        <f>SUMIFS('5. KHBH'!$P$8:$P$11,'5. KHBH'!$Q$8:$Q$11,'7. P&amp;L TOÀN DỰ ÁN'!DV$3,'5. KHBH'!$I$8:$I$11,'7. P&amp;L TOÀN DỰ ÁN'!$B7)/1.1</f>
        <v>0</v>
      </c>
      <c r="DW7" s="352">
        <f>SUMIFS('5. KHBH'!$P$8:$P$11,'5. KHBH'!$Q$8:$Q$11,'7. P&amp;L TOÀN DỰ ÁN'!DW$3,'5. KHBH'!$I$8:$I$11,'7. P&amp;L TOÀN DỰ ÁN'!$B7)/1.1</f>
        <v>0</v>
      </c>
      <c r="DX7" s="352">
        <f>SUMIFS('5. KHBH'!$P$8:$P$11,'5. KHBH'!$Q$8:$Q$11,'7. P&amp;L TOÀN DỰ ÁN'!DX$3,'5. KHBH'!$I$8:$I$11,'7. P&amp;L TOÀN DỰ ÁN'!$B7)/1.1</f>
        <v>0</v>
      </c>
      <c r="DY7" s="352">
        <f>SUMIFS('5. KHBH'!$P$8:$P$11,'5. KHBH'!$Q$8:$Q$11,'7. P&amp;L TOÀN DỰ ÁN'!DY$3,'5. KHBH'!$I$8:$I$11,'7. P&amp;L TOÀN DỰ ÁN'!$B7)/1.1</f>
        <v>0</v>
      </c>
      <c r="DZ7" s="352">
        <f>SUMIFS('5. KHBH'!$P$8:$P$11,'5. KHBH'!$Q$8:$Q$11,'7. P&amp;L TOÀN DỰ ÁN'!DZ$3,'5. KHBH'!$I$8:$I$11,'7. P&amp;L TOÀN DỰ ÁN'!$B7)/1.1</f>
        <v>0</v>
      </c>
      <c r="EA7" s="352">
        <f>SUMIFS('5. KHBH'!$P$8:$P$11,'5. KHBH'!$Q$8:$Q$11,'7. P&amp;L TOÀN DỰ ÁN'!EA$3,'5. KHBH'!$I$8:$I$11,'7. P&amp;L TOÀN DỰ ÁN'!$B7)/1.1</f>
        <v>0</v>
      </c>
      <c r="EB7" s="352">
        <f>SUMIFS('5. KHBH'!$P$8:$P$11,'5. KHBH'!$Q$8:$Q$11,'7. P&amp;L TOÀN DỰ ÁN'!EB$3,'5. KHBH'!$I$8:$I$11,'7. P&amp;L TOÀN DỰ ÁN'!$B7)/1.1</f>
        <v>0</v>
      </c>
      <c r="EC7" s="352">
        <f>SUMIFS('5. KHBH'!$P$8:$P$11,'5. KHBH'!$Q$8:$Q$11,'7. P&amp;L TOÀN DỰ ÁN'!EC$3,'5. KHBH'!$I$8:$I$11,'7. P&amp;L TOÀN DỰ ÁN'!$B7)/1.1</f>
        <v>0</v>
      </c>
      <c r="ED7" s="352">
        <f>SUMIFS('5. KHBH'!$P$8:$P$11,'5. KHBH'!$Q$8:$Q$11,'7. P&amp;L TOÀN DỰ ÁN'!ED$3,'5. KHBH'!$I$8:$I$11,'7. P&amp;L TOÀN DỰ ÁN'!$B7)/1.1</f>
        <v>0</v>
      </c>
      <c r="EE7" s="352">
        <f>SUMIFS('5. KHBH'!$P$8:$P$11,'5. KHBH'!$Q$8:$Q$11,'7. P&amp;L TOÀN DỰ ÁN'!EE$3,'5. KHBH'!$I$8:$I$11,'7. P&amp;L TOÀN DỰ ÁN'!$B7)/1.1</f>
        <v>0</v>
      </c>
      <c r="EF7" s="352">
        <f>SUMIFS('5. KHBH'!$P$8:$P$11,'5. KHBH'!$Q$8:$Q$11,'7. P&amp;L TOÀN DỰ ÁN'!EF$3,'5. KHBH'!$I$8:$I$11,'7. P&amp;L TOÀN DỰ ÁN'!$B7)/1.1</f>
        <v>0</v>
      </c>
      <c r="EG7" s="352">
        <f>SUMIFS('5. KHBH'!$P$8:$P$11,'5. KHBH'!$Q$8:$Q$11,'7. P&amp;L TOÀN DỰ ÁN'!EG$3,'5. KHBH'!$I$8:$I$11,'7. P&amp;L TOÀN DỰ ÁN'!$B7)/1.1</f>
        <v>0</v>
      </c>
      <c r="EH7" s="352">
        <f>SUMIFS('5. KHBH'!$P$8:$P$11,'5. KHBH'!$Q$8:$Q$11,'7. P&amp;L TOÀN DỰ ÁN'!EH$3,'5. KHBH'!$I$8:$I$11,'7. P&amp;L TOÀN DỰ ÁN'!$B7)/1.1</f>
        <v>0</v>
      </c>
      <c r="EI7" s="352">
        <f>SUMIFS('5. KHBH'!$P$8:$P$11,'5. KHBH'!$Q$8:$Q$11,'7. P&amp;L TOÀN DỰ ÁN'!EI$3,'5. KHBH'!$I$8:$I$11,'7. P&amp;L TOÀN DỰ ÁN'!$B7)/1.1</f>
        <v>0</v>
      </c>
      <c r="EJ7" s="352">
        <f>SUMIFS('5. KHBH'!$P$8:$P$11,'5. KHBH'!$Q$8:$Q$11,'7. P&amp;L TOÀN DỰ ÁN'!EJ$3,'5. KHBH'!$I$8:$I$11,'7. P&amp;L TOÀN DỰ ÁN'!$B7)/1.1</f>
        <v>0</v>
      </c>
      <c r="EK7" s="352">
        <f>SUMIFS('5. KHBH'!$P$8:$P$11,'5. KHBH'!$Q$8:$Q$11,'7. P&amp;L TOÀN DỰ ÁN'!EK$3,'5. KHBH'!$I$8:$I$11,'7. P&amp;L TOÀN DỰ ÁN'!$B7)/1.1</f>
        <v>0</v>
      </c>
      <c r="EL7" s="352">
        <f>SUMIFS('5. KHBH'!$P$8:$P$11,'5. KHBH'!$Q$8:$Q$11,'7. P&amp;L TOÀN DỰ ÁN'!EL$3,'5. KHBH'!$I$8:$I$11,'7. P&amp;L TOÀN DỰ ÁN'!$B7)/1.1</f>
        <v>0</v>
      </c>
      <c r="EM7" s="352">
        <f>SUMIFS('5. KHBH'!$P$8:$P$11,'5. KHBH'!$Q$8:$Q$11,'7. P&amp;L TOÀN DỰ ÁN'!EM$3,'5. KHBH'!$I$8:$I$11,'7. P&amp;L TOÀN DỰ ÁN'!$B7)/1.1</f>
        <v>0</v>
      </c>
      <c r="EN7" s="353">
        <f t="shared" si="2"/>
        <v>0</v>
      </c>
      <c r="EO7" s="353">
        <f t="shared" si="2"/>
        <v>0</v>
      </c>
      <c r="EP7" s="353">
        <f t="shared" si="2"/>
        <v>0</v>
      </c>
      <c r="EQ7" s="353">
        <f t="shared" si="2"/>
        <v>0</v>
      </c>
      <c r="ER7" s="353">
        <f t="shared" si="2"/>
        <v>0</v>
      </c>
      <c r="ES7" s="353">
        <f t="shared" si="2"/>
        <v>0</v>
      </c>
      <c r="ET7" s="353">
        <f t="shared" si="2"/>
        <v>0</v>
      </c>
      <c r="EU7" s="353">
        <f t="shared" si="2"/>
        <v>0</v>
      </c>
      <c r="EV7" s="353">
        <f t="shared" si="2"/>
        <v>0</v>
      </c>
      <c r="EW7" s="353">
        <f t="shared" si="2"/>
        <v>0</v>
      </c>
      <c r="EX7" s="353">
        <f t="shared" si="3"/>
        <v>0</v>
      </c>
      <c r="EY7" s="353">
        <f t="shared" si="3"/>
        <v>0</v>
      </c>
      <c r="EZ7" s="353">
        <f t="shared" si="3"/>
        <v>0</v>
      </c>
      <c r="FA7" s="353">
        <f t="shared" si="3"/>
        <v>0</v>
      </c>
      <c r="FB7" s="353">
        <f t="shared" si="3"/>
        <v>0</v>
      </c>
      <c r="FC7" s="353">
        <f t="shared" si="3"/>
        <v>0</v>
      </c>
      <c r="FD7" s="353">
        <f t="shared" si="3"/>
        <v>0</v>
      </c>
      <c r="FE7" s="353">
        <f t="shared" si="3"/>
        <v>0</v>
      </c>
      <c r="FF7" s="353">
        <f t="shared" si="3"/>
        <v>0</v>
      </c>
      <c r="FG7" s="353">
        <f t="shared" si="3"/>
        <v>0</v>
      </c>
      <c r="FH7" s="353">
        <f t="shared" si="4"/>
        <v>0</v>
      </c>
      <c r="FI7" s="353">
        <f t="shared" si="4"/>
        <v>0</v>
      </c>
      <c r="FJ7" s="353">
        <f t="shared" si="4"/>
        <v>0</v>
      </c>
      <c r="FK7" s="353">
        <f t="shared" si="4"/>
        <v>0</v>
      </c>
      <c r="FL7" s="353">
        <f t="shared" si="4"/>
        <v>0</v>
      </c>
      <c r="FM7" s="353">
        <f t="shared" si="4"/>
        <v>0</v>
      </c>
      <c r="FN7" s="353">
        <f t="shared" si="4"/>
        <v>0</v>
      </c>
      <c r="FO7" s="353">
        <f t="shared" si="4"/>
        <v>0</v>
      </c>
      <c r="FP7" s="353">
        <f t="shared" si="4"/>
        <v>0</v>
      </c>
      <c r="FQ7" s="353">
        <f t="shared" si="4"/>
        <v>295860599999.99994</v>
      </c>
      <c r="FR7" s="353">
        <f t="shared" si="5"/>
        <v>0</v>
      </c>
      <c r="FS7" s="353">
        <f t="shared" si="5"/>
        <v>0</v>
      </c>
      <c r="FT7" s="353">
        <f t="shared" si="5"/>
        <v>0</v>
      </c>
      <c r="FU7" s="353">
        <f t="shared" si="5"/>
        <v>0</v>
      </c>
      <c r="FV7" s="353">
        <f t="shared" si="5"/>
        <v>0</v>
      </c>
      <c r="FW7" s="353">
        <f t="shared" si="5"/>
        <v>0</v>
      </c>
      <c r="FX7" s="353">
        <f t="shared" si="5"/>
        <v>0</v>
      </c>
      <c r="FY7" s="353">
        <f t="shared" si="5"/>
        <v>0</v>
      </c>
      <c r="FZ7" s="353">
        <f t="shared" si="5"/>
        <v>0</v>
      </c>
      <c r="GA7" s="353">
        <f t="shared" si="5"/>
        <v>0</v>
      </c>
      <c r="GB7" s="353">
        <f t="shared" si="5"/>
        <v>0</v>
      </c>
    </row>
    <row r="8" spans="1:184">
      <c r="A8" s="563">
        <v>4</v>
      </c>
      <c r="B8" s="564" t="str">
        <f>'5. KHBH'!C11</f>
        <v>Liền kề 1</v>
      </c>
      <c r="C8" s="565">
        <f t="shared" si="7"/>
        <v>304398863636.36359</v>
      </c>
      <c r="D8" s="565">
        <f>SUMIF('5. KHBH'!$I$8:$I$11,B8,'5. KHBH'!$M$8:$M$11)</f>
        <v>4320.5</v>
      </c>
      <c r="E8" s="352">
        <f>SUMIFS('5. KHBH'!$P$8:$P$11,'5. KHBH'!$Q$8:$Q$11,'7. P&amp;L TOÀN DỰ ÁN'!E$3,'5. KHBH'!$I$8:$I$11,'7. P&amp;L TOÀN DỰ ÁN'!$B8)/1.1</f>
        <v>0</v>
      </c>
      <c r="F8" s="352">
        <f>SUMIFS('5. KHBH'!$P$8:$P$11,'5. KHBH'!$Q$8:$Q$11,'7. P&amp;L TOÀN DỰ ÁN'!F$3,'5. KHBH'!$I$8:$I$11,'7. P&amp;L TOÀN DỰ ÁN'!$B8)/1.1</f>
        <v>0</v>
      </c>
      <c r="G8" s="352">
        <f>SUMIFS('5. KHBH'!$P$8:$P$11,'5. KHBH'!$Q$8:$Q$11,'7. P&amp;L TOÀN DỰ ÁN'!G$3,'5. KHBH'!$I$8:$I$11,'7. P&amp;L TOÀN DỰ ÁN'!$B8)/1.1</f>
        <v>0</v>
      </c>
      <c r="H8" s="352">
        <f>SUMIFS('5. KHBH'!$P$8:$P$11,'5. KHBH'!$Q$8:$Q$11,'7. P&amp;L TOÀN DỰ ÁN'!H$3,'5. KHBH'!$I$8:$I$11,'7. P&amp;L TOÀN DỰ ÁN'!$B8)/1.1</f>
        <v>0</v>
      </c>
      <c r="I8" s="352">
        <f>SUMIFS('5. KHBH'!$P$8:$P$11,'5. KHBH'!$Q$8:$Q$11,'7. P&amp;L TOÀN DỰ ÁN'!I$3,'5. KHBH'!$I$8:$I$11,'7. P&amp;L TOÀN DỰ ÁN'!$B8)/1.1</f>
        <v>0</v>
      </c>
      <c r="J8" s="352">
        <f>SUMIFS('5. KHBH'!$P$8:$P$11,'5. KHBH'!$Q$8:$Q$11,'7. P&amp;L TOÀN DỰ ÁN'!J$3,'5. KHBH'!$I$8:$I$11,'7. P&amp;L TOÀN DỰ ÁN'!$B8)/1.1</f>
        <v>0</v>
      </c>
      <c r="K8" s="352">
        <f>SUMIFS('5. KHBH'!$P$8:$P$11,'5. KHBH'!$Q$8:$Q$11,'7. P&amp;L TOÀN DỰ ÁN'!K$3,'5. KHBH'!$I$8:$I$11,'7. P&amp;L TOÀN DỰ ÁN'!$B8)/1.1</f>
        <v>0</v>
      </c>
      <c r="L8" s="352">
        <f>SUMIFS('5. KHBH'!$P$8:$P$11,'5. KHBH'!$Q$8:$Q$11,'7. P&amp;L TOÀN DỰ ÁN'!L$3,'5. KHBH'!$I$8:$I$11,'7. P&amp;L TOÀN DỰ ÁN'!$B8)/1.1</f>
        <v>0</v>
      </c>
      <c r="M8" s="352">
        <f>SUMIFS('5. KHBH'!$P$8:$P$11,'5. KHBH'!$Q$8:$Q$11,'7. P&amp;L TOÀN DỰ ÁN'!M$3,'5. KHBH'!$I$8:$I$11,'7. P&amp;L TOÀN DỰ ÁN'!$B8)/1.1</f>
        <v>0</v>
      </c>
      <c r="N8" s="352">
        <f>SUMIFS('5. KHBH'!$P$8:$P$11,'5. KHBH'!$Q$8:$Q$11,'7. P&amp;L TOÀN DỰ ÁN'!N$3,'5. KHBH'!$I$8:$I$11,'7. P&amp;L TOÀN DỰ ÁN'!$B8)/1.1</f>
        <v>0</v>
      </c>
      <c r="O8" s="352">
        <f>SUMIFS('5. KHBH'!$P$8:$P$11,'5. KHBH'!$Q$8:$Q$11,'7. P&amp;L TOÀN DỰ ÁN'!O$3,'5. KHBH'!$I$8:$I$11,'7. P&amp;L TOÀN DỰ ÁN'!$B8)/1.1</f>
        <v>0</v>
      </c>
      <c r="P8" s="352">
        <f>SUMIFS('5. KHBH'!$P$8:$P$11,'5. KHBH'!$Q$8:$Q$11,'7. P&amp;L TOÀN DỰ ÁN'!P$3,'5. KHBH'!$I$8:$I$11,'7. P&amp;L TOÀN DỰ ÁN'!$B8)/1.1</f>
        <v>0</v>
      </c>
      <c r="Q8" s="352">
        <f>SUMIFS('5. KHBH'!$P$8:$P$11,'5. KHBH'!$Q$8:$Q$11,'7. P&amp;L TOÀN DỰ ÁN'!Q$3,'5. KHBH'!$I$8:$I$11,'7. P&amp;L TOÀN DỰ ÁN'!$B8)/1.1</f>
        <v>0</v>
      </c>
      <c r="R8" s="352">
        <f>SUMIFS('5. KHBH'!$P$8:$P$11,'5. KHBH'!$Q$8:$Q$11,'7. P&amp;L TOÀN DỰ ÁN'!R$3,'5. KHBH'!$I$8:$I$11,'7. P&amp;L TOÀN DỰ ÁN'!$B8)/1.1</f>
        <v>0</v>
      </c>
      <c r="S8" s="352">
        <f>SUMIFS('5. KHBH'!$P$8:$P$11,'5. KHBH'!$Q$8:$Q$11,'7. P&amp;L TOÀN DỰ ÁN'!S$3,'5. KHBH'!$I$8:$I$11,'7. P&amp;L TOÀN DỰ ÁN'!$B8)/1.1</f>
        <v>0</v>
      </c>
      <c r="T8" s="352">
        <f>SUMIFS('5. KHBH'!$P$8:$P$11,'5. KHBH'!$Q$8:$Q$11,'7. P&amp;L TOÀN DỰ ÁN'!T$3,'5. KHBH'!$I$8:$I$11,'7. P&amp;L TOÀN DỰ ÁN'!$B8)/1.1</f>
        <v>0</v>
      </c>
      <c r="U8" s="352">
        <f>SUMIFS('5. KHBH'!$P$8:$P$11,'5. KHBH'!$Q$8:$Q$11,'7. P&amp;L TOÀN DỰ ÁN'!U$3,'5. KHBH'!$I$8:$I$11,'7. P&amp;L TOÀN DỰ ÁN'!$B8)/1.1</f>
        <v>0</v>
      </c>
      <c r="V8" s="352">
        <f>SUMIFS('5. KHBH'!$P$8:$P$11,'5. KHBH'!$Q$8:$Q$11,'7. P&amp;L TOÀN DỰ ÁN'!V$3,'5. KHBH'!$I$8:$I$11,'7. P&amp;L TOÀN DỰ ÁN'!$B8)/1.1</f>
        <v>0</v>
      </c>
      <c r="W8" s="352">
        <f>SUMIFS('5. KHBH'!$P$8:$P$11,'5. KHBH'!$Q$8:$Q$11,'7. P&amp;L TOÀN DỰ ÁN'!W$3,'5. KHBH'!$I$8:$I$11,'7. P&amp;L TOÀN DỰ ÁN'!$B8)/1.1</f>
        <v>0</v>
      </c>
      <c r="X8" s="352">
        <f>SUMIFS('5. KHBH'!$P$8:$P$11,'5. KHBH'!$Q$8:$Q$11,'7. P&amp;L TOÀN DỰ ÁN'!X$3,'5. KHBH'!$I$8:$I$11,'7. P&amp;L TOÀN DỰ ÁN'!$B8)/1.1</f>
        <v>0</v>
      </c>
      <c r="Y8" s="352">
        <f>SUMIFS('5. KHBH'!$P$8:$P$11,'5. KHBH'!$Q$8:$Q$11,'7. P&amp;L TOÀN DỰ ÁN'!Y$3,'5. KHBH'!$I$8:$I$11,'7. P&amp;L TOÀN DỰ ÁN'!$B8)/1.1</f>
        <v>0</v>
      </c>
      <c r="Z8" s="352">
        <f>SUMIFS('5. KHBH'!$P$8:$P$11,'5. KHBH'!$Q$8:$Q$11,'7. P&amp;L TOÀN DỰ ÁN'!Z$3,'5. KHBH'!$I$8:$I$11,'7. P&amp;L TOÀN DỰ ÁN'!$B8)/1.1</f>
        <v>0</v>
      </c>
      <c r="AA8" s="352">
        <f>SUMIFS('5. KHBH'!$P$8:$P$11,'5. KHBH'!$Q$8:$Q$11,'7. P&amp;L TOÀN DỰ ÁN'!AA$3,'5. KHBH'!$I$8:$I$11,'7. P&amp;L TOÀN DỰ ÁN'!$B8)/1.1</f>
        <v>0</v>
      </c>
      <c r="AB8" s="352">
        <f>SUMIFS('5. KHBH'!$P$8:$P$11,'5. KHBH'!$Q$8:$Q$11,'7. P&amp;L TOÀN DỰ ÁN'!AB$3,'5. KHBH'!$I$8:$I$11,'7. P&amp;L TOÀN DỰ ÁN'!$B8)/1.1</f>
        <v>0</v>
      </c>
      <c r="AC8" s="352">
        <f>SUMIFS('5. KHBH'!$P$8:$P$11,'5. KHBH'!$Q$8:$Q$11,'7. P&amp;L TOÀN DỰ ÁN'!AC$3,'5. KHBH'!$I$8:$I$11,'7. P&amp;L TOÀN DỰ ÁN'!$B8)/1.1</f>
        <v>0</v>
      </c>
      <c r="AD8" s="352">
        <f>SUMIFS('5. KHBH'!$P$8:$P$11,'5. KHBH'!$Q$8:$Q$11,'7. P&amp;L TOÀN DỰ ÁN'!AD$3,'5. KHBH'!$I$8:$I$11,'7. P&amp;L TOÀN DỰ ÁN'!$B8)/1.1</f>
        <v>0</v>
      </c>
      <c r="AE8" s="352">
        <f>SUMIFS('5. KHBH'!$P$8:$P$11,'5. KHBH'!$Q$8:$Q$11,'7. P&amp;L TOÀN DỰ ÁN'!AE$3,'5. KHBH'!$I$8:$I$11,'7. P&amp;L TOÀN DỰ ÁN'!$B8)/1.1</f>
        <v>0</v>
      </c>
      <c r="AF8" s="352">
        <f>SUMIFS('5. KHBH'!$P$8:$P$11,'5. KHBH'!$Q$8:$Q$11,'7. P&amp;L TOÀN DỰ ÁN'!AF$3,'5. KHBH'!$I$8:$I$11,'7. P&amp;L TOÀN DỰ ÁN'!$B8)/1.1</f>
        <v>0</v>
      </c>
      <c r="AG8" s="352">
        <f>SUMIFS('5. KHBH'!$P$8:$P$11,'5. KHBH'!$Q$8:$Q$11,'7. P&amp;L TOÀN DỰ ÁN'!AG$3,'5. KHBH'!$I$8:$I$11,'7. P&amp;L TOÀN DỰ ÁN'!$B8)/1.1</f>
        <v>0</v>
      </c>
      <c r="AH8" s="352">
        <f>SUMIFS('5. KHBH'!$P$8:$P$11,'5. KHBH'!$Q$8:$Q$11,'7. P&amp;L TOÀN DỰ ÁN'!AH$3,'5. KHBH'!$I$8:$I$11,'7. P&amp;L TOÀN DỰ ÁN'!$B8)/1.1</f>
        <v>0</v>
      </c>
      <c r="AI8" s="352">
        <f>SUMIFS('5. KHBH'!$P$8:$P$11,'5. KHBH'!$Q$8:$Q$11,'7. P&amp;L TOÀN DỰ ÁN'!AI$3,'5. KHBH'!$I$8:$I$11,'7. P&amp;L TOÀN DỰ ÁN'!$B8)/1.1</f>
        <v>0</v>
      </c>
      <c r="AJ8" s="352">
        <f>SUMIFS('5. KHBH'!$P$8:$P$11,'5. KHBH'!$Q$8:$Q$11,'7. P&amp;L TOÀN DỰ ÁN'!AJ$3,'5. KHBH'!$I$8:$I$11,'7. P&amp;L TOÀN DỰ ÁN'!$B8)/1.1</f>
        <v>0</v>
      </c>
      <c r="AK8" s="352">
        <f>SUMIFS('5. KHBH'!$P$8:$P$11,'5. KHBH'!$Q$8:$Q$11,'7. P&amp;L TOÀN DỰ ÁN'!AK$3,'5. KHBH'!$I$8:$I$11,'7. P&amp;L TOÀN DỰ ÁN'!$B8)/1.1</f>
        <v>0</v>
      </c>
      <c r="AL8" s="352">
        <f>SUMIFS('5. KHBH'!$P$8:$P$11,'5. KHBH'!$Q$8:$Q$11,'7. P&amp;L TOÀN DỰ ÁN'!AL$3,'5. KHBH'!$I$8:$I$11,'7. P&amp;L TOÀN DỰ ÁN'!$B8)/1.1</f>
        <v>0</v>
      </c>
      <c r="AM8" s="352">
        <f>SUMIFS('5. KHBH'!$P$8:$P$11,'5. KHBH'!$Q$8:$Q$11,'7. P&amp;L TOÀN DỰ ÁN'!AM$3,'5. KHBH'!$I$8:$I$11,'7. P&amp;L TOÀN DỰ ÁN'!$B8)/1.1</f>
        <v>0</v>
      </c>
      <c r="AN8" s="352">
        <f>SUMIFS('5. KHBH'!$P$8:$P$11,'5. KHBH'!$Q$8:$Q$11,'7. P&amp;L TOÀN DỰ ÁN'!AN$3,'5. KHBH'!$I$8:$I$11,'7. P&amp;L TOÀN DỰ ÁN'!$B8)/1.1</f>
        <v>0</v>
      </c>
      <c r="AO8" s="352">
        <f>SUMIFS('5. KHBH'!$P$8:$P$11,'5. KHBH'!$Q$8:$Q$11,'7. P&amp;L TOÀN DỰ ÁN'!AO$3,'5. KHBH'!$I$8:$I$11,'7. P&amp;L TOÀN DỰ ÁN'!$B8)/1.1</f>
        <v>0</v>
      </c>
      <c r="AP8" s="352">
        <f>SUMIFS('5. KHBH'!$P$8:$P$11,'5. KHBH'!$Q$8:$Q$11,'7. P&amp;L TOÀN DỰ ÁN'!AP$3,'5. KHBH'!$I$8:$I$11,'7. P&amp;L TOÀN DỰ ÁN'!$B8)/1.1</f>
        <v>0</v>
      </c>
      <c r="AQ8" s="352">
        <f>SUMIFS('5. KHBH'!$P$8:$P$11,'5. KHBH'!$Q$8:$Q$11,'7. P&amp;L TOÀN DỰ ÁN'!AQ$3,'5. KHBH'!$I$8:$I$11,'7. P&amp;L TOÀN DỰ ÁN'!$B8)/1.1</f>
        <v>0</v>
      </c>
      <c r="AR8" s="352">
        <f>SUMIFS('5. KHBH'!$P$8:$P$11,'5. KHBH'!$Q$8:$Q$11,'7. P&amp;L TOÀN DỰ ÁN'!AR$3,'5. KHBH'!$I$8:$I$11,'7. P&amp;L TOÀN DỰ ÁN'!$B8)/1.1</f>
        <v>0</v>
      </c>
      <c r="AS8" s="352">
        <f>SUMIFS('5. KHBH'!$P$8:$P$11,'5. KHBH'!$Q$8:$Q$11,'7. P&amp;L TOÀN DỰ ÁN'!AS$3,'5. KHBH'!$I$8:$I$11,'7. P&amp;L TOÀN DỰ ÁN'!$B8)/1.1</f>
        <v>0</v>
      </c>
      <c r="AT8" s="352">
        <f>SUMIFS('5. KHBH'!$P$8:$P$11,'5. KHBH'!$Q$8:$Q$11,'7. P&amp;L TOÀN DỰ ÁN'!AT$3,'5. KHBH'!$I$8:$I$11,'7. P&amp;L TOÀN DỰ ÁN'!$B8)/1.1</f>
        <v>0</v>
      </c>
      <c r="AU8" s="352">
        <f>SUMIFS('5. KHBH'!$P$8:$P$11,'5. KHBH'!$Q$8:$Q$11,'7. P&amp;L TOÀN DỰ ÁN'!AU$3,'5. KHBH'!$I$8:$I$11,'7. P&amp;L TOÀN DỰ ÁN'!$B8)/1.1</f>
        <v>0</v>
      </c>
      <c r="AV8" s="352">
        <f>SUMIFS('5. KHBH'!$P$8:$P$11,'5. KHBH'!$Q$8:$Q$11,'7. P&amp;L TOÀN DỰ ÁN'!AV$3,'5. KHBH'!$I$8:$I$11,'7. P&amp;L TOÀN DỰ ÁN'!$B8)/1.1</f>
        <v>0</v>
      </c>
      <c r="AW8" s="352">
        <f>SUMIFS('5. KHBH'!$P$8:$P$11,'5. KHBH'!$Q$8:$Q$11,'7. P&amp;L TOÀN DỰ ÁN'!AW$3,'5. KHBH'!$I$8:$I$11,'7. P&amp;L TOÀN DỰ ÁN'!$B8)/1.1</f>
        <v>0</v>
      </c>
      <c r="AX8" s="352">
        <f>SUMIFS('5. KHBH'!$P$8:$P$11,'5. KHBH'!$Q$8:$Q$11,'7. P&amp;L TOÀN DỰ ÁN'!AX$3,'5. KHBH'!$I$8:$I$11,'7. P&amp;L TOÀN DỰ ÁN'!$B8)/1.1</f>
        <v>0</v>
      </c>
      <c r="AY8" s="352">
        <f>SUMIFS('5. KHBH'!$P$8:$P$11,'5. KHBH'!$Q$8:$Q$11,'7. P&amp;L TOÀN DỰ ÁN'!AY$3,'5. KHBH'!$I$8:$I$11,'7. P&amp;L TOÀN DỰ ÁN'!$B8)/1.1</f>
        <v>0</v>
      </c>
      <c r="AZ8" s="352">
        <f>SUMIFS('5. KHBH'!$P$8:$P$11,'5. KHBH'!$Q$8:$Q$11,'7. P&amp;L TOÀN DỰ ÁN'!AZ$3,'5. KHBH'!$I$8:$I$11,'7. P&amp;L TOÀN DỰ ÁN'!$B8)/1.1</f>
        <v>0</v>
      </c>
      <c r="BA8" s="352">
        <f>SUMIFS('5. KHBH'!$P$8:$P$11,'5. KHBH'!$Q$8:$Q$11,'7. P&amp;L TOÀN DỰ ÁN'!BA$3,'5. KHBH'!$I$8:$I$11,'7. P&amp;L TOÀN DỰ ÁN'!$B8)/1.1</f>
        <v>0</v>
      </c>
      <c r="BB8" s="352">
        <f>SUMIFS('5. KHBH'!$P$8:$P$11,'5. KHBH'!$Q$8:$Q$11,'7. P&amp;L TOÀN DỰ ÁN'!BB$3,'5. KHBH'!$I$8:$I$11,'7. P&amp;L TOÀN DỰ ÁN'!$B8)/1.1</f>
        <v>0</v>
      </c>
      <c r="BC8" s="352">
        <f>SUMIFS('5. KHBH'!$P$8:$P$11,'5. KHBH'!$Q$8:$Q$11,'7. P&amp;L TOÀN DỰ ÁN'!BC$3,'5. KHBH'!$I$8:$I$11,'7. P&amp;L TOÀN DỰ ÁN'!$B8)/1.1</f>
        <v>0</v>
      </c>
      <c r="BD8" s="352">
        <f>SUMIFS('5. KHBH'!$P$8:$P$11,'5. KHBH'!$Q$8:$Q$11,'7. P&amp;L TOÀN DỰ ÁN'!BD$3,'5. KHBH'!$I$8:$I$11,'7. P&amp;L TOÀN DỰ ÁN'!$B8)/1.1</f>
        <v>0</v>
      </c>
      <c r="BE8" s="352">
        <f>SUMIFS('5. KHBH'!$P$8:$P$11,'5. KHBH'!$Q$8:$Q$11,'7. P&amp;L TOÀN DỰ ÁN'!BE$3,'5. KHBH'!$I$8:$I$11,'7. P&amp;L TOÀN DỰ ÁN'!$B8)/1.1</f>
        <v>0</v>
      </c>
      <c r="BF8" s="352">
        <f>SUMIFS('5. KHBH'!$P$8:$P$11,'5. KHBH'!$Q$8:$Q$11,'7. P&amp;L TOÀN DỰ ÁN'!BF$3,'5. KHBH'!$I$8:$I$11,'7. P&amp;L TOÀN DỰ ÁN'!$B8)/1.1</f>
        <v>0</v>
      </c>
      <c r="BG8" s="352">
        <f>SUMIFS('5. KHBH'!$P$8:$P$11,'5. KHBH'!$Q$8:$Q$11,'7. P&amp;L TOÀN DỰ ÁN'!BG$3,'5. KHBH'!$I$8:$I$11,'7. P&amp;L TOÀN DỰ ÁN'!$B8)/1.1</f>
        <v>0</v>
      </c>
      <c r="BH8" s="352">
        <f>SUMIFS('5. KHBH'!$P$8:$P$11,'5. KHBH'!$Q$8:$Q$11,'7. P&amp;L TOÀN DỰ ÁN'!BH$3,'5. KHBH'!$I$8:$I$11,'7. P&amp;L TOÀN DỰ ÁN'!$B8)/1.1</f>
        <v>0</v>
      </c>
      <c r="BI8" s="352">
        <f>SUMIFS('5. KHBH'!$P$8:$P$11,'5. KHBH'!$Q$8:$Q$11,'7. P&amp;L TOÀN DỰ ÁN'!BI$3,'5. KHBH'!$I$8:$I$11,'7. P&amp;L TOÀN DỰ ÁN'!$B8)/1.1</f>
        <v>0</v>
      </c>
      <c r="BJ8" s="352">
        <f>SUMIFS('5. KHBH'!$P$8:$P$11,'5. KHBH'!$Q$8:$Q$11,'7. P&amp;L TOÀN DỰ ÁN'!BJ$3,'5. KHBH'!$I$8:$I$11,'7. P&amp;L TOÀN DỰ ÁN'!$B8)/1.1</f>
        <v>0</v>
      </c>
      <c r="BK8" s="352">
        <f>SUMIFS('5. KHBH'!$P$8:$P$11,'5. KHBH'!$Q$8:$Q$11,'7. P&amp;L TOÀN DỰ ÁN'!BK$3,'5. KHBH'!$I$8:$I$11,'7. P&amp;L TOÀN DỰ ÁN'!$B8)/1.1</f>
        <v>0</v>
      </c>
      <c r="BL8" s="352">
        <f>SUMIFS('5. KHBH'!$P$8:$P$11,'5. KHBH'!$Q$8:$Q$11,'7. P&amp;L TOÀN DỰ ÁN'!BL$3,'5. KHBH'!$I$8:$I$11,'7. P&amp;L TOÀN DỰ ÁN'!$B8)/1.1</f>
        <v>0</v>
      </c>
      <c r="BM8" s="352">
        <f>SUMIFS('5. KHBH'!$P$8:$P$11,'5. KHBH'!$Q$8:$Q$11,'7. P&amp;L TOÀN DỰ ÁN'!BM$3,'5. KHBH'!$I$8:$I$11,'7. P&amp;L TOÀN DỰ ÁN'!$B8)/1.1</f>
        <v>0</v>
      </c>
      <c r="BN8" s="352">
        <f>SUMIFS('5. KHBH'!$P$8:$P$11,'5. KHBH'!$Q$8:$Q$11,'7. P&amp;L TOÀN DỰ ÁN'!BN$3,'5. KHBH'!$I$8:$I$11,'7. P&amp;L TOÀN DỰ ÁN'!$B8)/1.1</f>
        <v>0</v>
      </c>
      <c r="BO8" s="352">
        <f>SUMIFS('5. KHBH'!$P$8:$P$11,'5. KHBH'!$Q$8:$Q$11,'7. P&amp;L TOÀN DỰ ÁN'!BO$3,'5. KHBH'!$I$8:$I$11,'7. P&amp;L TOÀN DỰ ÁN'!$B8)/1.1</f>
        <v>0</v>
      </c>
      <c r="BP8" s="352">
        <f>SUMIFS('5. KHBH'!$P$8:$P$11,'5. KHBH'!$Q$8:$Q$11,'7. P&amp;L TOÀN DỰ ÁN'!BP$3,'5. KHBH'!$I$8:$I$11,'7. P&amp;L TOÀN DỰ ÁN'!$B8)/1.1</f>
        <v>0</v>
      </c>
      <c r="BQ8" s="352">
        <f>SUMIFS('5. KHBH'!$P$8:$P$11,'5. KHBH'!$Q$8:$Q$11,'7. P&amp;L TOÀN DỰ ÁN'!BQ$3,'5. KHBH'!$I$8:$I$11,'7. P&amp;L TOÀN DỰ ÁN'!$B8)/1.1</f>
        <v>0</v>
      </c>
      <c r="BR8" s="352">
        <f>SUMIFS('5. KHBH'!$P$8:$P$11,'5. KHBH'!$Q$8:$Q$11,'7. P&amp;L TOÀN DỰ ÁN'!BR$3,'5. KHBH'!$I$8:$I$11,'7. P&amp;L TOÀN DỰ ÁN'!$B8)/1.1</f>
        <v>0</v>
      </c>
      <c r="BS8" s="352">
        <f>SUMIFS('5. KHBH'!$P$8:$P$11,'5. KHBH'!$Q$8:$Q$11,'7. P&amp;L TOÀN DỰ ÁN'!BS$3,'5. KHBH'!$I$8:$I$11,'7. P&amp;L TOÀN DỰ ÁN'!$B8)/1.1</f>
        <v>0</v>
      </c>
      <c r="BT8" s="352">
        <f>SUMIFS('5. KHBH'!$P$8:$P$11,'5. KHBH'!$Q$8:$Q$11,'7. P&amp;L TOÀN DỰ ÁN'!BT$3,'5. KHBH'!$I$8:$I$11,'7. P&amp;L TOÀN DỰ ÁN'!$B8)/1.1</f>
        <v>0</v>
      </c>
      <c r="BU8" s="352">
        <f>SUMIFS('5. KHBH'!$P$8:$P$11,'5. KHBH'!$Q$8:$Q$11,'7. P&amp;L TOÀN DỰ ÁN'!BU$3,'5. KHBH'!$I$8:$I$11,'7. P&amp;L TOÀN DỰ ÁN'!$B8)/1.1</f>
        <v>0</v>
      </c>
      <c r="BV8" s="352">
        <f>SUMIFS('5. KHBH'!$P$8:$P$11,'5. KHBH'!$Q$8:$Q$11,'7. P&amp;L TOÀN DỰ ÁN'!BV$3,'5. KHBH'!$I$8:$I$11,'7. P&amp;L TOÀN DỰ ÁN'!$B8)/1.1</f>
        <v>0</v>
      </c>
      <c r="BW8" s="352">
        <f>SUMIFS('5. KHBH'!$P$8:$P$11,'5. KHBH'!$Q$8:$Q$11,'7. P&amp;L TOÀN DỰ ÁN'!BW$3,'5. KHBH'!$I$8:$I$11,'7. P&amp;L TOÀN DỰ ÁN'!$B8)/1.1</f>
        <v>0</v>
      </c>
      <c r="BX8" s="352">
        <f>SUMIFS('5. KHBH'!$P$8:$P$11,'5. KHBH'!$Q$8:$Q$11,'7. P&amp;L TOÀN DỰ ÁN'!BX$3,'5. KHBH'!$I$8:$I$11,'7. P&amp;L TOÀN DỰ ÁN'!$B8)/1.1</f>
        <v>0</v>
      </c>
      <c r="BY8" s="352">
        <f>SUMIFS('5. KHBH'!$P$8:$P$11,'5. KHBH'!$Q$8:$Q$11,'7. P&amp;L TOÀN DỰ ÁN'!BY$3,'5. KHBH'!$I$8:$I$11,'7. P&amp;L TOÀN DỰ ÁN'!$B8)/1.1</f>
        <v>0</v>
      </c>
      <c r="BZ8" s="352">
        <f>SUMIFS('5. KHBH'!$P$8:$P$11,'5. KHBH'!$Q$8:$Q$11,'7. P&amp;L TOÀN DỰ ÁN'!BZ$3,'5. KHBH'!$I$8:$I$11,'7. P&amp;L TOÀN DỰ ÁN'!$B8)/1.1</f>
        <v>0</v>
      </c>
      <c r="CA8" s="352">
        <f>SUMIFS('5. KHBH'!$P$8:$P$11,'5. KHBH'!$Q$8:$Q$11,'7. P&amp;L TOÀN DỰ ÁN'!CA$3,'5. KHBH'!$I$8:$I$11,'7. P&amp;L TOÀN DỰ ÁN'!$B8)/1.1</f>
        <v>0</v>
      </c>
      <c r="CB8" s="352">
        <f>SUMIFS('5. KHBH'!$P$8:$P$11,'5. KHBH'!$Q$8:$Q$11,'7. P&amp;L TOÀN DỰ ÁN'!CB$3,'5. KHBH'!$I$8:$I$11,'7. P&amp;L TOÀN DỰ ÁN'!$B8)/1.1</f>
        <v>0</v>
      </c>
      <c r="CC8" s="352">
        <f>SUMIFS('5. KHBH'!$P$8:$P$11,'5. KHBH'!$Q$8:$Q$11,'7. P&amp;L TOÀN DỰ ÁN'!CC$3,'5. KHBH'!$I$8:$I$11,'7. P&amp;L TOÀN DỰ ÁN'!$B8)/1.1</f>
        <v>0</v>
      </c>
      <c r="CD8" s="352">
        <f>SUMIFS('5. KHBH'!$P$8:$P$11,'5. KHBH'!$Q$8:$Q$11,'7. P&amp;L TOÀN DỰ ÁN'!CD$3,'5. KHBH'!$I$8:$I$11,'7. P&amp;L TOÀN DỰ ÁN'!$B8)/1.1</f>
        <v>0</v>
      </c>
      <c r="CE8" s="352">
        <f>SUMIFS('5. KHBH'!$P$8:$P$11,'5. KHBH'!$Q$8:$Q$11,'7. P&amp;L TOÀN DỰ ÁN'!CE$3,'5. KHBH'!$I$8:$I$11,'7. P&amp;L TOÀN DỰ ÁN'!$B8)/1.1</f>
        <v>0</v>
      </c>
      <c r="CF8" s="352">
        <f>SUMIFS('5. KHBH'!$P$8:$P$11,'5. KHBH'!$Q$8:$Q$11,'7. P&amp;L TOÀN DỰ ÁN'!CF$3,'5. KHBH'!$I$8:$I$11,'7. P&amp;L TOÀN DỰ ÁN'!$B8)/1.1</f>
        <v>304398863636.36359</v>
      </c>
      <c r="CG8" s="352">
        <f>SUMIFS('5. KHBH'!$P$8:$P$11,'5. KHBH'!$Q$8:$Q$11,'7. P&amp;L TOÀN DỰ ÁN'!CG$3,'5. KHBH'!$I$8:$I$11,'7. P&amp;L TOÀN DỰ ÁN'!$B8)/1.1</f>
        <v>0</v>
      </c>
      <c r="CH8" s="352">
        <f>SUMIFS('5. KHBH'!$P$8:$P$11,'5. KHBH'!$Q$8:$Q$11,'7. P&amp;L TOÀN DỰ ÁN'!CH$3,'5. KHBH'!$I$8:$I$11,'7. P&amp;L TOÀN DỰ ÁN'!$B8)/1.1</f>
        <v>0</v>
      </c>
      <c r="CI8" s="352">
        <f>SUMIFS('5. KHBH'!$P$8:$P$11,'5. KHBH'!$Q$8:$Q$11,'7. P&amp;L TOÀN DỰ ÁN'!CI$3,'5. KHBH'!$I$8:$I$11,'7. P&amp;L TOÀN DỰ ÁN'!$B8)/1.1</f>
        <v>0</v>
      </c>
      <c r="CJ8" s="352">
        <f>SUMIFS('5. KHBH'!$P$8:$P$11,'5. KHBH'!$Q$8:$Q$11,'7. P&amp;L TOÀN DỰ ÁN'!CJ$3,'5. KHBH'!$I$8:$I$11,'7. P&amp;L TOÀN DỰ ÁN'!$B8)/1.1</f>
        <v>0</v>
      </c>
      <c r="CK8" s="352">
        <f>SUMIFS('5. KHBH'!$P$8:$P$11,'5. KHBH'!$Q$8:$Q$11,'7. P&amp;L TOÀN DỰ ÁN'!CK$3,'5. KHBH'!$I$8:$I$11,'7. P&amp;L TOÀN DỰ ÁN'!$B8)/1.1</f>
        <v>0</v>
      </c>
      <c r="CL8" s="352">
        <f>SUMIFS('5. KHBH'!$P$8:$P$11,'5. KHBH'!$Q$8:$Q$11,'7. P&amp;L TOÀN DỰ ÁN'!CL$3,'5. KHBH'!$I$8:$I$11,'7. P&amp;L TOÀN DỰ ÁN'!$B8)/1.1</f>
        <v>0</v>
      </c>
      <c r="CM8" s="352">
        <f>SUMIFS('5. KHBH'!$P$8:$P$11,'5. KHBH'!$Q$8:$Q$11,'7. P&amp;L TOÀN DỰ ÁN'!CM$3,'5. KHBH'!$I$8:$I$11,'7. P&amp;L TOÀN DỰ ÁN'!$B8)/1.1</f>
        <v>0</v>
      </c>
      <c r="CN8" s="352">
        <f>SUMIFS('5. KHBH'!$P$8:$P$11,'5. KHBH'!$Q$8:$Q$11,'7. P&amp;L TOÀN DỰ ÁN'!CN$3,'5. KHBH'!$I$8:$I$11,'7. P&amp;L TOÀN DỰ ÁN'!$B8)/1.1</f>
        <v>0</v>
      </c>
      <c r="CO8" s="352">
        <f>SUMIFS('5. KHBH'!$P$8:$P$11,'5. KHBH'!$Q$8:$Q$11,'7. P&amp;L TOÀN DỰ ÁN'!CO$3,'5. KHBH'!$I$8:$I$11,'7. P&amp;L TOÀN DỰ ÁN'!$B8)/1.1</f>
        <v>0</v>
      </c>
      <c r="CP8" s="352">
        <f>SUMIFS('5. KHBH'!$P$8:$P$11,'5. KHBH'!$Q$8:$Q$11,'7. P&amp;L TOÀN DỰ ÁN'!CP$3,'5. KHBH'!$I$8:$I$11,'7. P&amp;L TOÀN DỰ ÁN'!$B8)/1.1</f>
        <v>0</v>
      </c>
      <c r="CQ8" s="352">
        <f>SUMIFS('5. KHBH'!$P$8:$P$11,'5. KHBH'!$Q$8:$Q$11,'7. P&amp;L TOÀN DỰ ÁN'!CQ$3,'5. KHBH'!$I$8:$I$11,'7. P&amp;L TOÀN DỰ ÁN'!$B8)/1.1</f>
        <v>0</v>
      </c>
      <c r="CR8" s="352">
        <f>SUMIFS('5. KHBH'!$P$8:$P$11,'5. KHBH'!$Q$8:$Q$11,'7. P&amp;L TOÀN DỰ ÁN'!CR$3,'5. KHBH'!$I$8:$I$11,'7. P&amp;L TOÀN DỰ ÁN'!$B8)/1.1</f>
        <v>0</v>
      </c>
      <c r="CS8" s="352">
        <f>SUMIFS('5. KHBH'!$P$8:$P$11,'5. KHBH'!$Q$8:$Q$11,'7. P&amp;L TOÀN DỰ ÁN'!CS$3,'5. KHBH'!$I$8:$I$11,'7. P&amp;L TOÀN DỰ ÁN'!$B8)/1.1</f>
        <v>0</v>
      </c>
      <c r="CT8" s="352">
        <f>SUMIFS('5. KHBH'!$P$8:$P$11,'5. KHBH'!$Q$8:$Q$11,'7. P&amp;L TOÀN DỰ ÁN'!CT$3,'5. KHBH'!$I$8:$I$11,'7. P&amp;L TOÀN DỰ ÁN'!$B8)/1.1</f>
        <v>0</v>
      </c>
      <c r="CU8" s="352">
        <f>SUMIFS('5. KHBH'!$P$8:$P$11,'5. KHBH'!$Q$8:$Q$11,'7. P&amp;L TOÀN DỰ ÁN'!CU$3,'5. KHBH'!$I$8:$I$11,'7. P&amp;L TOÀN DỰ ÁN'!$B8)/1.1</f>
        <v>0</v>
      </c>
      <c r="CV8" s="352">
        <f>SUMIFS('5. KHBH'!$P$8:$P$11,'5. KHBH'!$Q$8:$Q$11,'7. P&amp;L TOÀN DỰ ÁN'!CV$3,'5. KHBH'!$I$8:$I$11,'7. P&amp;L TOÀN DỰ ÁN'!$B8)/1.1</f>
        <v>0</v>
      </c>
      <c r="CW8" s="352">
        <f>SUMIFS('5. KHBH'!$P$8:$P$11,'5. KHBH'!$Q$8:$Q$11,'7. P&amp;L TOÀN DỰ ÁN'!CW$3,'5. KHBH'!$I$8:$I$11,'7. P&amp;L TOÀN DỰ ÁN'!$B8)/1.1</f>
        <v>0</v>
      </c>
      <c r="CX8" s="352">
        <f>SUMIFS('5. KHBH'!$P$8:$P$11,'5. KHBH'!$Q$8:$Q$11,'7. P&amp;L TOÀN DỰ ÁN'!CX$3,'5. KHBH'!$I$8:$I$11,'7. P&amp;L TOÀN DỰ ÁN'!$B8)/1.1</f>
        <v>0</v>
      </c>
      <c r="CY8" s="352">
        <f>SUMIFS('5. KHBH'!$P$8:$P$11,'5. KHBH'!$Q$8:$Q$11,'7. P&amp;L TOÀN DỰ ÁN'!CY$3,'5. KHBH'!$I$8:$I$11,'7. P&amp;L TOÀN DỰ ÁN'!$B8)/1.1</f>
        <v>0</v>
      </c>
      <c r="CZ8" s="352">
        <f>SUMIFS('5. KHBH'!$P$8:$P$11,'5. KHBH'!$Q$8:$Q$11,'7. P&amp;L TOÀN DỰ ÁN'!CZ$3,'5. KHBH'!$I$8:$I$11,'7. P&amp;L TOÀN DỰ ÁN'!$B8)/1.1</f>
        <v>0</v>
      </c>
      <c r="DA8" s="352">
        <f>SUMIFS('5. KHBH'!$P$8:$P$11,'5. KHBH'!$Q$8:$Q$11,'7. P&amp;L TOÀN DỰ ÁN'!DA$3,'5. KHBH'!$I$8:$I$11,'7. P&amp;L TOÀN DỰ ÁN'!$B8)/1.1</f>
        <v>0</v>
      </c>
      <c r="DB8" s="352">
        <f>SUMIFS('5. KHBH'!$P$8:$P$11,'5. KHBH'!$Q$8:$Q$11,'7. P&amp;L TOÀN DỰ ÁN'!DB$3,'5. KHBH'!$I$8:$I$11,'7. P&amp;L TOÀN DỰ ÁN'!$B8)/1.1</f>
        <v>0</v>
      </c>
      <c r="DC8" s="352">
        <f>SUMIFS('5. KHBH'!$P$8:$P$11,'5. KHBH'!$Q$8:$Q$11,'7. P&amp;L TOÀN DỰ ÁN'!DC$3,'5. KHBH'!$I$8:$I$11,'7. P&amp;L TOÀN DỰ ÁN'!$B8)/1.1</f>
        <v>0</v>
      </c>
      <c r="DD8" s="352">
        <f>SUMIFS('5. KHBH'!$P$8:$P$11,'5. KHBH'!$Q$8:$Q$11,'7. P&amp;L TOÀN DỰ ÁN'!DD$3,'5. KHBH'!$I$8:$I$11,'7. P&amp;L TOÀN DỰ ÁN'!$B8)/1.1</f>
        <v>0</v>
      </c>
      <c r="DE8" s="352">
        <f>SUMIFS('5. KHBH'!$P$8:$P$11,'5. KHBH'!$Q$8:$Q$11,'7. P&amp;L TOÀN DỰ ÁN'!DE$3,'5. KHBH'!$I$8:$I$11,'7. P&amp;L TOÀN DỰ ÁN'!$B8)/1.1</f>
        <v>0</v>
      </c>
      <c r="DF8" s="352">
        <f>SUMIFS('5. KHBH'!$P$8:$P$11,'5. KHBH'!$Q$8:$Q$11,'7. P&amp;L TOÀN DỰ ÁN'!DF$3,'5. KHBH'!$I$8:$I$11,'7. P&amp;L TOÀN DỰ ÁN'!$B8)/1.1</f>
        <v>0</v>
      </c>
      <c r="DG8" s="352">
        <f>SUMIFS('5. KHBH'!$P$8:$P$11,'5. KHBH'!$Q$8:$Q$11,'7. P&amp;L TOÀN DỰ ÁN'!DG$3,'5. KHBH'!$I$8:$I$11,'7. P&amp;L TOÀN DỰ ÁN'!$B8)/1.1</f>
        <v>0</v>
      </c>
      <c r="DH8" s="352">
        <f>SUMIFS('5. KHBH'!$P$8:$P$11,'5. KHBH'!$Q$8:$Q$11,'7. P&amp;L TOÀN DỰ ÁN'!DH$3,'5. KHBH'!$I$8:$I$11,'7. P&amp;L TOÀN DỰ ÁN'!$B8)/1.1</f>
        <v>0</v>
      </c>
      <c r="DI8" s="352">
        <f>SUMIFS('5. KHBH'!$P$8:$P$11,'5. KHBH'!$Q$8:$Q$11,'7. P&amp;L TOÀN DỰ ÁN'!DI$3,'5. KHBH'!$I$8:$I$11,'7. P&amp;L TOÀN DỰ ÁN'!$B8)/1.1</f>
        <v>0</v>
      </c>
      <c r="DJ8" s="352">
        <f>SUMIFS('5. KHBH'!$P$8:$P$11,'5. KHBH'!$Q$8:$Q$11,'7. P&amp;L TOÀN DỰ ÁN'!DJ$3,'5. KHBH'!$I$8:$I$11,'7. P&amp;L TOÀN DỰ ÁN'!$B8)/1.1</f>
        <v>0</v>
      </c>
      <c r="DK8" s="352">
        <f>SUMIFS('5. KHBH'!$P$8:$P$11,'5. KHBH'!$Q$8:$Q$11,'7. P&amp;L TOÀN DỰ ÁN'!DK$3,'5. KHBH'!$I$8:$I$11,'7. P&amp;L TOÀN DỰ ÁN'!$B8)/1.1</f>
        <v>0</v>
      </c>
      <c r="DL8" s="352">
        <f>SUMIFS('5. KHBH'!$P$8:$P$11,'5. KHBH'!$Q$8:$Q$11,'7. P&amp;L TOÀN DỰ ÁN'!DL$3,'5. KHBH'!$I$8:$I$11,'7. P&amp;L TOÀN DỰ ÁN'!$B8)/1.1</f>
        <v>0</v>
      </c>
      <c r="DM8" s="352">
        <f>SUMIFS('5. KHBH'!$P$8:$P$11,'5. KHBH'!$Q$8:$Q$11,'7. P&amp;L TOÀN DỰ ÁN'!DM$3,'5. KHBH'!$I$8:$I$11,'7. P&amp;L TOÀN DỰ ÁN'!$B8)/1.1</f>
        <v>0</v>
      </c>
      <c r="DN8" s="352">
        <f>SUMIFS('5. KHBH'!$P$8:$P$11,'5. KHBH'!$Q$8:$Q$11,'7. P&amp;L TOÀN DỰ ÁN'!DN$3,'5. KHBH'!$I$8:$I$11,'7. P&amp;L TOÀN DỰ ÁN'!$B8)/1.1</f>
        <v>0</v>
      </c>
      <c r="DO8" s="352">
        <f>SUMIFS('5. KHBH'!$P$8:$P$11,'5. KHBH'!$Q$8:$Q$11,'7. P&amp;L TOÀN DỰ ÁN'!DO$3,'5. KHBH'!$I$8:$I$11,'7. P&amp;L TOÀN DỰ ÁN'!$B8)/1.1</f>
        <v>0</v>
      </c>
      <c r="DP8" s="352">
        <f>SUMIFS('5. KHBH'!$P$8:$P$11,'5. KHBH'!$Q$8:$Q$11,'7. P&amp;L TOÀN DỰ ÁN'!DP$3,'5. KHBH'!$I$8:$I$11,'7. P&amp;L TOÀN DỰ ÁN'!$B8)/1.1</f>
        <v>0</v>
      </c>
      <c r="DQ8" s="352">
        <f>SUMIFS('5. KHBH'!$P$8:$P$11,'5. KHBH'!$Q$8:$Q$11,'7. P&amp;L TOÀN DỰ ÁN'!DQ$3,'5. KHBH'!$I$8:$I$11,'7. P&amp;L TOÀN DỰ ÁN'!$B8)/1.1</f>
        <v>0</v>
      </c>
      <c r="DR8" s="352">
        <f>SUMIFS('5. KHBH'!$P$8:$P$11,'5. KHBH'!$Q$8:$Q$11,'7. P&amp;L TOÀN DỰ ÁN'!DR$3,'5. KHBH'!$I$8:$I$11,'7. P&amp;L TOÀN DỰ ÁN'!$B8)/1.1</f>
        <v>0</v>
      </c>
      <c r="DS8" s="352">
        <f>SUMIFS('5. KHBH'!$P$8:$P$11,'5. KHBH'!$Q$8:$Q$11,'7. P&amp;L TOÀN DỰ ÁN'!DS$3,'5. KHBH'!$I$8:$I$11,'7. P&amp;L TOÀN DỰ ÁN'!$B8)/1.1</f>
        <v>0</v>
      </c>
      <c r="DT8" s="352">
        <f>SUMIFS('5. KHBH'!$P$8:$P$11,'5. KHBH'!$Q$8:$Q$11,'7. P&amp;L TOÀN DỰ ÁN'!DT$3,'5. KHBH'!$I$8:$I$11,'7. P&amp;L TOÀN DỰ ÁN'!$B8)/1.1</f>
        <v>0</v>
      </c>
      <c r="DU8" s="352">
        <f>SUMIFS('5. KHBH'!$P$8:$P$11,'5. KHBH'!$Q$8:$Q$11,'7. P&amp;L TOÀN DỰ ÁN'!DU$3,'5. KHBH'!$I$8:$I$11,'7. P&amp;L TOÀN DỰ ÁN'!$B8)/1.1</f>
        <v>0</v>
      </c>
      <c r="DV8" s="352">
        <f>SUMIFS('5. KHBH'!$P$8:$P$11,'5. KHBH'!$Q$8:$Q$11,'7. P&amp;L TOÀN DỰ ÁN'!DV$3,'5. KHBH'!$I$8:$I$11,'7. P&amp;L TOÀN DỰ ÁN'!$B8)/1.1</f>
        <v>0</v>
      </c>
      <c r="DW8" s="352">
        <f>SUMIFS('5. KHBH'!$P$8:$P$11,'5. KHBH'!$Q$8:$Q$11,'7. P&amp;L TOÀN DỰ ÁN'!DW$3,'5. KHBH'!$I$8:$I$11,'7. P&amp;L TOÀN DỰ ÁN'!$B8)/1.1</f>
        <v>0</v>
      </c>
      <c r="DX8" s="352">
        <f>SUMIFS('5. KHBH'!$P$8:$P$11,'5. KHBH'!$Q$8:$Q$11,'7. P&amp;L TOÀN DỰ ÁN'!DX$3,'5. KHBH'!$I$8:$I$11,'7. P&amp;L TOÀN DỰ ÁN'!$B8)/1.1</f>
        <v>0</v>
      </c>
      <c r="DY8" s="352">
        <f>SUMIFS('5. KHBH'!$P$8:$P$11,'5. KHBH'!$Q$8:$Q$11,'7. P&amp;L TOÀN DỰ ÁN'!DY$3,'5. KHBH'!$I$8:$I$11,'7. P&amp;L TOÀN DỰ ÁN'!$B8)/1.1</f>
        <v>0</v>
      </c>
      <c r="DZ8" s="352">
        <f>SUMIFS('5. KHBH'!$P$8:$P$11,'5. KHBH'!$Q$8:$Q$11,'7. P&amp;L TOÀN DỰ ÁN'!DZ$3,'5. KHBH'!$I$8:$I$11,'7. P&amp;L TOÀN DỰ ÁN'!$B8)/1.1</f>
        <v>0</v>
      </c>
      <c r="EA8" s="352">
        <f>SUMIFS('5. KHBH'!$P$8:$P$11,'5. KHBH'!$Q$8:$Q$11,'7. P&amp;L TOÀN DỰ ÁN'!EA$3,'5. KHBH'!$I$8:$I$11,'7. P&amp;L TOÀN DỰ ÁN'!$B8)/1.1</f>
        <v>0</v>
      </c>
      <c r="EB8" s="352">
        <f>SUMIFS('5. KHBH'!$P$8:$P$11,'5. KHBH'!$Q$8:$Q$11,'7. P&amp;L TOÀN DỰ ÁN'!EB$3,'5. KHBH'!$I$8:$I$11,'7. P&amp;L TOÀN DỰ ÁN'!$B8)/1.1</f>
        <v>0</v>
      </c>
      <c r="EC8" s="352">
        <f>SUMIFS('5. KHBH'!$P$8:$P$11,'5. KHBH'!$Q$8:$Q$11,'7. P&amp;L TOÀN DỰ ÁN'!EC$3,'5. KHBH'!$I$8:$I$11,'7. P&amp;L TOÀN DỰ ÁN'!$B8)/1.1</f>
        <v>0</v>
      </c>
      <c r="ED8" s="352">
        <f>SUMIFS('5. KHBH'!$P$8:$P$11,'5. KHBH'!$Q$8:$Q$11,'7. P&amp;L TOÀN DỰ ÁN'!ED$3,'5. KHBH'!$I$8:$I$11,'7. P&amp;L TOÀN DỰ ÁN'!$B8)/1.1</f>
        <v>0</v>
      </c>
      <c r="EE8" s="352">
        <f>SUMIFS('5. KHBH'!$P$8:$P$11,'5. KHBH'!$Q$8:$Q$11,'7. P&amp;L TOÀN DỰ ÁN'!EE$3,'5. KHBH'!$I$8:$I$11,'7. P&amp;L TOÀN DỰ ÁN'!$B8)/1.1</f>
        <v>0</v>
      </c>
      <c r="EF8" s="352">
        <f>SUMIFS('5. KHBH'!$P$8:$P$11,'5. KHBH'!$Q$8:$Q$11,'7. P&amp;L TOÀN DỰ ÁN'!EF$3,'5. KHBH'!$I$8:$I$11,'7. P&amp;L TOÀN DỰ ÁN'!$B8)/1.1</f>
        <v>0</v>
      </c>
      <c r="EG8" s="352">
        <f>SUMIFS('5. KHBH'!$P$8:$P$11,'5. KHBH'!$Q$8:$Q$11,'7. P&amp;L TOÀN DỰ ÁN'!EG$3,'5. KHBH'!$I$8:$I$11,'7. P&amp;L TOÀN DỰ ÁN'!$B8)/1.1</f>
        <v>0</v>
      </c>
      <c r="EH8" s="352">
        <f>SUMIFS('5. KHBH'!$P$8:$P$11,'5. KHBH'!$Q$8:$Q$11,'7. P&amp;L TOÀN DỰ ÁN'!EH$3,'5. KHBH'!$I$8:$I$11,'7. P&amp;L TOÀN DỰ ÁN'!$B8)/1.1</f>
        <v>0</v>
      </c>
      <c r="EI8" s="352">
        <f>SUMIFS('5. KHBH'!$P$8:$P$11,'5. KHBH'!$Q$8:$Q$11,'7. P&amp;L TOÀN DỰ ÁN'!EI$3,'5. KHBH'!$I$8:$I$11,'7. P&amp;L TOÀN DỰ ÁN'!$B8)/1.1</f>
        <v>0</v>
      </c>
      <c r="EJ8" s="352">
        <f>SUMIFS('5. KHBH'!$P$8:$P$11,'5. KHBH'!$Q$8:$Q$11,'7. P&amp;L TOÀN DỰ ÁN'!EJ$3,'5. KHBH'!$I$8:$I$11,'7. P&amp;L TOÀN DỰ ÁN'!$B8)/1.1</f>
        <v>0</v>
      </c>
      <c r="EK8" s="352">
        <f>SUMIFS('5. KHBH'!$P$8:$P$11,'5. KHBH'!$Q$8:$Q$11,'7. P&amp;L TOÀN DỰ ÁN'!EK$3,'5. KHBH'!$I$8:$I$11,'7. P&amp;L TOÀN DỰ ÁN'!$B8)/1.1</f>
        <v>0</v>
      </c>
      <c r="EL8" s="352">
        <f>SUMIFS('5. KHBH'!$P$8:$P$11,'5. KHBH'!$Q$8:$Q$11,'7. P&amp;L TOÀN DỰ ÁN'!EL$3,'5. KHBH'!$I$8:$I$11,'7. P&amp;L TOÀN DỰ ÁN'!$B8)/1.1</f>
        <v>0</v>
      </c>
      <c r="EM8" s="352">
        <f>SUMIFS('5. KHBH'!$P$8:$P$11,'5. KHBH'!$Q$8:$Q$11,'7. P&amp;L TOÀN DỰ ÁN'!EM$3,'5. KHBH'!$I$8:$I$11,'7. P&amp;L TOÀN DỰ ÁN'!$B8)/1.1</f>
        <v>0</v>
      </c>
      <c r="EN8" s="353">
        <f t="shared" si="2"/>
        <v>0</v>
      </c>
      <c r="EO8" s="353">
        <f t="shared" si="2"/>
        <v>0</v>
      </c>
      <c r="EP8" s="353">
        <f t="shared" si="2"/>
        <v>0</v>
      </c>
      <c r="EQ8" s="353">
        <f t="shared" si="2"/>
        <v>0</v>
      </c>
      <c r="ER8" s="353">
        <f t="shared" si="2"/>
        <v>0</v>
      </c>
      <c r="ES8" s="353">
        <f t="shared" si="2"/>
        <v>0</v>
      </c>
      <c r="ET8" s="353">
        <f t="shared" si="2"/>
        <v>0</v>
      </c>
      <c r="EU8" s="353">
        <f t="shared" si="2"/>
        <v>0</v>
      </c>
      <c r="EV8" s="353">
        <f t="shared" si="2"/>
        <v>0</v>
      </c>
      <c r="EW8" s="353">
        <f t="shared" si="2"/>
        <v>0</v>
      </c>
      <c r="EX8" s="353">
        <f t="shared" si="3"/>
        <v>0</v>
      </c>
      <c r="EY8" s="353">
        <f t="shared" si="3"/>
        <v>0</v>
      </c>
      <c r="EZ8" s="353">
        <f t="shared" si="3"/>
        <v>0</v>
      </c>
      <c r="FA8" s="353">
        <f t="shared" si="3"/>
        <v>0</v>
      </c>
      <c r="FB8" s="353">
        <f t="shared" si="3"/>
        <v>0</v>
      </c>
      <c r="FC8" s="353">
        <f t="shared" si="3"/>
        <v>0</v>
      </c>
      <c r="FD8" s="353">
        <f t="shared" si="3"/>
        <v>0</v>
      </c>
      <c r="FE8" s="353">
        <f t="shared" si="3"/>
        <v>0</v>
      </c>
      <c r="FF8" s="353">
        <f t="shared" si="3"/>
        <v>0</v>
      </c>
      <c r="FG8" s="353">
        <f t="shared" si="3"/>
        <v>0</v>
      </c>
      <c r="FH8" s="353">
        <f t="shared" si="4"/>
        <v>0</v>
      </c>
      <c r="FI8" s="353">
        <f t="shared" si="4"/>
        <v>304398863636.36359</v>
      </c>
      <c r="FJ8" s="353">
        <f t="shared" si="4"/>
        <v>0</v>
      </c>
      <c r="FK8" s="353">
        <f t="shared" si="4"/>
        <v>0</v>
      </c>
      <c r="FL8" s="353">
        <f t="shared" si="4"/>
        <v>0</v>
      </c>
      <c r="FM8" s="353">
        <f t="shared" si="4"/>
        <v>0</v>
      </c>
      <c r="FN8" s="353">
        <f t="shared" si="4"/>
        <v>0</v>
      </c>
      <c r="FO8" s="353">
        <f t="shared" si="4"/>
        <v>0</v>
      </c>
      <c r="FP8" s="353">
        <f t="shared" si="4"/>
        <v>0</v>
      </c>
      <c r="FQ8" s="353">
        <f t="shared" si="4"/>
        <v>0</v>
      </c>
      <c r="FR8" s="353">
        <f t="shared" si="5"/>
        <v>0</v>
      </c>
      <c r="FS8" s="353">
        <f t="shared" si="5"/>
        <v>0</v>
      </c>
      <c r="FT8" s="353">
        <f t="shared" si="5"/>
        <v>0</v>
      </c>
      <c r="FU8" s="353">
        <f t="shared" si="5"/>
        <v>0</v>
      </c>
      <c r="FV8" s="353">
        <f t="shared" si="5"/>
        <v>0</v>
      </c>
      <c r="FW8" s="353">
        <f t="shared" si="5"/>
        <v>0</v>
      </c>
      <c r="FX8" s="353">
        <f t="shared" si="5"/>
        <v>0</v>
      </c>
      <c r="FY8" s="353">
        <f t="shared" si="5"/>
        <v>0</v>
      </c>
      <c r="FZ8" s="353">
        <f t="shared" si="5"/>
        <v>0</v>
      </c>
      <c r="GA8" s="353">
        <f t="shared" si="5"/>
        <v>0</v>
      </c>
      <c r="GB8" s="353">
        <f t="shared" si="5"/>
        <v>0</v>
      </c>
    </row>
    <row r="9" spans="1:184">
      <c r="A9" s="559" t="s">
        <v>18</v>
      </c>
      <c r="B9" s="560" t="s">
        <v>159</v>
      </c>
      <c r="C9" s="561">
        <f>SUM(C10:C13)</f>
        <v>1087206131155.1628</v>
      </c>
      <c r="D9" s="562">
        <f>SUM(D10:D13)</f>
        <v>57702.751999999993</v>
      </c>
      <c r="E9" s="354"/>
      <c r="F9" s="354"/>
      <c r="G9" s="354"/>
      <c r="H9" s="354"/>
      <c r="I9" s="354"/>
      <c r="J9" s="354"/>
      <c r="K9" s="354"/>
      <c r="L9" s="354"/>
      <c r="M9" s="354"/>
      <c r="N9" s="354"/>
      <c r="O9" s="354"/>
      <c r="P9" s="354"/>
      <c r="Q9" s="354"/>
      <c r="R9" s="354"/>
      <c r="S9" s="354"/>
      <c r="T9" s="354"/>
      <c r="U9" s="354"/>
      <c r="V9" s="354"/>
      <c r="W9" s="354"/>
      <c r="X9" s="354"/>
      <c r="Y9" s="354"/>
      <c r="Z9" s="354"/>
      <c r="AA9" s="354"/>
      <c r="AB9" s="354"/>
      <c r="AC9" s="354"/>
      <c r="AD9" s="354"/>
      <c r="AE9" s="354"/>
      <c r="AF9" s="354"/>
      <c r="AG9" s="354"/>
      <c r="AH9" s="354"/>
      <c r="AI9" s="354"/>
      <c r="AJ9" s="354"/>
      <c r="AK9" s="354"/>
      <c r="AL9" s="354"/>
      <c r="AM9" s="354"/>
      <c r="AN9" s="354"/>
      <c r="AO9" s="354"/>
      <c r="AP9" s="354"/>
      <c r="AQ9" s="354"/>
      <c r="AR9" s="354"/>
      <c r="AS9" s="354"/>
      <c r="AT9" s="354"/>
      <c r="AU9" s="354"/>
      <c r="AV9" s="354"/>
      <c r="AW9" s="354"/>
      <c r="AX9" s="354"/>
      <c r="AY9" s="354"/>
      <c r="AZ9" s="354"/>
      <c r="BA9" s="354"/>
      <c r="BB9" s="354"/>
      <c r="BC9" s="354"/>
      <c r="BD9" s="354"/>
      <c r="BE9" s="354"/>
      <c r="BF9" s="354"/>
      <c r="BG9" s="354"/>
      <c r="BH9" s="354"/>
      <c r="BI9" s="354"/>
      <c r="BJ9" s="354"/>
      <c r="BK9" s="354"/>
      <c r="BL9" s="354"/>
      <c r="BM9" s="354"/>
      <c r="BN9" s="354"/>
      <c r="BO9" s="354"/>
      <c r="BP9" s="354"/>
      <c r="BQ9" s="354"/>
      <c r="BR9" s="354"/>
      <c r="BS9" s="354"/>
      <c r="BT9" s="354"/>
      <c r="BU9" s="354"/>
      <c r="BV9" s="354"/>
      <c r="BW9" s="354"/>
      <c r="BX9" s="354"/>
      <c r="BY9" s="354"/>
      <c r="BZ9" s="354"/>
      <c r="CA9" s="354"/>
      <c r="CB9" s="354"/>
      <c r="CC9" s="354"/>
      <c r="CD9" s="354"/>
      <c r="CE9" s="354"/>
      <c r="CF9" s="354"/>
      <c r="CG9" s="354"/>
      <c r="CH9" s="354"/>
      <c r="CI9" s="354"/>
      <c r="CJ9" s="354"/>
      <c r="CK9" s="354"/>
      <c r="CL9" s="354"/>
      <c r="CM9" s="354"/>
      <c r="CN9" s="354"/>
      <c r="CO9" s="354"/>
      <c r="CP9" s="354"/>
      <c r="CQ9" s="354"/>
      <c r="CR9" s="354"/>
      <c r="CS9" s="354"/>
      <c r="CT9" s="354"/>
      <c r="CU9" s="354"/>
      <c r="CV9" s="354"/>
      <c r="CW9" s="354"/>
      <c r="CX9" s="354"/>
      <c r="CY9" s="354"/>
      <c r="CZ9" s="354"/>
      <c r="DA9" s="354"/>
      <c r="DB9" s="354"/>
      <c r="DC9" s="354"/>
      <c r="DD9" s="354"/>
      <c r="DE9" s="354"/>
      <c r="DF9" s="354"/>
      <c r="DG9" s="354"/>
      <c r="DH9" s="354"/>
      <c r="DI9" s="354"/>
      <c r="DJ9" s="354"/>
      <c r="DK9" s="354"/>
      <c r="DL9" s="354"/>
      <c r="DM9" s="354"/>
      <c r="DN9" s="354"/>
      <c r="DO9" s="354"/>
      <c r="DP9" s="354"/>
      <c r="DQ9" s="354"/>
      <c r="DR9" s="354"/>
      <c r="DS9" s="354"/>
      <c r="DT9" s="354"/>
      <c r="DU9" s="354"/>
      <c r="DV9" s="354"/>
      <c r="DW9" s="354"/>
      <c r="DX9" s="354"/>
      <c r="DY9" s="354"/>
      <c r="DZ9" s="354"/>
      <c r="EA9" s="354"/>
      <c r="EB9" s="354"/>
      <c r="EC9" s="354"/>
      <c r="ED9" s="354"/>
      <c r="EE9" s="354"/>
      <c r="EF9" s="354"/>
      <c r="EG9" s="354"/>
      <c r="EH9" s="354"/>
      <c r="EI9" s="354"/>
      <c r="EJ9" s="354"/>
      <c r="EK9" s="354"/>
      <c r="EL9" s="354"/>
      <c r="EM9" s="354"/>
      <c r="EN9" s="354">
        <f t="shared" ref="EN9:GB9" si="9">SUM(EN10:EN13)</f>
        <v>0</v>
      </c>
      <c r="EO9" s="354">
        <f t="shared" si="9"/>
        <v>0</v>
      </c>
      <c r="EP9" s="354">
        <f t="shared" si="9"/>
        <v>0</v>
      </c>
      <c r="EQ9" s="354">
        <f t="shared" si="9"/>
        <v>0</v>
      </c>
      <c r="ER9" s="354">
        <f t="shared" si="9"/>
        <v>0</v>
      </c>
      <c r="ES9" s="354">
        <f t="shared" si="9"/>
        <v>0</v>
      </c>
      <c r="ET9" s="354">
        <f t="shared" si="9"/>
        <v>0</v>
      </c>
      <c r="EU9" s="354">
        <f t="shared" si="9"/>
        <v>0</v>
      </c>
      <c r="EV9" s="354">
        <f t="shared" si="9"/>
        <v>0</v>
      </c>
      <c r="EW9" s="354">
        <f t="shared" si="9"/>
        <v>0</v>
      </c>
      <c r="EX9" s="354">
        <f t="shared" si="9"/>
        <v>0</v>
      </c>
      <c r="EY9" s="354">
        <f t="shared" si="9"/>
        <v>0</v>
      </c>
      <c r="EZ9" s="354">
        <f t="shared" si="9"/>
        <v>0</v>
      </c>
      <c r="FA9" s="354">
        <f t="shared" si="9"/>
        <v>0</v>
      </c>
      <c r="FB9" s="354">
        <f t="shared" si="9"/>
        <v>0</v>
      </c>
      <c r="FC9" s="354">
        <f t="shared" si="9"/>
        <v>0</v>
      </c>
      <c r="FD9" s="354">
        <f t="shared" si="9"/>
        <v>0</v>
      </c>
      <c r="FE9" s="354">
        <f t="shared" si="9"/>
        <v>0</v>
      </c>
      <c r="FF9" s="354">
        <f t="shared" si="9"/>
        <v>0</v>
      </c>
      <c r="FG9" s="354">
        <f t="shared" si="9"/>
        <v>0</v>
      </c>
      <c r="FH9" s="354">
        <f t="shared" si="9"/>
        <v>0</v>
      </c>
      <c r="FI9" s="354">
        <f t="shared" si="9"/>
        <v>541260472633.31543</v>
      </c>
      <c r="FJ9" s="354">
        <f t="shared" si="9"/>
        <v>0</v>
      </c>
      <c r="FK9" s="354">
        <f t="shared" si="9"/>
        <v>0</v>
      </c>
      <c r="FL9" s="354">
        <f t="shared" si="9"/>
        <v>0</v>
      </c>
      <c r="FM9" s="354">
        <f t="shared" si="9"/>
        <v>298558599571.43347</v>
      </c>
      <c r="FN9" s="354">
        <f t="shared" si="9"/>
        <v>0</v>
      </c>
      <c r="FO9" s="354">
        <f t="shared" si="9"/>
        <v>0</v>
      </c>
      <c r="FP9" s="354">
        <f t="shared" si="9"/>
        <v>0</v>
      </c>
      <c r="FQ9" s="354">
        <f t="shared" si="9"/>
        <v>247387058950.41388</v>
      </c>
      <c r="FR9" s="354">
        <f t="shared" si="9"/>
        <v>0</v>
      </c>
      <c r="FS9" s="354">
        <f t="shared" si="9"/>
        <v>0</v>
      </c>
      <c r="FT9" s="354">
        <f t="shared" si="9"/>
        <v>0</v>
      </c>
      <c r="FU9" s="354">
        <f t="shared" si="9"/>
        <v>0</v>
      </c>
      <c r="FV9" s="354">
        <f t="shared" si="9"/>
        <v>0</v>
      </c>
      <c r="FW9" s="354">
        <f t="shared" si="9"/>
        <v>0</v>
      </c>
      <c r="FX9" s="354">
        <f t="shared" si="9"/>
        <v>0</v>
      </c>
      <c r="FY9" s="354">
        <f t="shared" si="9"/>
        <v>0</v>
      </c>
      <c r="FZ9" s="354">
        <f t="shared" si="9"/>
        <v>0</v>
      </c>
      <c r="GA9" s="354">
        <f t="shared" si="9"/>
        <v>0</v>
      </c>
      <c r="GB9" s="354">
        <f t="shared" si="9"/>
        <v>0</v>
      </c>
    </row>
    <row r="10" spans="1:184">
      <c r="A10" s="566">
        <f>A5</f>
        <v>1</v>
      </c>
      <c r="B10" s="564" t="str">
        <f>B5</f>
        <v>Nhà ở xã hội 1</v>
      </c>
      <c r="C10" s="567">
        <f>SUMIFS('6. PBChiPhi'!$E$19:$H$19,'6. PBChiPhi'!$E$5:$H$5,'7. P&amp;L TOÀN DỰ ÁN'!$B10)</f>
        <v>367066514516.49829</v>
      </c>
      <c r="D10" s="567">
        <f>SUMIF('5. KHBH'!$I$8:$I$11,B5,'5. KHBH'!$M$8:$M$11)</f>
        <v>21461.747999999996</v>
      </c>
      <c r="E10" s="355"/>
      <c r="F10" s="355"/>
      <c r="G10" s="355"/>
      <c r="H10" s="355"/>
      <c r="I10" s="355"/>
      <c r="J10" s="355"/>
      <c r="K10" s="355"/>
      <c r="L10" s="355"/>
      <c r="M10" s="355"/>
      <c r="N10" s="355"/>
      <c r="O10" s="355"/>
      <c r="P10" s="355"/>
      <c r="Q10" s="355"/>
      <c r="R10" s="355"/>
      <c r="S10" s="355"/>
      <c r="T10" s="355"/>
      <c r="U10" s="355"/>
      <c r="V10" s="355"/>
      <c r="W10" s="355"/>
      <c r="X10" s="355"/>
      <c r="Y10" s="355"/>
      <c r="Z10" s="355"/>
      <c r="AA10" s="355"/>
      <c r="AB10" s="355"/>
      <c r="AC10" s="355"/>
      <c r="AD10" s="355"/>
      <c r="AE10" s="355"/>
      <c r="AF10" s="355"/>
      <c r="AG10" s="355"/>
      <c r="AH10" s="355"/>
      <c r="AI10" s="355"/>
      <c r="AJ10" s="355"/>
      <c r="AK10" s="355"/>
      <c r="AL10" s="355"/>
      <c r="AM10" s="355"/>
      <c r="AN10" s="355"/>
      <c r="AO10" s="355"/>
      <c r="AP10" s="355"/>
      <c r="AQ10" s="355"/>
      <c r="AR10" s="355"/>
      <c r="AS10" s="355"/>
      <c r="AT10" s="355"/>
      <c r="AU10" s="355"/>
      <c r="AV10" s="355"/>
      <c r="AW10" s="355"/>
      <c r="AX10" s="355"/>
      <c r="AY10" s="355"/>
      <c r="AZ10" s="355"/>
      <c r="BA10" s="355"/>
      <c r="BB10" s="355"/>
      <c r="BC10" s="355"/>
      <c r="BD10" s="355"/>
      <c r="BE10" s="355"/>
      <c r="BF10" s="355"/>
      <c r="BG10" s="355"/>
      <c r="BH10" s="355"/>
      <c r="BI10" s="355"/>
      <c r="BJ10" s="355"/>
      <c r="BK10" s="355"/>
      <c r="BL10" s="355"/>
      <c r="BM10" s="355"/>
      <c r="BN10" s="355"/>
      <c r="BO10" s="355"/>
      <c r="BP10" s="355"/>
      <c r="BQ10" s="355"/>
      <c r="BR10" s="355"/>
      <c r="BS10" s="355"/>
      <c r="BT10" s="355"/>
      <c r="BU10" s="355"/>
      <c r="BV10" s="355"/>
      <c r="BW10" s="355"/>
      <c r="BX10" s="355"/>
      <c r="BY10" s="355"/>
      <c r="BZ10" s="355"/>
      <c r="CA10" s="355"/>
      <c r="CB10" s="355"/>
      <c r="CC10" s="355"/>
      <c r="CD10" s="355"/>
      <c r="CE10" s="355"/>
      <c r="CF10" s="355"/>
      <c r="CG10" s="355"/>
      <c r="CH10" s="355"/>
      <c r="CI10" s="355"/>
      <c r="CJ10" s="355"/>
      <c r="CK10" s="355"/>
      <c r="CL10" s="355"/>
      <c r="CM10" s="355"/>
      <c r="CN10" s="355"/>
      <c r="CO10" s="355"/>
      <c r="CP10" s="355"/>
      <c r="CQ10" s="355"/>
      <c r="CR10" s="355"/>
      <c r="CS10" s="355"/>
      <c r="CT10" s="355"/>
      <c r="CU10" s="355"/>
      <c r="CV10" s="355"/>
      <c r="CW10" s="355"/>
      <c r="CX10" s="355"/>
      <c r="CY10" s="355"/>
      <c r="CZ10" s="355"/>
      <c r="DA10" s="355"/>
      <c r="DB10" s="355"/>
      <c r="DC10" s="355"/>
      <c r="DD10" s="355"/>
      <c r="DE10" s="355"/>
      <c r="DF10" s="355"/>
      <c r="DG10" s="355"/>
      <c r="DH10" s="355"/>
      <c r="DI10" s="355"/>
      <c r="DJ10" s="355"/>
      <c r="DK10" s="355"/>
      <c r="DL10" s="355"/>
      <c r="DM10" s="355"/>
      <c r="DN10" s="355"/>
      <c r="DO10" s="355"/>
      <c r="DP10" s="355"/>
      <c r="DQ10" s="355"/>
      <c r="DR10" s="355"/>
      <c r="DS10" s="355"/>
      <c r="DT10" s="355"/>
      <c r="DU10" s="355"/>
      <c r="DV10" s="355"/>
      <c r="DW10" s="355"/>
      <c r="DX10" s="355"/>
      <c r="DY10" s="355"/>
      <c r="DZ10" s="355"/>
      <c r="EA10" s="355"/>
      <c r="EB10" s="355"/>
      <c r="EC10" s="355"/>
      <c r="ED10" s="355"/>
      <c r="EE10" s="355"/>
      <c r="EF10" s="355"/>
      <c r="EG10" s="355"/>
      <c r="EH10" s="355"/>
      <c r="EI10" s="355"/>
      <c r="EJ10" s="355"/>
      <c r="EK10" s="355"/>
      <c r="EL10" s="355"/>
      <c r="EM10" s="355"/>
      <c r="EN10" s="355">
        <f t="shared" ref="EN10:GB10" si="10">+EN5*$C10/$C5</f>
        <v>0</v>
      </c>
      <c r="EO10" s="355">
        <f t="shared" si="10"/>
        <v>0</v>
      </c>
      <c r="EP10" s="355">
        <f t="shared" si="10"/>
        <v>0</v>
      </c>
      <c r="EQ10" s="355">
        <f t="shared" si="10"/>
        <v>0</v>
      </c>
      <c r="ER10" s="355">
        <f t="shared" si="10"/>
        <v>0</v>
      </c>
      <c r="ES10" s="355">
        <f t="shared" si="10"/>
        <v>0</v>
      </c>
      <c r="ET10" s="355">
        <f t="shared" si="10"/>
        <v>0</v>
      </c>
      <c r="EU10" s="355">
        <f t="shared" si="10"/>
        <v>0</v>
      </c>
      <c r="EV10" s="355">
        <f t="shared" si="10"/>
        <v>0</v>
      </c>
      <c r="EW10" s="355">
        <f t="shared" si="10"/>
        <v>0</v>
      </c>
      <c r="EX10" s="355">
        <f t="shared" si="10"/>
        <v>0</v>
      </c>
      <c r="EY10" s="355">
        <f t="shared" si="10"/>
        <v>0</v>
      </c>
      <c r="EZ10" s="355">
        <f t="shared" si="10"/>
        <v>0</v>
      </c>
      <c r="FA10" s="355">
        <f t="shared" si="10"/>
        <v>0</v>
      </c>
      <c r="FB10" s="355">
        <f t="shared" si="10"/>
        <v>0</v>
      </c>
      <c r="FC10" s="355">
        <f t="shared" si="10"/>
        <v>0</v>
      </c>
      <c r="FD10" s="355">
        <f t="shared" si="10"/>
        <v>0</v>
      </c>
      <c r="FE10" s="355">
        <f t="shared" si="10"/>
        <v>0</v>
      </c>
      <c r="FF10" s="355">
        <f t="shared" si="10"/>
        <v>0</v>
      </c>
      <c r="FG10" s="355">
        <f t="shared" si="10"/>
        <v>0</v>
      </c>
      <c r="FH10" s="355">
        <f t="shared" si="10"/>
        <v>0</v>
      </c>
      <c r="FI10" s="355">
        <f t="shared" si="10"/>
        <v>367066514516.49829</v>
      </c>
      <c r="FJ10" s="355">
        <f t="shared" si="10"/>
        <v>0</v>
      </c>
      <c r="FK10" s="355">
        <f t="shared" si="10"/>
        <v>0</v>
      </c>
      <c r="FL10" s="355">
        <f t="shared" si="10"/>
        <v>0</v>
      </c>
      <c r="FM10" s="355">
        <f t="shared" si="10"/>
        <v>0</v>
      </c>
      <c r="FN10" s="355">
        <f t="shared" si="10"/>
        <v>0</v>
      </c>
      <c r="FO10" s="355">
        <f t="shared" si="10"/>
        <v>0</v>
      </c>
      <c r="FP10" s="355">
        <f t="shared" si="10"/>
        <v>0</v>
      </c>
      <c r="FQ10" s="355">
        <f t="shared" si="10"/>
        <v>0</v>
      </c>
      <c r="FR10" s="355">
        <f t="shared" si="10"/>
        <v>0</v>
      </c>
      <c r="FS10" s="355">
        <f t="shared" si="10"/>
        <v>0</v>
      </c>
      <c r="FT10" s="355">
        <f t="shared" si="10"/>
        <v>0</v>
      </c>
      <c r="FU10" s="355">
        <f t="shared" si="10"/>
        <v>0</v>
      </c>
      <c r="FV10" s="355">
        <f t="shared" si="10"/>
        <v>0</v>
      </c>
      <c r="FW10" s="355">
        <f t="shared" si="10"/>
        <v>0</v>
      </c>
      <c r="FX10" s="355">
        <f t="shared" si="10"/>
        <v>0</v>
      </c>
      <c r="FY10" s="355">
        <f t="shared" si="10"/>
        <v>0</v>
      </c>
      <c r="FZ10" s="355">
        <f t="shared" si="10"/>
        <v>0</v>
      </c>
      <c r="GA10" s="355">
        <f t="shared" si="10"/>
        <v>0</v>
      </c>
      <c r="GB10" s="355">
        <f t="shared" si="10"/>
        <v>0</v>
      </c>
    </row>
    <row r="11" spans="1:184">
      <c r="A11" s="566">
        <f>A6</f>
        <v>2</v>
      </c>
      <c r="B11" s="564" t="str">
        <f>B6</f>
        <v>Nhà ở xã hội 2</v>
      </c>
      <c r="C11" s="567">
        <f>SUMIFS('6. PBChiPhi'!$E$19:$H$19,'6. PBChiPhi'!$E$5:$H$5,'7. P&amp;L TOÀN DỰ ÁN'!$B11)</f>
        <v>298558599571.43347</v>
      </c>
      <c r="D11" s="567">
        <f>SUMIF('5. KHBH'!$I$8:$I$11,B6,'5. KHBH'!$M$8:$M$11)</f>
        <v>17456.207999999999</v>
      </c>
      <c r="E11" s="355"/>
      <c r="F11" s="355"/>
      <c r="G11" s="355"/>
      <c r="H11" s="355"/>
      <c r="I11" s="355"/>
      <c r="J11" s="355"/>
      <c r="K11" s="355"/>
      <c r="L11" s="355"/>
      <c r="M11" s="355"/>
      <c r="N11" s="355"/>
      <c r="O11" s="355"/>
      <c r="P11" s="355"/>
      <c r="Q11" s="355"/>
      <c r="R11" s="355"/>
      <c r="S11" s="355"/>
      <c r="T11" s="355"/>
      <c r="U11" s="355"/>
      <c r="V11" s="355"/>
      <c r="W11" s="355"/>
      <c r="X11" s="355"/>
      <c r="Y11" s="355"/>
      <c r="Z11" s="355"/>
      <c r="AA11" s="355"/>
      <c r="AB11" s="355"/>
      <c r="AC11" s="355"/>
      <c r="AD11" s="355"/>
      <c r="AE11" s="355"/>
      <c r="AF11" s="355"/>
      <c r="AG11" s="355"/>
      <c r="AH11" s="355"/>
      <c r="AI11" s="355"/>
      <c r="AJ11" s="355"/>
      <c r="AK11" s="355"/>
      <c r="AL11" s="355"/>
      <c r="AM11" s="355"/>
      <c r="AN11" s="355"/>
      <c r="AO11" s="355"/>
      <c r="AP11" s="355"/>
      <c r="AQ11" s="355"/>
      <c r="AR11" s="355"/>
      <c r="AS11" s="355"/>
      <c r="AT11" s="355"/>
      <c r="AU11" s="355"/>
      <c r="AV11" s="355"/>
      <c r="AW11" s="355"/>
      <c r="AX11" s="355"/>
      <c r="AY11" s="355"/>
      <c r="AZ11" s="355"/>
      <c r="BA11" s="355"/>
      <c r="BB11" s="355"/>
      <c r="BC11" s="355"/>
      <c r="BD11" s="355"/>
      <c r="BE11" s="355"/>
      <c r="BF11" s="355"/>
      <c r="BG11" s="355"/>
      <c r="BH11" s="355"/>
      <c r="BI11" s="355"/>
      <c r="BJ11" s="355"/>
      <c r="BK11" s="355"/>
      <c r="BL11" s="355"/>
      <c r="BM11" s="355"/>
      <c r="BN11" s="355"/>
      <c r="BO11" s="355"/>
      <c r="BP11" s="355"/>
      <c r="BQ11" s="355"/>
      <c r="BR11" s="355"/>
      <c r="BS11" s="355"/>
      <c r="BT11" s="355"/>
      <c r="BU11" s="355"/>
      <c r="BV11" s="355"/>
      <c r="BW11" s="355"/>
      <c r="BX11" s="355"/>
      <c r="BY11" s="355"/>
      <c r="BZ11" s="355"/>
      <c r="CA11" s="355"/>
      <c r="CB11" s="355"/>
      <c r="CC11" s="355"/>
      <c r="CD11" s="355"/>
      <c r="CE11" s="355"/>
      <c r="CF11" s="355"/>
      <c r="CG11" s="355"/>
      <c r="CH11" s="355"/>
      <c r="CI11" s="355"/>
      <c r="CJ11" s="355"/>
      <c r="CK11" s="355"/>
      <c r="CL11" s="355"/>
      <c r="CM11" s="355"/>
      <c r="CN11" s="355"/>
      <c r="CO11" s="355"/>
      <c r="CP11" s="355"/>
      <c r="CQ11" s="355"/>
      <c r="CR11" s="355"/>
      <c r="CS11" s="355"/>
      <c r="CT11" s="355"/>
      <c r="CU11" s="355"/>
      <c r="CV11" s="355"/>
      <c r="CW11" s="355"/>
      <c r="CX11" s="355"/>
      <c r="CY11" s="355"/>
      <c r="CZ11" s="355"/>
      <c r="DA11" s="355"/>
      <c r="DB11" s="355"/>
      <c r="DC11" s="355"/>
      <c r="DD11" s="355"/>
      <c r="DE11" s="355"/>
      <c r="DF11" s="355"/>
      <c r="DG11" s="355"/>
      <c r="DH11" s="355"/>
      <c r="DI11" s="355"/>
      <c r="DJ11" s="355"/>
      <c r="DK11" s="355"/>
      <c r="DL11" s="355"/>
      <c r="DM11" s="355"/>
      <c r="DN11" s="355"/>
      <c r="DO11" s="355"/>
      <c r="DP11" s="355"/>
      <c r="DQ11" s="355"/>
      <c r="DR11" s="355"/>
      <c r="DS11" s="355"/>
      <c r="DT11" s="355"/>
      <c r="DU11" s="355"/>
      <c r="DV11" s="355"/>
      <c r="DW11" s="355"/>
      <c r="DX11" s="355"/>
      <c r="DY11" s="355"/>
      <c r="DZ11" s="355"/>
      <c r="EA11" s="355"/>
      <c r="EB11" s="355"/>
      <c r="EC11" s="355"/>
      <c r="ED11" s="355"/>
      <c r="EE11" s="355"/>
      <c r="EF11" s="355"/>
      <c r="EG11" s="355"/>
      <c r="EH11" s="355"/>
      <c r="EI11" s="355"/>
      <c r="EJ11" s="355"/>
      <c r="EK11" s="355"/>
      <c r="EL11" s="355"/>
      <c r="EM11" s="355"/>
      <c r="EN11" s="355">
        <f t="shared" ref="EN11:GB11" si="11">+EN6*$C11/$C6</f>
        <v>0</v>
      </c>
      <c r="EO11" s="355">
        <f t="shared" si="11"/>
        <v>0</v>
      </c>
      <c r="EP11" s="355">
        <f t="shared" si="11"/>
        <v>0</v>
      </c>
      <c r="EQ11" s="355">
        <f t="shared" si="11"/>
        <v>0</v>
      </c>
      <c r="ER11" s="355">
        <f t="shared" si="11"/>
        <v>0</v>
      </c>
      <c r="ES11" s="355">
        <f t="shared" si="11"/>
        <v>0</v>
      </c>
      <c r="ET11" s="355">
        <f t="shared" si="11"/>
        <v>0</v>
      </c>
      <c r="EU11" s="355">
        <f t="shared" si="11"/>
        <v>0</v>
      </c>
      <c r="EV11" s="355">
        <f t="shared" si="11"/>
        <v>0</v>
      </c>
      <c r="EW11" s="355">
        <f t="shared" si="11"/>
        <v>0</v>
      </c>
      <c r="EX11" s="355">
        <f t="shared" si="11"/>
        <v>0</v>
      </c>
      <c r="EY11" s="355">
        <f t="shared" si="11"/>
        <v>0</v>
      </c>
      <c r="EZ11" s="355">
        <f t="shared" si="11"/>
        <v>0</v>
      </c>
      <c r="FA11" s="355">
        <f t="shared" si="11"/>
        <v>0</v>
      </c>
      <c r="FB11" s="355">
        <f t="shared" si="11"/>
        <v>0</v>
      </c>
      <c r="FC11" s="355">
        <f t="shared" si="11"/>
        <v>0</v>
      </c>
      <c r="FD11" s="355">
        <f t="shared" si="11"/>
        <v>0</v>
      </c>
      <c r="FE11" s="355">
        <f t="shared" si="11"/>
        <v>0</v>
      </c>
      <c r="FF11" s="355">
        <f t="shared" si="11"/>
        <v>0</v>
      </c>
      <c r="FG11" s="355">
        <f t="shared" si="11"/>
        <v>0</v>
      </c>
      <c r="FH11" s="355">
        <f t="shared" si="11"/>
        <v>0</v>
      </c>
      <c r="FI11" s="355">
        <f t="shared" si="11"/>
        <v>0</v>
      </c>
      <c r="FJ11" s="355">
        <f t="shared" si="11"/>
        <v>0</v>
      </c>
      <c r="FK11" s="355">
        <f t="shared" si="11"/>
        <v>0</v>
      </c>
      <c r="FL11" s="355">
        <f t="shared" si="11"/>
        <v>0</v>
      </c>
      <c r="FM11" s="355">
        <f t="shared" si="11"/>
        <v>298558599571.43347</v>
      </c>
      <c r="FN11" s="355">
        <f t="shared" si="11"/>
        <v>0</v>
      </c>
      <c r="FO11" s="355">
        <f t="shared" si="11"/>
        <v>0</v>
      </c>
      <c r="FP11" s="355">
        <f t="shared" si="11"/>
        <v>0</v>
      </c>
      <c r="FQ11" s="355">
        <f t="shared" si="11"/>
        <v>0</v>
      </c>
      <c r="FR11" s="355">
        <f t="shared" si="11"/>
        <v>0</v>
      </c>
      <c r="FS11" s="355">
        <f t="shared" si="11"/>
        <v>0</v>
      </c>
      <c r="FT11" s="355">
        <f t="shared" si="11"/>
        <v>0</v>
      </c>
      <c r="FU11" s="355">
        <f t="shared" si="11"/>
        <v>0</v>
      </c>
      <c r="FV11" s="355">
        <f t="shared" si="11"/>
        <v>0</v>
      </c>
      <c r="FW11" s="355">
        <f t="shared" si="11"/>
        <v>0</v>
      </c>
      <c r="FX11" s="355">
        <f t="shared" si="11"/>
        <v>0</v>
      </c>
      <c r="FY11" s="355">
        <f t="shared" si="11"/>
        <v>0</v>
      </c>
      <c r="FZ11" s="355">
        <f t="shared" si="11"/>
        <v>0</v>
      </c>
      <c r="GA11" s="355">
        <f t="shared" si="11"/>
        <v>0</v>
      </c>
      <c r="GB11" s="355">
        <f t="shared" si="11"/>
        <v>0</v>
      </c>
    </row>
    <row r="12" spans="1:184">
      <c r="A12" s="566">
        <f t="shared" ref="A12:B13" si="12">A7</f>
        <v>3</v>
      </c>
      <c r="B12" s="564" t="str">
        <f t="shared" si="12"/>
        <v>Nhà ở xã hội 3</v>
      </c>
      <c r="C12" s="567">
        <f>SUMIFS('6. PBChiPhi'!$E$19:$H$19,'6. PBChiPhi'!$E$5:$H$5,'7. P&amp;L TOÀN DỰ ÁN'!$B12)</f>
        <v>247387058950.41388</v>
      </c>
      <c r="D12" s="567">
        <f>SUMIF('5. KHBH'!$I$8:$I$11,B7,'5. KHBH'!$M$8:$M$11)</f>
        <v>14464.295999999998</v>
      </c>
      <c r="E12" s="355"/>
      <c r="F12" s="355"/>
      <c r="G12" s="355"/>
      <c r="H12" s="355"/>
      <c r="I12" s="355"/>
      <c r="J12" s="355"/>
      <c r="K12" s="355"/>
      <c r="L12" s="355"/>
      <c r="M12" s="355"/>
      <c r="N12" s="355"/>
      <c r="O12" s="355"/>
      <c r="P12" s="355"/>
      <c r="Q12" s="355"/>
      <c r="R12" s="355"/>
      <c r="S12" s="355"/>
      <c r="T12" s="355"/>
      <c r="U12" s="355"/>
      <c r="V12" s="355"/>
      <c r="W12" s="355"/>
      <c r="X12" s="355"/>
      <c r="Y12" s="355"/>
      <c r="Z12" s="355"/>
      <c r="AA12" s="355"/>
      <c r="AB12" s="355"/>
      <c r="AC12" s="355"/>
      <c r="AD12" s="355"/>
      <c r="AE12" s="355"/>
      <c r="AF12" s="355"/>
      <c r="AG12" s="355"/>
      <c r="AH12" s="355"/>
      <c r="AI12" s="355"/>
      <c r="AJ12" s="355"/>
      <c r="AK12" s="355"/>
      <c r="AL12" s="355"/>
      <c r="AM12" s="355"/>
      <c r="AN12" s="355"/>
      <c r="AO12" s="355"/>
      <c r="AP12" s="355"/>
      <c r="AQ12" s="355"/>
      <c r="AR12" s="355"/>
      <c r="AS12" s="355"/>
      <c r="AT12" s="355"/>
      <c r="AU12" s="355"/>
      <c r="AV12" s="355"/>
      <c r="AW12" s="355"/>
      <c r="AX12" s="355"/>
      <c r="AY12" s="355"/>
      <c r="AZ12" s="355"/>
      <c r="BA12" s="355"/>
      <c r="BB12" s="355"/>
      <c r="BC12" s="355"/>
      <c r="BD12" s="355"/>
      <c r="BE12" s="355"/>
      <c r="BF12" s="355"/>
      <c r="BG12" s="355"/>
      <c r="BH12" s="355"/>
      <c r="BI12" s="355"/>
      <c r="BJ12" s="355"/>
      <c r="BK12" s="355"/>
      <c r="BL12" s="355"/>
      <c r="BM12" s="355"/>
      <c r="BN12" s="355"/>
      <c r="BO12" s="355"/>
      <c r="BP12" s="355"/>
      <c r="BQ12" s="355"/>
      <c r="BR12" s="355"/>
      <c r="BS12" s="355"/>
      <c r="BT12" s="355"/>
      <c r="BU12" s="355"/>
      <c r="BV12" s="355"/>
      <c r="BW12" s="355"/>
      <c r="BX12" s="355"/>
      <c r="BY12" s="355"/>
      <c r="BZ12" s="355"/>
      <c r="CA12" s="355"/>
      <c r="CB12" s="355"/>
      <c r="CC12" s="355"/>
      <c r="CD12" s="355"/>
      <c r="CE12" s="355"/>
      <c r="CF12" s="355"/>
      <c r="CG12" s="355"/>
      <c r="CH12" s="355"/>
      <c r="CI12" s="355"/>
      <c r="CJ12" s="355"/>
      <c r="CK12" s="355"/>
      <c r="CL12" s="355"/>
      <c r="CM12" s="355"/>
      <c r="CN12" s="355"/>
      <c r="CO12" s="355"/>
      <c r="CP12" s="355"/>
      <c r="CQ12" s="355"/>
      <c r="CR12" s="355"/>
      <c r="CS12" s="355"/>
      <c r="CT12" s="355"/>
      <c r="CU12" s="355"/>
      <c r="CV12" s="355"/>
      <c r="CW12" s="355"/>
      <c r="CX12" s="355"/>
      <c r="CY12" s="355"/>
      <c r="CZ12" s="355"/>
      <c r="DA12" s="355"/>
      <c r="DB12" s="355"/>
      <c r="DC12" s="355"/>
      <c r="DD12" s="355"/>
      <c r="DE12" s="355"/>
      <c r="DF12" s="355"/>
      <c r="DG12" s="355"/>
      <c r="DH12" s="355"/>
      <c r="DI12" s="355"/>
      <c r="DJ12" s="355"/>
      <c r="DK12" s="355"/>
      <c r="DL12" s="355"/>
      <c r="DM12" s="355"/>
      <c r="DN12" s="355"/>
      <c r="DO12" s="355"/>
      <c r="DP12" s="355"/>
      <c r="DQ12" s="355"/>
      <c r="DR12" s="355"/>
      <c r="DS12" s="355"/>
      <c r="DT12" s="355"/>
      <c r="DU12" s="355"/>
      <c r="DV12" s="355"/>
      <c r="DW12" s="355"/>
      <c r="DX12" s="355"/>
      <c r="DY12" s="355"/>
      <c r="DZ12" s="355"/>
      <c r="EA12" s="355"/>
      <c r="EB12" s="355"/>
      <c r="EC12" s="355"/>
      <c r="ED12" s="355"/>
      <c r="EE12" s="355"/>
      <c r="EF12" s="355"/>
      <c r="EG12" s="355"/>
      <c r="EH12" s="355"/>
      <c r="EI12" s="355"/>
      <c r="EJ12" s="355"/>
      <c r="EK12" s="355"/>
      <c r="EL12" s="355"/>
      <c r="EM12" s="355"/>
      <c r="EN12" s="355">
        <f t="shared" ref="EN12:GB13" si="13">+EN7*$C12/$C7</f>
        <v>0</v>
      </c>
      <c r="EO12" s="355">
        <f t="shared" si="13"/>
        <v>0</v>
      </c>
      <c r="EP12" s="355">
        <f t="shared" si="13"/>
        <v>0</v>
      </c>
      <c r="EQ12" s="355">
        <f t="shared" si="13"/>
        <v>0</v>
      </c>
      <c r="ER12" s="355">
        <f t="shared" si="13"/>
        <v>0</v>
      </c>
      <c r="ES12" s="355">
        <f t="shared" si="13"/>
        <v>0</v>
      </c>
      <c r="ET12" s="355">
        <f t="shared" si="13"/>
        <v>0</v>
      </c>
      <c r="EU12" s="355">
        <f t="shared" si="13"/>
        <v>0</v>
      </c>
      <c r="EV12" s="355">
        <f t="shared" si="13"/>
        <v>0</v>
      </c>
      <c r="EW12" s="355">
        <f t="shared" si="13"/>
        <v>0</v>
      </c>
      <c r="EX12" s="355">
        <f t="shared" si="13"/>
        <v>0</v>
      </c>
      <c r="EY12" s="355">
        <f t="shared" si="13"/>
        <v>0</v>
      </c>
      <c r="EZ12" s="355">
        <f t="shared" si="13"/>
        <v>0</v>
      </c>
      <c r="FA12" s="355">
        <f t="shared" si="13"/>
        <v>0</v>
      </c>
      <c r="FB12" s="355">
        <f t="shared" si="13"/>
        <v>0</v>
      </c>
      <c r="FC12" s="355">
        <f t="shared" si="13"/>
        <v>0</v>
      </c>
      <c r="FD12" s="355">
        <f t="shared" si="13"/>
        <v>0</v>
      </c>
      <c r="FE12" s="355">
        <f t="shared" si="13"/>
        <v>0</v>
      </c>
      <c r="FF12" s="355">
        <f t="shared" si="13"/>
        <v>0</v>
      </c>
      <c r="FG12" s="355">
        <f t="shared" si="13"/>
        <v>0</v>
      </c>
      <c r="FH12" s="355">
        <f t="shared" si="13"/>
        <v>0</v>
      </c>
      <c r="FI12" s="355">
        <f t="shared" si="13"/>
        <v>0</v>
      </c>
      <c r="FJ12" s="355">
        <f t="shared" si="13"/>
        <v>0</v>
      </c>
      <c r="FK12" s="355">
        <f t="shared" si="13"/>
        <v>0</v>
      </c>
      <c r="FL12" s="355">
        <f t="shared" si="13"/>
        <v>0</v>
      </c>
      <c r="FM12" s="355">
        <f t="shared" si="13"/>
        <v>0</v>
      </c>
      <c r="FN12" s="355">
        <f t="shared" si="13"/>
        <v>0</v>
      </c>
      <c r="FO12" s="355">
        <f t="shared" si="13"/>
        <v>0</v>
      </c>
      <c r="FP12" s="355">
        <f t="shared" si="13"/>
        <v>0</v>
      </c>
      <c r="FQ12" s="355">
        <f t="shared" si="13"/>
        <v>247387058950.41388</v>
      </c>
      <c r="FR12" s="355">
        <f t="shared" si="13"/>
        <v>0</v>
      </c>
      <c r="FS12" s="355">
        <f t="shared" si="13"/>
        <v>0</v>
      </c>
      <c r="FT12" s="355">
        <f t="shared" si="13"/>
        <v>0</v>
      </c>
      <c r="FU12" s="355">
        <f t="shared" si="13"/>
        <v>0</v>
      </c>
      <c r="FV12" s="355">
        <f t="shared" si="13"/>
        <v>0</v>
      </c>
      <c r="FW12" s="355">
        <f t="shared" si="13"/>
        <v>0</v>
      </c>
      <c r="FX12" s="355">
        <f t="shared" si="13"/>
        <v>0</v>
      </c>
      <c r="FY12" s="355">
        <f t="shared" si="13"/>
        <v>0</v>
      </c>
      <c r="FZ12" s="355">
        <f t="shared" si="13"/>
        <v>0</v>
      </c>
      <c r="GA12" s="355">
        <f t="shared" si="13"/>
        <v>0</v>
      </c>
      <c r="GB12" s="355">
        <f t="shared" si="13"/>
        <v>0</v>
      </c>
    </row>
    <row r="13" spans="1:184">
      <c r="A13" s="566">
        <f t="shared" si="12"/>
        <v>4</v>
      </c>
      <c r="B13" s="564" t="str">
        <f t="shared" si="12"/>
        <v>Liền kề 1</v>
      </c>
      <c r="C13" s="567">
        <f>SUMIFS('6. PBChiPhi'!$E$19:$H$19,'6. PBChiPhi'!$E$5:$H$5,'7. P&amp;L TOÀN DỰ ÁN'!$B13)</f>
        <v>174193958116.81717</v>
      </c>
      <c r="D13" s="567">
        <f>SUMIF('5. KHBH'!$I$8:$I$11,B8,'5. KHBH'!$M$8:$M$11)</f>
        <v>4320.5</v>
      </c>
      <c r="E13" s="355"/>
      <c r="F13" s="355"/>
      <c r="G13" s="355"/>
      <c r="H13" s="355"/>
      <c r="I13" s="355"/>
      <c r="J13" s="355"/>
      <c r="K13" s="355"/>
      <c r="L13" s="355"/>
      <c r="M13" s="355"/>
      <c r="N13" s="355"/>
      <c r="O13" s="355"/>
      <c r="P13" s="355"/>
      <c r="Q13" s="355"/>
      <c r="R13" s="355"/>
      <c r="S13" s="355"/>
      <c r="T13" s="355"/>
      <c r="U13" s="355"/>
      <c r="V13" s="355"/>
      <c r="W13" s="355"/>
      <c r="X13" s="355"/>
      <c r="Y13" s="355"/>
      <c r="Z13" s="355"/>
      <c r="AA13" s="355"/>
      <c r="AB13" s="355"/>
      <c r="AC13" s="355"/>
      <c r="AD13" s="355"/>
      <c r="AE13" s="355"/>
      <c r="AF13" s="355"/>
      <c r="AG13" s="355"/>
      <c r="AH13" s="355"/>
      <c r="AI13" s="355"/>
      <c r="AJ13" s="355"/>
      <c r="AK13" s="355"/>
      <c r="AL13" s="355"/>
      <c r="AM13" s="355"/>
      <c r="AN13" s="355"/>
      <c r="AO13" s="355"/>
      <c r="AP13" s="355"/>
      <c r="AQ13" s="355"/>
      <c r="AR13" s="355"/>
      <c r="AS13" s="355"/>
      <c r="AT13" s="355"/>
      <c r="AU13" s="355"/>
      <c r="AV13" s="355"/>
      <c r="AW13" s="355"/>
      <c r="AX13" s="355"/>
      <c r="AY13" s="355"/>
      <c r="AZ13" s="355"/>
      <c r="BA13" s="355"/>
      <c r="BB13" s="355"/>
      <c r="BC13" s="355"/>
      <c r="BD13" s="355"/>
      <c r="BE13" s="355"/>
      <c r="BF13" s="355"/>
      <c r="BG13" s="355"/>
      <c r="BH13" s="355"/>
      <c r="BI13" s="355"/>
      <c r="BJ13" s="355"/>
      <c r="BK13" s="355"/>
      <c r="BL13" s="355"/>
      <c r="BM13" s="355"/>
      <c r="BN13" s="355"/>
      <c r="BO13" s="355"/>
      <c r="BP13" s="355"/>
      <c r="BQ13" s="355"/>
      <c r="BR13" s="355"/>
      <c r="BS13" s="355"/>
      <c r="BT13" s="355"/>
      <c r="BU13" s="355"/>
      <c r="BV13" s="355"/>
      <c r="BW13" s="355"/>
      <c r="BX13" s="355"/>
      <c r="BY13" s="355"/>
      <c r="BZ13" s="355"/>
      <c r="CA13" s="355"/>
      <c r="CB13" s="355"/>
      <c r="CC13" s="355"/>
      <c r="CD13" s="355"/>
      <c r="CE13" s="355"/>
      <c r="CF13" s="355"/>
      <c r="CG13" s="355"/>
      <c r="CH13" s="355"/>
      <c r="CI13" s="355"/>
      <c r="CJ13" s="355"/>
      <c r="CK13" s="355"/>
      <c r="CL13" s="355"/>
      <c r="CM13" s="355"/>
      <c r="CN13" s="355"/>
      <c r="CO13" s="355"/>
      <c r="CP13" s="355"/>
      <c r="CQ13" s="355"/>
      <c r="CR13" s="355"/>
      <c r="CS13" s="355"/>
      <c r="CT13" s="355"/>
      <c r="CU13" s="355"/>
      <c r="CV13" s="355"/>
      <c r="CW13" s="355"/>
      <c r="CX13" s="355"/>
      <c r="CY13" s="355"/>
      <c r="CZ13" s="355"/>
      <c r="DA13" s="355"/>
      <c r="DB13" s="355"/>
      <c r="DC13" s="355"/>
      <c r="DD13" s="355"/>
      <c r="DE13" s="355"/>
      <c r="DF13" s="355"/>
      <c r="DG13" s="355"/>
      <c r="DH13" s="355"/>
      <c r="DI13" s="355"/>
      <c r="DJ13" s="355"/>
      <c r="DK13" s="355"/>
      <c r="DL13" s="355"/>
      <c r="DM13" s="355"/>
      <c r="DN13" s="355"/>
      <c r="DO13" s="355"/>
      <c r="DP13" s="355"/>
      <c r="DQ13" s="355"/>
      <c r="DR13" s="355"/>
      <c r="DS13" s="355"/>
      <c r="DT13" s="355"/>
      <c r="DU13" s="355"/>
      <c r="DV13" s="355"/>
      <c r="DW13" s="355"/>
      <c r="DX13" s="355"/>
      <c r="DY13" s="355"/>
      <c r="DZ13" s="355"/>
      <c r="EA13" s="355"/>
      <c r="EB13" s="355"/>
      <c r="EC13" s="355"/>
      <c r="ED13" s="355"/>
      <c r="EE13" s="355"/>
      <c r="EF13" s="355"/>
      <c r="EG13" s="355"/>
      <c r="EH13" s="355"/>
      <c r="EI13" s="355"/>
      <c r="EJ13" s="355"/>
      <c r="EK13" s="355"/>
      <c r="EL13" s="355"/>
      <c r="EM13" s="355"/>
      <c r="EN13" s="355">
        <f t="shared" si="13"/>
        <v>0</v>
      </c>
      <c r="EO13" s="355">
        <f t="shared" si="13"/>
        <v>0</v>
      </c>
      <c r="EP13" s="355">
        <f t="shared" si="13"/>
        <v>0</v>
      </c>
      <c r="EQ13" s="355">
        <f t="shared" si="13"/>
        <v>0</v>
      </c>
      <c r="ER13" s="355">
        <f t="shared" si="13"/>
        <v>0</v>
      </c>
      <c r="ES13" s="355">
        <f t="shared" si="13"/>
        <v>0</v>
      </c>
      <c r="ET13" s="355">
        <f t="shared" si="13"/>
        <v>0</v>
      </c>
      <c r="EU13" s="355">
        <f t="shared" si="13"/>
        <v>0</v>
      </c>
      <c r="EV13" s="355">
        <f t="shared" si="13"/>
        <v>0</v>
      </c>
      <c r="EW13" s="355">
        <f t="shared" si="13"/>
        <v>0</v>
      </c>
      <c r="EX13" s="355">
        <f t="shared" si="13"/>
        <v>0</v>
      </c>
      <c r="EY13" s="355">
        <f t="shared" si="13"/>
        <v>0</v>
      </c>
      <c r="EZ13" s="355">
        <f t="shared" si="13"/>
        <v>0</v>
      </c>
      <c r="FA13" s="355">
        <f t="shared" si="13"/>
        <v>0</v>
      </c>
      <c r="FB13" s="355">
        <f t="shared" si="13"/>
        <v>0</v>
      </c>
      <c r="FC13" s="355">
        <f t="shared" si="13"/>
        <v>0</v>
      </c>
      <c r="FD13" s="355">
        <f t="shared" si="13"/>
        <v>0</v>
      </c>
      <c r="FE13" s="355">
        <f t="shared" si="13"/>
        <v>0</v>
      </c>
      <c r="FF13" s="355">
        <f t="shared" si="13"/>
        <v>0</v>
      </c>
      <c r="FG13" s="355">
        <f t="shared" si="13"/>
        <v>0</v>
      </c>
      <c r="FH13" s="355">
        <f t="shared" si="13"/>
        <v>0</v>
      </c>
      <c r="FI13" s="355">
        <f t="shared" si="13"/>
        <v>174193958116.81717</v>
      </c>
      <c r="FJ13" s="355">
        <f t="shared" si="13"/>
        <v>0</v>
      </c>
      <c r="FK13" s="355">
        <f t="shared" si="13"/>
        <v>0</v>
      </c>
      <c r="FL13" s="355">
        <f t="shared" si="13"/>
        <v>0</v>
      </c>
      <c r="FM13" s="355">
        <f t="shared" si="13"/>
        <v>0</v>
      </c>
      <c r="FN13" s="355">
        <f t="shared" si="13"/>
        <v>0</v>
      </c>
      <c r="FO13" s="355">
        <f t="shared" si="13"/>
        <v>0</v>
      </c>
      <c r="FP13" s="355">
        <f t="shared" si="13"/>
        <v>0</v>
      </c>
      <c r="FQ13" s="355">
        <f t="shared" si="13"/>
        <v>0</v>
      </c>
      <c r="FR13" s="355">
        <f t="shared" si="13"/>
        <v>0</v>
      </c>
      <c r="FS13" s="355">
        <f t="shared" si="13"/>
        <v>0</v>
      </c>
      <c r="FT13" s="355">
        <f t="shared" si="13"/>
        <v>0</v>
      </c>
      <c r="FU13" s="355">
        <f t="shared" si="13"/>
        <v>0</v>
      </c>
      <c r="FV13" s="355">
        <f t="shared" si="13"/>
        <v>0</v>
      </c>
      <c r="FW13" s="355">
        <f t="shared" si="13"/>
        <v>0</v>
      </c>
      <c r="FX13" s="355">
        <f t="shared" si="13"/>
        <v>0</v>
      </c>
      <c r="FY13" s="355">
        <f t="shared" si="13"/>
        <v>0</v>
      </c>
      <c r="FZ13" s="355">
        <f t="shared" si="13"/>
        <v>0</v>
      </c>
      <c r="GA13" s="355">
        <f t="shared" si="13"/>
        <v>0</v>
      </c>
      <c r="GB13" s="355">
        <f t="shared" si="13"/>
        <v>0</v>
      </c>
    </row>
    <row r="14" spans="1:184">
      <c r="A14" s="559" t="s">
        <v>24</v>
      </c>
      <c r="B14" s="568" t="s">
        <v>160</v>
      </c>
      <c r="C14" s="561">
        <f>SUM(C15:C18)</f>
        <v>309102432481.20068</v>
      </c>
      <c r="D14" s="562">
        <f>SUM(D15:D18)</f>
        <v>57702.751999999993</v>
      </c>
      <c r="E14" s="354"/>
      <c r="F14" s="354"/>
      <c r="G14" s="354"/>
      <c r="H14" s="354"/>
      <c r="I14" s="354"/>
      <c r="J14" s="354"/>
      <c r="K14" s="354"/>
      <c r="L14" s="354"/>
      <c r="M14" s="354"/>
      <c r="N14" s="354"/>
      <c r="O14" s="354"/>
      <c r="P14" s="354"/>
      <c r="Q14" s="354"/>
      <c r="R14" s="354"/>
      <c r="S14" s="354"/>
      <c r="T14" s="354"/>
      <c r="U14" s="354"/>
      <c r="V14" s="354"/>
      <c r="W14" s="354"/>
      <c r="X14" s="354"/>
      <c r="Y14" s="354"/>
      <c r="Z14" s="354"/>
      <c r="AA14" s="354"/>
      <c r="AB14" s="354"/>
      <c r="AC14" s="354"/>
      <c r="AD14" s="354"/>
      <c r="AE14" s="354"/>
      <c r="AF14" s="354"/>
      <c r="AG14" s="354"/>
      <c r="AH14" s="354"/>
      <c r="AI14" s="354"/>
      <c r="AJ14" s="354"/>
      <c r="AK14" s="354"/>
      <c r="AL14" s="354"/>
      <c r="AM14" s="354"/>
      <c r="AN14" s="354"/>
      <c r="AO14" s="354"/>
      <c r="AP14" s="354"/>
      <c r="AQ14" s="354"/>
      <c r="AR14" s="354"/>
      <c r="AS14" s="354"/>
      <c r="AT14" s="354"/>
      <c r="AU14" s="354"/>
      <c r="AV14" s="354"/>
      <c r="AW14" s="354"/>
      <c r="AX14" s="354"/>
      <c r="AY14" s="354"/>
      <c r="AZ14" s="354"/>
      <c r="BA14" s="354"/>
      <c r="BB14" s="354"/>
      <c r="BC14" s="354"/>
      <c r="BD14" s="354"/>
      <c r="BE14" s="354"/>
      <c r="BF14" s="354"/>
      <c r="BG14" s="354"/>
      <c r="BH14" s="354"/>
      <c r="BI14" s="354"/>
      <c r="BJ14" s="354"/>
      <c r="BK14" s="354"/>
      <c r="BL14" s="354"/>
      <c r="BM14" s="354"/>
      <c r="BN14" s="354"/>
      <c r="BO14" s="354"/>
      <c r="BP14" s="354"/>
      <c r="BQ14" s="354"/>
      <c r="BR14" s="354"/>
      <c r="BS14" s="354"/>
      <c r="BT14" s="354"/>
      <c r="BU14" s="354"/>
      <c r="BV14" s="354"/>
      <c r="BW14" s="354"/>
      <c r="BX14" s="354"/>
      <c r="BY14" s="354"/>
      <c r="BZ14" s="354"/>
      <c r="CA14" s="354"/>
      <c r="CB14" s="354"/>
      <c r="CC14" s="354"/>
      <c r="CD14" s="354"/>
      <c r="CE14" s="354"/>
      <c r="CF14" s="354"/>
      <c r="CG14" s="354"/>
      <c r="CH14" s="354"/>
      <c r="CI14" s="354"/>
      <c r="CJ14" s="354"/>
      <c r="CK14" s="354"/>
      <c r="CL14" s="354"/>
      <c r="CM14" s="354"/>
      <c r="CN14" s="354"/>
      <c r="CO14" s="354"/>
      <c r="CP14" s="354"/>
      <c r="CQ14" s="354"/>
      <c r="CR14" s="354"/>
      <c r="CS14" s="354"/>
      <c r="CT14" s="354"/>
      <c r="CU14" s="354"/>
      <c r="CV14" s="354"/>
      <c r="CW14" s="354"/>
      <c r="CX14" s="354"/>
      <c r="CY14" s="354"/>
      <c r="CZ14" s="354"/>
      <c r="DA14" s="354"/>
      <c r="DB14" s="354"/>
      <c r="DC14" s="354"/>
      <c r="DD14" s="354"/>
      <c r="DE14" s="354"/>
      <c r="DF14" s="354"/>
      <c r="DG14" s="354"/>
      <c r="DH14" s="354"/>
      <c r="DI14" s="354"/>
      <c r="DJ14" s="354"/>
      <c r="DK14" s="354"/>
      <c r="DL14" s="354"/>
      <c r="DM14" s="354"/>
      <c r="DN14" s="354"/>
      <c r="DO14" s="354"/>
      <c r="DP14" s="354"/>
      <c r="DQ14" s="354"/>
      <c r="DR14" s="354"/>
      <c r="DS14" s="354"/>
      <c r="DT14" s="354"/>
      <c r="DU14" s="354"/>
      <c r="DV14" s="354"/>
      <c r="DW14" s="354"/>
      <c r="DX14" s="354"/>
      <c r="DY14" s="354"/>
      <c r="DZ14" s="354"/>
      <c r="EA14" s="354"/>
      <c r="EB14" s="354"/>
      <c r="EC14" s="354"/>
      <c r="ED14" s="354"/>
      <c r="EE14" s="354"/>
      <c r="EF14" s="354"/>
      <c r="EG14" s="354"/>
      <c r="EH14" s="354"/>
      <c r="EI14" s="354"/>
      <c r="EJ14" s="354"/>
      <c r="EK14" s="354"/>
      <c r="EL14" s="354"/>
      <c r="EM14" s="354"/>
      <c r="EN14" s="354">
        <f t="shared" ref="EN14:GB14" si="14">SUM(EN15:EN18)</f>
        <v>0</v>
      </c>
      <c r="EO14" s="354">
        <f t="shared" si="14"/>
        <v>0</v>
      </c>
      <c r="EP14" s="354">
        <f t="shared" si="14"/>
        <v>0</v>
      </c>
      <c r="EQ14" s="354">
        <f t="shared" si="14"/>
        <v>0</v>
      </c>
      <c r="ER14" s="354">
        <f t="shared" si="14"/>
        <v>0</v>
      </c>
      <c r="ES14" s="354">
        <f t="shared" si="14"/>
        <v>0</v>
      </c>
      <c r="ET14" s="354">
        <f t="shared" si="14"/>
        <v>0</v>
      </c>
      <c r="EU14" s="354">
        <f t="shared" si="14"/>
        <v>0</v>
      </c>
      <c r="EV14" s="354">
        <f t="shared" si="14"/>
        <v>0</v>
      </c>
      <c r="EW14" s="354">
        <f t="shared" si="14"/>
        <v>0</v>
      </c>
      <c r="EX14" s="354">
        <f t="shared" si="14"/>
        <v>0</v>
      </c>
      <c r="EY14" s="354">
        <f t="shared" si="14"/>
        <v>0</v>
      </c>
      <c r="EZ14" s="354">
        <f t="shared" si="14"/>
        <v>0</v>
      </c>
      <c r="FA14" s="354">
        <f t="shared" si="14"/>
        <v>0</v>
      </c>
      <c r="FB14" s="354">
        <f t="shared" si="14"/>
        <v>0</v>
      </c>
      <c r="FC14" s="354">
        <f t="shared" si="14"/>
        <v>0</v>
      </c>
      <c r="FD14" s="354">
        <f t="shared" si="14"/>
        <v>0</v>
      </c>
      <c r="FE14" s="354">
        <f t="shared" si="14"/>
        <v>0</v>
      </c>
      <c r="FF14" s="354">
        <f t="shared" si="14"/>
        <v>0</v>
      </c>
      <c r="FG14" s="354">
        <f t="shared" si="14"/>
        <v>0</v>
      </c>
      <c r="FH14" s="354">
        <f t="shared" si="14"/>
        <v>0</v>
      </c>
      <c r="FI14" s="354">
        <f t="shared" si="14"/>
        <v>202128691003.04807</v>
      </c>
      <c r="FJ14" s="354">
        <f t="shared" si="14"/>
        <v>0</v>
      </c>
      <c r="FK14" s="354">
        <f t="shared" si="14"/>
        <v>0</v>
      </c>
      <c r="FL14" s="354">
        <f t="shared" si="14"/>
        <v>0</v>
      </c>
      <c r="FM14" s="354">
        <f t="shared" si="14"/>
        <v>58500200428.566528</v>
      </c>
      <c r="FN14" s="354">
        <f t="shared" si="14"/>
        <v>0</v>
      </c>
      <c r="FO14" s="354">
        <f t="shared" si="14"/>
        <v>0</v>
      </c>
      <c r="FP14" s="354">
        <f t="shared" si="14"/>
        <v>0</v>
      </c>
      <c r="FQ14" s="354">
        <f t="shared" si="14"/>
        <v>48473541049.58606</v>
      </c>
      <c r="FR14" s="354">
        <f t="shared" si="14"/>
        <v>0</v>
      </c>
      <c r="FS14" s="354">
        <f t="shared" si="14"/>
        <v>0</v>
      </c>
      <c r="FT14" s="354">
        <f t="shared" si="14"/>
        <v>0</v>
      </c>
      <c r="FU14" s="354">
        <f t="shared" si="14"/>
        <v>0</v>
      </c>
      <c r="FV14" s="354">
        <f t="shared" si="14"/>
        <v>0</v>
      </c>
      <c r="FW14" s="354">
        <f t="shared" si="14"/>
        <v>0</v>
      </c>
      <c r="FX14" s="354">
        <f t="shared" si="14"/>
        <v>0</v>
      </c>
      <c r="FY14" s="354">
        <f t="shared" si="14"/>
        <v>0</v>
      </c>
      <c r="FZ14" s="354">
        <f t="shared" si="14"/>
        <v>0</v>
      </c>
      <c r="GA14" s="354">
        <f t="shared" si="14"/>
        <v>0</v>
      </c>
      <c r="GB14" s="354">
        <f t="shared" si="14"/>
        <v>0</v>
      </c>
    </row>
    <row r="15" spans="1:184">
      <c r="A15" s="566">
        <f>A10</f>
        <v>1</v>
      </c>
      <c r="B15" s="564" t="str">
        <f>B5</f>
        <v>Nhà ở xã hội 1</v>
      </c>
      <c r="C15" s="565">
        <f t="shared" ref="C15" si="15">SUM(EN15:GB15)</f>
        <v>71923785483.501648</v>
      </c>
      <c r="D15" s="565">
        <f>SUMIF('5. KHBH'!$I$8:$I$11,B5,'5. KHBH'!$M$8:$M$11)</f>
        <v>21461.747999999996</v>
      </c>
      <c r="E15" s="355"/>
      <c r="F15" s="355"/>
      <c r="G15" s="355"/>
      <c r="H15" s="355"/>
      <c r="I15" s="355"/>
      <c r="J15" s="355"/>
      <c r="K15" s="355"/>
      <c r="L15" s="355"/>
      <c r="M15" s="355"/>
      <c r="N15" s="355"/>
      <c r="O15" s="355"/>
      <c r="P15" s="355"/>
      <c r="Q15" s="355"/>
      <c r="R15" s="355"/>
      <c r="S15" s="355"/>
      <c r="T15" s="355"/>
      <c r="U15" s="355"/>
      <c r="V15" s="355"/>
      <c r="W15" s="355"/>
      <c r="X15" s="355"/>
      <c r="Y15" s="355"/>
      <c r="Z15" s="355"/>
      <c r="AA15" s="355"/>
      <c r="AB15" s="355"/>
      <c r="AC15" s="355"/>
      <c r="AD15" s="355"/>
      <c r="AE15" s="355"/>
      <c r="AF15" s="355"/>
      <c r="AG15" s="355"/>
      <c r="AH15" s="355"/>
      <c r="AI15" s="355"/>
      <c r="AJ15" s="355"/>
      <c r="AK15" s="355"/>
      <c r="AL15" s="355"/>
      <c r="AM15" s="355"/>
      <c r="AN15" s="355"/>
      <c r="AO15" s="355"/>
      <c r="AP15" s="355"/>
      <c r="AQ15" s="355"/>
      <c r="AR15" s="355"/>
      <c r="AS15" s="355"/>
      <c r="AT15" s="355"/>
      <c r="AU15" s="355"/>
      <c r="AV15" s="355"/>
      <c r="AW15" s="355"/>
      <c r="AX15" s="355"/>
      <c r="AY15" s="355"/>
      <c r="AZ15" s="355"/>
      <c r="BA15" s="355"/>
      <c r="BB15" s="355"/>
      <c r="BC15" s="355"/>
      <c r="BD15" s="355"/>
      <c r="BE15" s="355"/>
      <c r="BF15" s="355"/>
      <c r="BG15" s="355"/>
      <c r="BH15" s="355"/>
      <c r="BI15" s="355"/>
      <c r="BJ15" s="355"/>
      <c r="BK15" s="355"/>
      <c r="BL15" s="355"/>
      <c r="BM15" s="355"/>
      <c r="BN15" s="355"/>
      <c r="BO15" s="355"/>
      <c r="BP15" s="355"/>
      <c r="BQ15" s="355"/>
      <c r="BR15" s="355"/>
      <c r="BS15" s="355"/>
      <c r="BT15" s="355"/>
      <c r="BU15" s="355"/>
      <c r="BV15" s="355"/>
      <c r="BW15" s="355"/>
      <c r="BX15" s="355"/>
      <c r="BY15" s="355"/>
      <c r="BZ15" s="355"/>
      <c r="CA15" s="355"/>
      <c r="CB15" s="355"/>
      <c r="CC15" s="355"/>
      <c r="CD15" s="355"/>
      <c r="CE15" s="355"/>
      <c r="CF15" s="355"/>
      <c r="CG15" s="355"/>
      <c r="CH15" s="355"/>
      <c r="CI15" s="355"/>
      <c r="CJ15" s="355"/>
      <c r="CK15" s="355"/>
      <c r="CL15" s="355"/>
      <c r="CM15" s="355"/>
      <c r="CN15" s="355"/>
      <c r="CO15" s="355"/>
      <c r="CP15" s="355"/>
      <c r="CQ15" s="355"/>
      <c r="CR15" s="355"/>
      <c r="CS15" s="355"/>
      <c r="CT15" s="355"/>
      <c r="CU15" s="355"/>
      <c r="CV15" s="355"/>
      <c r="CW15" s="355"/>
      <c r="CX15" s="355"/>
      <c r="CY15" s="355"/>
      <c r="CZ15" s="355"/>
      <c r="DA15" s="355"/>
      <c r="DB15" s="355"/>
      <c r="DC15" s="355"/>
      <c r="DD15" s="355"/>
      <c r="DE15" s="355"/>
      <c r="DF15" s="355"/>
      <c r="DG15" s="355"/>
      <c r="DH15" s="355"/>
      <c r="DI15" s="355"/>
      <c r="DJ15" s="355"/>
      <c r="DK15" s="355"/>
      <c r="DL15" s="355"/>
      <c r="DM15" s="355"/>
      <c r="DN15" s="355"/>
      <c r="DO15" s="355"/>
      <c r="DP15" s="355"/>
      <c r="DQ15" s="355"/>
      <c r="DR15" s="355"/>
      <c r="DS15" s="355"/>
      <c r="DT15" s="355"/>
      <c r="DU15" s="355"/>
      <c r="DV15" s="355"/>
      <c r="DW15" s="355"/>
      <c r="DX15" s="355"/>
      <c r="DY15" s="355"/>
      <c r="DZ15" s="355"/>
      <c r="EA15" s="355"/>
      <c r="EB15" s="355"/>
      <c r="EC15" s="355"/>
      <c r="ED15" s="355"/>
      <c r="EE15" s="355"/>
      <c r="EF15" s="355"/>
      <c r="EG15" s="355"/>
      <c r="EH15" s="355"/>
      <c r="EI15" s="355"/>
      <c r="EJ15" s="355"/>
      <c r="EK15" s="355"/>
      <c r="EL15" s="355"/>
      <c r="EM15" s="355"/>
      <c r="EN15" s="355">
        <f t="shared" ref="EN15:GB15" si="16">+EN5-EN10</f>
        <v>0</v>
      </c>
      <c r="EO15" s="355">
        <f t="shared" si="16"/>
        <v>0</v>
      </c>
      <c r="EP15" s="355">
        <f t="shared" si="16"/>
        <v>0</v>
      </c>
      <c r="EQ15" s="355">
        <f t="shared" si="16"/>
        <v>0</v>
      </c>
      <c r="ER15" s="355">
        <f t="shared" si="16"/>
        <v>0</v>
      </c>
      <c r="ES15" s="355">
        <f t="shared" si="16"/>
        <v>0</v>
      </c>
      <c r="ET15" s="355">
        <f t="shared" si="16"/>
        <v>0</v>
      </c>
      <c r="EU15" s="355">
        <f t="shared" si="16"/>
        <v>0</v>
      </c>
      <c r="EV15" s="355">
        <f t="shared" si="16"/>
        <v>0</v>
      </c>
      <c r="EW15" s="355">
        <f t="shared" si="16"/>
        <v>0</v>
      </c>
      <c r="EX15" s="355">
        <f t="shared" si="16"/>
        <v>0</v>
      </c>
      <c r="EY15" s="355">
        <f t="shared" si="16"/>
        <v>0</v>
      </c>
      <c r="EZ15" s="355">
        <f t="shared" si="16"/>
        <v>0</v>
      </c>
      <c r="FA15" s="355">
        <f t="shared" si="16"/>
        <v>0</v>
      </c>
      <c r="FB15" s="355">
        <f t="shared" si="16"/>
        <v>0</v>
      </c>
      <c r="FC15" s="355">
        <f t="shared" si="16"/>
        <v>0</v>
      </c>
      <c r="FD15" s="355">
        <f t="shared" si="16"/>
        <v>0</v>
      </c>
      <c r="FE15" s="355">
        <f t="shared" si="16"/>
        <v>0</v>
      </c>
      <c r="FF15" s="355">
        <f t="shared" si="16"/>
        <v>0</v>
      </c>
      <c r="FG15" s="355">
        <f t="shared" si="16"/>
        <v>0</v>
      </c>
      <c r="FH15" s="355">
        <f t="shared" si="16"/>
        <v>0</v>
      </c>
      <c r="FI15" s="355">
        <f t="shared" si="16"/>
        <v>71923785483.501648</v>
      </c>
      <c r="FJ15" s="355">
        <f t="shared" si="16"/>
        <v>0</v>
      </c>
      <c r="FK15" s="355">
        <f t="shared" si="16"/>
        <v>0</v>
      </c>
      <c r="FL15" s="355">
        <f t="shared" si="16"/>
        <v>0</v>
      </c>
      <c r="FM15" s="355">
        <f t="shared" si="16"/>
        <v>0</v>
      </c>
      <c r="FN15" s="355">
        <f t="shared" si="16"/>
        <v>0</v>
      </c>
      <c r="FO15" s="355">
        <f t="shared" si="16"/>
        <v>0</v>
      </c>
      <c r="FP15" s="355">
        <f t="shared" si="16"/>
        <v>0</v>
      </c>
      <c r="FQ15" s="355">
        <f t="shared" si="16"/>
        <v>0</v>
      </c>
      <c r="FR15" s="355">
        <f t="shared" si="16"/>
        <v>0</v>
      </c>
      <c r="FS15" s="355">
        <f t="shared" si="16"/>
        <v>0</v>
      </c>
      <c r="FT15" s="355">
        <f t="shared" si="16"/>
        <v>0</v>
      </c>
      <c r="FU15" s="355">
        <f t="shared" si="16"/>
        <v>0</v>
      </c>
      <c r="FV15" s="355">
        <f t="shared" si="16"/>
        <v>0</v>
      </c>
      <c r="FW15" s="355">
        <f t="shared" si="16"/>
        <v>0</v>
      </c>
      <c r="FX15" s="355">
        <f t="shared" si="16"/>
        <v>0</v>
      </c>
      <c r="FY15" s="355">
        <f t="shared" si="16"/>
        <v>0</v>
      </c>
      <c r="FZ15" s="355">
        <f t="shared" si="16"/>
        <v>0</v>
      </c>
      <c r="GA15" s="355">
        <f t="shared" si="16"/>
        <v>0</v>
      </c>
      <c r="GB15" s="355">
        <f t="shared" si="16"/>
        <v>0</v>
      </c>
    </row>
    <row r="16" spans="1:184">
      <c r="A16" s="566">
        <f>A11</f>
        <v>2</v>
      </c>
      <c r="B16" s="564" t="str">
        <f>B6</f>
        <v>Nhà ở xã hội 2</v>
      </c>
      <c r="C16" s="565">
        <f t="shared" ref="C16:C18" si="17">SUM(EN16:GB16)</f>
        <v>58500200428.566528</v>
      </c>
      <c r="D16" s="565">
        <f>SUMIF('5. KHBH'!$I$8:$I$11,B6,'5. KHBH'!$M$8:$M$11)</f>
        <v>17456.207999999999</v>
      </c>
      <c r="E16" s="355"/>
      <c r="F16" s="355"/>
      <c r="G16" s="355"/>
      <c r="H16" s="355"/>
      <c r="I16" s="355"/>
      <c r="J16" s="355"/>
      <c r="K16" s="355"/>
      <c r="L16" s="355"/>
      <c r="M16" s="355"/>
      <c r="N16" s="355"/>
      <c r="O16" s="355"/>
      <c r="P16" s="355"/>
      <c r="Q16" s="355"/>
      <c r="R16" s="355"/>
      <c r="S16" s="355"/>
      <c r="T16" s="355"/>
      <c r="U16" s="355"/>
      <c r="V16" s="355"/>
      <c r="W16" s="355"/>
      <c r="X16" s="355"/>
      <c r="Y16" s="355"/>
      <c r="Z16" s="355"/>
      <c r="AA16" s="355"/>
      <c r="AB16" s="355"/>
      <c r="AC16" s="355"/>
      <c r="AD16" s="355"/>
      <c r="AE16" s="355"/>
      <c r="AF16" s="355"/>
      <c r="AG16" s="355"/>
      <c r="AH16" s="355"/>
      <c r="AI16" s="355"/>
      <c r="AJ16" s="355"/>
      <c r="AK16" s="355"/>
      <c r="AL16" s="355"/>
      <c r="AM16" s="355"/>
      <c r="AN16" s="355"/>
      <c r="AO16" s="355"/>
      <c r="AP16" s="355"/>
      <c r="AQ16" s="355"/>
      <c r="AR16" s="355"/>
      <c r="AS16" s="355"/>
      <c r="AT16" s="355"/>
      <c r="AU16" s="355"/>
      <c r="AV16" s="355"/>
      <c r="AW16" s="355"/>
      <c r="AX16" s="355"/>
      <c r="AY16" s="355"/>
      <c r="AZ16" s="355"/>
      <c r="BA16" s="355"/>
      <c r="BB16" s="355"/>
      <c r="BC16" s="355"/>
      <c r="BD16" s="355"/>
      <c r="BE16" s="355"/>
      <c r="BF16" s="355"/>
      <c r="BG16" s="355"/>
      <c r="BH16" s="355"/>
      <c r="BI16" s="355"/>
      <c r="BJ16" s="355"/>
      <c r="BK16" s="355"/>
      <c r="BL16" s="355"/>
      <c r="BM16" s="355"/>
      <c r="BN16" s="355"/>
      <c r="BO16" s="355"/>
      <c r="BP16" s="355"/>
      <c r="BQ16" s="355"/>
      <c r="BR16" s="355"/>
      <c r="BS16" s="355"/>
      <c r="BT16" s="355"/>
      <c r="BU16" s="355"/>
      <c r="BV16" s="355"/>
      <c r="BW16" s="355"/>
      <c r="BX16" s="355"/>
      <c r="BY16" s="355"/>
      <c r="BZ16" s="355"/>
      <c r="CA16" s="355"/>
      <c r="CB16" s="355"/>
      <c r="CC16" s="355"/>
      <c r="CD16" s="355"/>
      <c r="CE16" s="355"/>
      <c r="CF16" s="355"/>
      <c r="CG16" s="355"/>
      <c r="CH16" s="355"/>
      <c r="CI16" s="355"/>
      <c r="CJ16" s="355"/>
      <c r="CK16" s="355"/>
      <c r="CL16" s="355"/>
      <c r="CM16" s="355"/>
      <c r="CN16" s="355"/>
      <c r="CO16" s="355"/>
      <c r="CP16" s="355"/>
      <c r="CQ16" s="355"/>
      <c r="CR16" s="355"/>
      <c r="CS16" s="355"/>
      <c r="CT16" s="355"/>
      <c r="CU16" s="355"/>
      <c r="CV16" s="355"/>
      <c r="CW16" s="355"/>
      <c r="CX16" s="355"/>
      <c r="CY16" s="355"/>
      <c r="CZ16" s="355"/>
      <c r="DA16" s="355"/>
      <c r="DB16" s="355"/>
      <c r="DC16" s="355"/>
      <c r="DD16" s="355"/>
      <c r="DE16" s="355"/>
      <c r="DF16" s="355"/>
      <c r="DG16" s="355"/>
      <c r="DH16" s="355"/>
      <c r="DI16" s="355"/>
      <c r="DJ16" s="355"/>
      <c r="DK16" s="355"/>
      <c r="DL16" s="355"/>
      <c r="DM16" s="355"/>
      <c r="DN16" s="355"/>
      <c r="DO16" s="355"/>
      <c r="DP16" s="355"/>
      <c r="DQ16" s="355"/>
      <c r="DR16" s="355"/>
      <c r="DS16" s="355"/>
      <c r="DT16" s="355"/>
      <c r="DU16" s="355"/>
      <c r="DV16" s="355"/>
      <c r="DW16" s="355"/>
      <c r="DX16" s="355"/>
      <c r="DY16" s="355"/>
      <c r="DZ16" s="355"/>
      <c r="EA16" s="355"/>
      <c r="EB16" s="355"/>
      <c r="EC16" s="355"/>
      <c r="ED16" s="355"/>
      <c r="EE16" s="355"/>
      <c r="EF16" s="355"/>
      <c r="EG16" s="355"/>
      <c r="EH16" s="355"/>
      <c r="EI16" s="355"/>
      <c r="EJ16" s="355"/>
      <c r="EK16" s="355"/>
      <c r="EL16" s="355"/>
      <c r="EM16" s="355"/>
      <c r="EN16" s="355">
        <f t="shared" ref="EN16:GB16" si="18">+EN6-EN11</f>
        <v>0</v>
      </c>
      <c r="EO16" s="355">
        <f t="shared" si="18"/>
        <v>0</v>
      </c>
      <c r="EP16" s="355">
        <f t="shared" si="18"/>
        <v>0</v>
      </c>
      <c r="EQ16" s="355">
        <f t="shared" si="18"/>
        <v>0</v>
      </c>
      <c r="ER16" s="355">
        <f t="shared" si="18"/>
        <v>0</v>
      </c>
      <c r="ES16" s="355">
        <f t="shared" si="18"/>
        <v>0</v>
      </c>
      <c r="ET16" s="355">
        <f t="shared" si="18"/>
        <v>0</v>
      </c>
      <c r="EU16" s="355">
        <f t="shared" si="18"/>
        <v>0</v>
      </c>
      <c r="EV16" s="355">
        <f t="shared" si="18"/>
        <v>0</v>
      </c>
      <c r="EW16" s="355">
        <f t="shared" si="18"/>
        <v>0</v>
      </c>
      <c r="EX16" s="355">
        <f t="shared" si="18"/>
        <v>0</v>
      </c>
      <c r="EY16" s="355">
        <f t="shared" si="18"/>
        <v>0</v>
      </c>
      <c r="EZ16" s="355">
        <f t="shared" si="18"/>
        <v>0</v>
      </c>
      <c r="FA16" s="355">
        <f t="shared" si="18"/>
        <v>0</v>
      </c>
      <c r="FB16" s="355">
        <f t="shared" si="18"/>
        <v>0</v>
      </c>
      <c r="FC16" s="355">
        <f t="shared" si="18"/>
        <v>0</v>
      </c>
      <c r="FD16" s="355">
        <f t="shared" si="18"/>
        <v>0</v>
      </c>
      <c r="FE16" s="355">
        <f t="shared" si="18"/>
        <v>0</v>
      </c>
      <c r="FF16" s="355">
        <f t="shared" si="18"/>
        <v>0</v>
      </c>
      <c r="FG16" s="355">
        <f t="shared" si="18"/>
        <v>0</v>
      </c>
      <c r="FH16" s="355">
        <f t="shared" si="18"/>
        <v>0</v>
      </c>
      <c r="FI16" s="355">
        <f t="shared" si="18"/>
        <v>0</v>
      </c>
      <c r="FJ16" s="355">
        <f t="shared" si="18"/>
        <v>0</v>
      </c>
      <c r="FK16" s="355">
        <f t="shared" si="18"/>
        <v>0</v>
      </c>
      <c r="FL16" s="355">
        <f t="shared" si="18"/>
        <v>0</v>
      </c>
      <c r="FM16" s="355">
        <f t="shared" si="18"/>
        <v>58500200428.566528</v>
      </c>
      <c r="FN16" s="355">
        <f t="shared" si="18"/>
        <v>0</v>
      </c>
      <c r="FO16" s="355">
        <f t="shared" si="18"/>
        <v>0</v>
      </c>
      <c r="FP16" s="355">
        <f t="shared" si="18"/>
        <v>0</v>
      </c>
      <c r="FQ16" s="355">
        <f t="shared" si="18"/>
        <v>0</v>
      </c>
      <c r="FR16" s="355">
        <f t="shared" si="18"/>
        <v>0</v>
      </c>
      <c r="FS16" s="355">
        <f t="shared" si="18"/>
        <v>0</v>
      </c>
      <c r="FT16" s="355">
        <f t="shared" si="18"/>
        <v>0</v>
      </c>
      <c r="FU16" s="355">
        <f t="shared" si="18"/>
        <v>0</v>
      </c>
      <c r="FV16" s="355">
        <f t="shared" si="18"/>
        <v>0</v>
      </c>
      <c r="FW16" s="355">
        <f t="shared" si="18"/>
        <v>0</v>
      </c>
      <c r="FX16" s="355">
        <f t="shared" si="18"/>
        <v>0</v>
      </c>
      <c r="FY16" s="355">
        <f t="shared" si="18"/>
        <v>0</v>
      </c>
      <c r="FZ16" s="355">
        <f t="shared" si="18"/>
        <v>0</v>
      </c>
      <c r="GA16" s="355">
        <f t="shared" si="18"/>
        <v>0</v>
      </c>
      <c r="GB16" s="355">
        <f t="shared" si="18"/>
        <v>0</v>
      </c>
    </row>
    <row r="17" spans="1:184">
      <c r="A17" s="566">
        <f>A12</f>
        <v>3</v>
      </c>
      <c r="B17" s="564" t="str">
        <f>B7</f>
        <v>Nhà ở xã hội 3</v>
      </c>
      <c r="C17" s="565">
        <f t="shared" ref="C17" si="19">SUM(EN17:GB17)</f>
        <v>48473541049.58606</v>
      </c>
      <c r="D17" s="565">
        <f>SUMIF('5. KHBH'!$I$8:$I$11,B7,'5. KHBH'!$M$8:$M$11)</f>
        <v>14464.295999999998</v>
      </c>
      <c r="E17" s="355"/>
      <c r="F17" s="355"/>
      <c r="G17" s="355"/>
      <c r="H17" s="355"/>
      <c r="I17" s="355"/>
      <c r="J17" s="355"/>
      <c r="K17" s="355"/>
      <c r="L17" s="355"/>
      <c r="M17" s="355"/>
      <c r="N17" s="355"/>
      <c r="O17" s="355"/>
      <c r="P17" s="355"/>
      <c r="Q17" s="355"/>
      <c r="R17" s="355"/>
      <c r="S17" s="355"/>
      <c r="T17" s="355"/>
      <c r="U17" s="355"/>
      <c r="V17" s="355"/>
      <c r="W17" s="355"/>
      <c r="X17" s="355"/>
      <c r="Y17" s="355"/>
      <c r="Z17" s="355"/>
      <c r="AA17" s="355"/>
      <c r="AB17" s="355"/>
      <c r="AC17" s="355"/>
      <c r="AD17" s="355"/>
      <c r="AE17" s="355"/>
      <c r="AF17" s="355"/>
      <c r="AG17" s="355"/>
      <c r="AH17" s="355"/>
      <c r="AI17" s="355"/>
      <c r="AJ17" s="355"/>
      <c r="AK17" s="355"/>
      <c r="AL17" s="355"/>
      <c r="AM17" s="355"/>
      <c r="AN17" s="355"/>
      <c r="AO17" s="355"/>
      <c r="AP17" s="355"/>
      <c r="AQ17" s="355"/>
      <c r="AR17" s="355"/>
      <c r="AS17" s="355"/>
      <c r="AT17" s="355"/>
      <c r="AU17" s="355"/>
      <c r="AV17" s="355"/>
      <c r="AW17" s="355"/>
      <c r="AX17" s="355"/>
      <c r="AY17" s="355"/>
      <c r="AZ17" s="355"/>
      <c r="BA17" s="355"/>
      <c r="BB17" s="355"/>
      <c r="BC17" s="355"/>
      <c r="BD17" s="355"/>
      <c r="BE17" s="355"/>
      <c r="BF17" s="355"/>
      <c r="BG17" s="355"/>
      <c r="BH17" s="355"/>
      <c r="BI17" s="355"/>
      <c r="BJ17" s="355"/>
      <c r="BK17" s="355"/>
      <c r="BL17" s="355"/>
      <c r="BM17" s="355"/>
      <c r="BN17" s="355"/>
      <c r="BO17" s="355"/>
      <c r="BP17" s="355"/>
      <c r="BQ17" s="355"/>
      <c r="BR17" s="355"/>
      <c r="BS17" s="355"/>
      <c r="BT17" s="355"/>
      <c r="BU17" s="355"/>
      <c r="BV17" s="355"/>
      <c r="BW17" s="355"/>
      <c r="BX17" s="355"/>
      <c r="BY17" s="355"/>
      <c r="BZ17" s="355"/>
      <c r="CA17" s="355"/>
      <c r="CB17" s="355"/>
      <c r="CC17" s="355"/>
      <c r="CD17" s="355"/>
      <c r="CE17" s="355"/>
      <c r="CF17" s="355"/>
      <c r="CG17" s="355"/>
      <c r="CH17" s="355"/>
      <c r="CI17" s="355"/>
      <c r="CJ17" s="355"/>
      <c r="CK17" s="355"/>
      <c r="CL17" s="355"/>
      <c r="CM17" s="355"/>
      <c r="CN17" s="355"/>
      <c r="CO17" s="355"/>
      <c r="CP17" s="355"/>
      <c r="CQ17" s="355"/>
      <c r="CR17" s="355"/>
      <c r="CS17" s="355"/>
      <c r="CT17" s="355"/>
      <c r="CU17" s="355"/>
      <c r="CV17" s="355"/>
      <c r="CW17" s="355"/>
      <c r="CX17" s="355"/>
      <c r="CY17" s="355"/>
      <c r="CZ17" s="355"/>
      <c r="DA17" s="355"/>
      <c r="DB17" s="355"/>
      <c r="DC17" s="355"/>
      <c r="DD17" s="355"/>
      <c r="DE17" s="355"/>
      <c r="DF17" s="355"/>
      <c r="DG17" s="355"/>
      <c r="DH17" s="355"/>
      <c r="DI17" s="355"/>
      <c r="DJ17" s="355"/>
      <c r="DK17" s="355"/>
      <c r="DL17" s="355"/>
      <c r="DM17" s="355"/>
      <c r="DN17" s="355"/>
      <c r="DO17" s="355"/>
      <c r="DP17" s="355"/>
      <c r="DQ17" s="355"/>
      <c r="DR17" s="355"/>
      <c r="DS17" s="355"/>
      <c r="DT17" s="355"/>
      <c r="DU17" s="355"/>
      <c r="DV17" s="355"/>
      <c r="DW17" s="355"/>
      <c r="DX17" s="355"/>
      <c r="DY17" s="355"/>
      <c r="DZ17" s="355"/>
      <c r="EA17" s="355"/>
      <c r="EB17" s="355"/>
      <c r="EC17" s="355"/>
      <c r="ED17" s="355"/>
      <c r="EE17" s="355"/>
      <c r="EF17" s="355"/>
      <c r="EG17" s="355"/>
      <c r="EH17" s="355"/>
      <c r="EI17" s="355"/>
      <c r="EJ17" s="355"/>
      <c r="EK17" s="355"/>
      <c r="EL17" s="355"/>
      <c r="EM17" s="355"/>
      <c r="EN17" s="355">
        <f t="shared" ref="EN17:GB18" si="20">+EN7-EN12</f>
        <v>0</v>
      </c>
      <c r="EO17" s="355">
        <f t="shared" si="20"/>
        <v>0</v>
      </c>
      <c r="EP17" s="355">
        <f t="shared" si="20"/>
        <v>0</v>
      </c>
      <c r="EQ17" s="355">
        <f t="shared" si="20"/>
        <v>0</v>
      </c>
      <c r="ER17" s="355">
        <f t="shared" si="20"/>
        <v>0</v>
      </c>
      <c r="ES17" s="355">
        <f t="shared" si="20"/>
        <v>0</v>
      </c>
      <c r="ET17" s="355">
        <f t="shared" si="20"/>
        <v>0</v>
      </c>
      <c r="EU17" s="355">
        <f t="shared" si="20"/>
        <v>0</v>
      </c>
      <c r="EV17" s="355">
        <f t="shared" si="20"/>
        <v>0</v>
      </c>
      <c r="EW17" s="355">
        <f t="shared" si="20"/>
        <v>0</v>
      </c>
      <c r="EX17" s="355">
        <f t="shared" si="20"/>
        <v>0</v>
      </c>
      <c r="EY17" s="355">
        <f t="shared" si="20"/>
        <v>0</v>
      </c>
      <c r="EZ17" s="355">
        <f t="shared" si="20"/>
        <v>0</v>
      </c>
      <c r="FA17" s="355">
        <f t="shared" si="20"/>
        <v>0</v>
      </c>
      <c r="FB17" s="355">
        <f t="shared" si="20"/>
        <v>0</v>
      </c>
      <c r="FC17" s="355">
        <f t="shared" si="20"/>
        <v>0</v>
      </c>
      <c r="FD17" s="355">
        <f t="shared" si="20"/>
        <v>0</v>
      </c>
      <c r="FE17" s="355">
        <f t="shared" si="20"/>
        <v>0</v>
      </c>
      <c r="FF17" s="355">
        <f t="shared" si="20"/>
        <v>0</v>
      </c>
      <c r="FG17" s="355">
        <f t="shared" si="20"/>
        <v>0</v>
      </c>
      <c r="FH17" s="355">
        <f t="shared" si="20"/>
        <v>0</v>
      </c>
      <c r="FI17" s="355">
        <f t="shared" si="20"/>
        <v>0</v>
      </c>
      <c r="FJ17" s="355">
        <f t="shared" si="20"/>
        <v>0</v>
      </c>
      <c r="FK17" s="355">
        <f t="shared" si="20"/>
        <v>0</v>
      </c>
      <c r="FL17" s="355">
        <f t="shared" si="20"/>
        <v>0</v>
      </c>
      <c r="FM17" s="355">
        <f t="shared" si="20"/>
        <v>0</v>
      </c>
      <c r="FN17" s="355">
        <f t="shared" si="20"/>
        <v>0</v>
      </c>
      <c r="FO17" s="355">
        <f t="shared" si="20"/>
        <v>0</v>
      </c>
      <c r="FP17" s="355">
        <f t="shared" si="20"/>
        <v>0</v>
      </c>
      <c r="FQ17" s="355">
        <f t="shared" si="20"/>
        <v>48473541049.58606</v>
      </c>
      <c r="FR17" s="355">
        <f t="shared" si="20"/>
        <v>0</v>
      </c>
      <c r="FS17" s="355">
        <f t="shared" si="20"/>
        <v>0</v>
      </c>
      <c r="FT17" s="355">
        <f t="shared" si="20"/>
        <v>0</v>
      </c>
      <c r="FU17" s="355">
        <f t="shared" si="20"/>
        <v>0</v>
      </c>
      <c r="FV17" s="355">
        <f t="shared" si="20"/>
        <v>0</v>
      </c>
      <c r="FW17" s="355">
        <f t="shared" si="20"/>
        <v>0</v>
      </c>
      <c r="FX17" s="355">
        <f t="shared" si="20"/>
        <v>0</v>
      </c>
      <c r="FY17" s="355">
        <f t="shared" si="20"/>
        <v>0</v>
      </c>
      <c r="FZ17" s="355">
        <f t="shared" si="20"/>
        <v>0</v>
      </c>
      <c r="GA17" s="355">
        <f t="shared" si="20"/>
        <v>0</v>
      </c>
      <c r="GB17" s="355">
        <f t="shared" si="20"/>
        <v>0</v>
      </c>
    </row>
    <row r="18" spans="1:184">
      <c r="A18" s="566">
        <f>A13</f>
        <v>4</v>
      </c>
      <c r="B18" s="564" t="str">
        <f>B8</f>
        <v>Liền kề 1</v>
      </c>
      <c r="C18" s="565">
        <f t="shared" si="17"/>
        <v>130204905519.54642</v>
      </c>
      <c r="D18" s="565">
        <f>SUMIF('5. KHBH'!$I$8:$I$11,B8,'5. KHBH'!$M$8:$M$11)</f>
        <v>4320.5</v>
      </c>
      <c r="E18" s="355"/>
      <c r="F18" s="355"/>
      <c r="G18" s="355"/>
      <c r="H18" s="355"/>
      <c r="I18" s="355"/>
      <c r="J18" s="355"/>
      <c r="K18" s="355"/>
      <c r="L18" s="355"/>
      <c r="M18" s="355"/>
      <c r="N18" s="355"/>
      <c r="O18" s="355"/>
      <c r="P18" s="355"/>
      <c r="Q18" s="355"/>
      <c r="R18" s="355"/>
      <c r="S18" s="355"/>
      <c r="T18" s="355"/>
      <c r="U18" s="355"/>
      <c r="V18" s="355"/>
      <c r="W18" s="355"/>
      <c r="X18" s="355"/>
      <c r="Y18" s="355"/>
      <c r="Z18" s="355"/>
      <c r="AA18" s="355"/>
      <c r="AB18" s="355"/>
      <c r="AC18" s="355"/>
      <c r="AD18" s="355"/>
      <c r="AE18" s="355"/>
      <c r="AF18" s="355"/>
      <c r="AG18" s="355"/>
      <c r="AH18" s="355"/>
      <c r="AI18" s="355"/>
      <c r="AJ18" s="355"/>
      <c r="AK18" s="355"/>
      <c r="AL18" s="355"/>
      <c r="AM18" s="355"/>
      <c r="AN18" s="355"/>
      <c r="AO18" s="355"/>
      <c r="AP18" s="355"/>
      <c r="AQ18" s="355"/>
      <c r="AR18" s="355"/>
      <c r="AS18" s="355"/>
      <c r="AT18" s="355"/>
      <c r="AU18" s="355"/>
      <c r="AV18" s="355"/>
      <c r="AW18" s="355"/>
      <c r="AX18" s="355"/>
      <c r="AY18" s="355"/>
      <c r="AZ18" s="355"/>
      <c r="BA18" s="355"/>
      <c r="BB18" s="355"/>
      <c r="BC18" s="355"/>
      <c r="BD18" s="355"/>
      <c r="BE18" s="355"/>
      <c r="BF18" s="355"/>
      <c r="BG18" s="355"/>
      <c r="BH18" s="355"/>
      <c r="BI18" s="355"/>
      <c r="BJ18" s="355"/>
      <c r="BK18" s="355"/>
      <c r="BL18" s="355"/>
      <c r="BM18" s="355"/>
      <c r="BN18" s="355"/>
      <c r="BO18" s="355"/>
      <c r="BP18" s="355"/>
      <c r="BQ18" s="355"/>
      <c r="BR18" s="355"/>
      <c r="BS18" s="355"/>
      <c r="BT18" s="355"/>
      <c r="BU18" s="355"/>
      <c r="BV18" s="355"/>
      <c r="BW18" s="355"/>
      <c r="BX18" s="355"/>
      <c r="BY18" s="355"/>
      <c r="BZ18" s="355"/>
      <c r="CA18" s="355"/>
      <c r="CB18" s="355"/>
      <c r="CC18" s="355"/>
      <c r="CD18" s="355"/>
      <c r="CE18" s="355"/>
      <c r="CF18" s="355"/>
      <c r="CG18" s="355"/>
      <c r="CH18" s="355"/>
      <c r="CI18" s="355"/>
      <c r="CJ18" s="355"/>
      <c r="CK18" s="355"/>
      <c r="CL18" s="355"/>
      <c r="CM18" s="355"/>
      <c r="CN18" s="355"/>
      <c r="CO18" s="355"/>
      <c r="CP18" s="355"/>
      <c r="CQ18" s="355"/>
      <c r="CR18" s="355"/>
      <c r="CS18" s="355"/>
      <c r="CT18" s="355"/>
      <c r="CU18" s="355"/>
      <c r="CV18" s="355"/>
      <c r="CW18" s="355"/>
      <c r="CX18" s="355"/>
      <c r="CY18" s="355"/>
      <c r="CZ18" s="355"/>
      <c r="DA18" s="355"/>
      <c r="DB18" s="355"/>
      <c r="DC18" s="355"/>
      <c r="DD18" s="355"/>
      <c r="DE18" s="355"/>
      <c r="DF18" s="355"/>
      <c r="DG18" s="355"/>
      <c r="DH18" s="355"/>
      <c r="DI18" s="355"/>
      <c r="DJ18" s="355"/>
      <c r="DK18" s="355"/>
      <c r="DL18" s="355"/>
      <c r="DM18" s="355"/>
      <c r="DN18" s="355"/>
      <c r="DO18" s="355"/>
      <c r="DP18" s="355"/>
      <c r="DQ18" s="355"/>
      <c r="DR18" s="355"/>
      <c r="DS18" s="355"/>
      <c r="DT18" s="355"/>
      <c r="DU18" s="355"/>
      <c r="DV18" s="355"/>
      <c r="DW18" s="355"/>
      <c r="DX18" s="355"/>
      <c r="DY18" s="355"/>
      <c r="DZ18" s="355"/>
      <c r="EA18" s="355"/>
      <c r="EB18" s="355"/>
      <c r="EC18" s="355"/>
      <c r="ED18" s="355"/>
      <c r="EE18" s="355"/>
      <c r="EF18" s="355"/>
      <c r="EG18" s="355"/>
      <c r="EH18" s="355"/>
      <c r="EI18" s="355"/>
      <c r="EJ18" s="355"/>
      <c r="EK18" s="355"/>
      <c r="EL18" s="355"/>
      <c r="EM18" s="355"/>
      <c r="EN18" s="355">
        <f t="shared" si="20"/>
        <v>0</v>
      </c>
      <c r="EO18" s="355">
        <f t="shared" si="20"/>
        <v>0</v>
      </c>
      <c r="EP18" s="355">
        <f t="shared" si="20"/>
        <v>0</v>
      </c>
      <c r="EQ18" s="355">
        <f t="shared" si="20"/>
        <v>0</v>
      </c>
      <c r="ER18" s="355">
        <f t="shared" si="20"/>
        <v>0</v>
      </c>
      <c r="ES18" s="355">
        <f t="shared" si="20"/>
        <v>0</v>
      </c>
      <c r="ET18" s="355">
        <f t="shared" si="20"/>
        <v>0</v>
      </c>
      <c r="EU18" s="355">
        <f t="shared" si="20"/>
        <v>0</v>
      </c>
      <c r="EV18" s="355">
        <f t="shared" si="20"/>
        <v>0</v>
      </c>
      <c r="EW18" s="355">
        <f t="shared" si="20"/>
        <v>0</v>
      </c>
      <c r="EX18" s="355">
        <f t="shared" si="20"/>
        <v>0</v>
      </c>
      <c r="EY18" s="355">
        <f t="shared" si="20"/>
        <v>0</v>
      </c>
      <c r="EZ18" s="355">
        <f t="shared" si="20"/>
        <v>0</v>
      </c>
      <c r="FA18" s="355">
        <f t="shared" si="20"/>
        <v>0</v>
      </c>
      <c r="FB18" s="355">
        <f t="shared" si="20"/>
        <v>0</v>
      </c>
      <c r="FC18" s="355">
        <f t="shared" si="20"/>
        <v>0</v>
      </c>
      <c r="FD18" s="355">
        <f t="shared" si="20"/>
        <v>0</v>
      </c>
      <c r="FE18" s="355">
        <f t="shared" si="20"/>
        <v>0</v>
      </c>
      <c r="FF18" s="355">
        <f t="shared" si="20"/>
        <v>0</v>
      </c>
      <c r="FG18" s="355">
        <f t="shared" si="20"/>
        <v>0</v>
      </c>
      <c r="FH18" s="355">
        <f t="shared" si="20"/>
        <v>0</v>
      </c>
      <c r="FI18" s="355">
        <f t="shared" si="20"/>
        <v>130204905519.54642</v>
      </c>
      <c r="FJ18" s="355">
        <f t="shared" si="20"/>
        <v>0</v>
      </c>
      <c r="FK18" s="355">
        <f t="shared" si="20"/>
        <v>0</v>
      </c>
      <c r="FL18" s="355">
        <f t="shared" si="20"/>
        <v>0</v>
      </c>
      <c r="FM18" s="355">
        <f t="shared" si="20"/>
        <v>0</v>
      </c>
      <c r="FN18" s="355">
        <f t="shared" si="20"/>
        <v>0</v>
      </c>
      <c r="FO18" s="355">
        <f t="shared" si="20"/>
        <v>0</v>
      </c>
      <c r="FP18" s="355">
        <f t="shared" si="20"/>
        <v>0</v>
      </c>
      <c r="FQ18" s="355">
        <f t="shared" si="20"/>
        <v>0</v>
      </c>
      <c r="FR18" s="355">
        <f t="shared" si="20"/>
        <v>0</v>
      </c>
      <c r="FS18" s="355">
        <f t="shared" si="20"/>
        <v>0</v>
      </c>
      <c r="FT18" s="355">
        <f t="shared" si="20"/>
        <v>0</v>
      </c>
      <c r="FU18" s="355">
        <f t="shared" si="20"/>
        <v>0</v>
      </c>
      <c r="FV18" s="355">
        <f t="shared" si="20"/>
        <v>0</v>
      </c>
      <c r="FW18" s="355">
        <f t="shared" si="20"/>
        <v>0</v>
      </c>
      <c r="FX18" s="355">
        <f t="shared" si="20"/>
        <v>0</v>
      </c>
      <c r="FY18" s="355">
        <f t="shared" si="20"/>
        <v>0</v>
      </c>
      <c r="FZ18" s="355">
        <f t="shared" si="20"/>
        <v>0</v>
      </c>
      <c r="GA18" s="355">
        <f t="shared" si="20"/>
        <v>0</v>
      </c>
      <c r="GB18" s="355">
        <f t="shared" si="20"/>
        <v>0</v>
      </c>
    </row>
    <row r="19" spans="1:184">
      <c r="A19" s="559" t="s">
        <v>36</v>
      </c>
      <c r="B19" s="569" t="str">
        <f>'8. Hiệu quả dự án và CĐT'!B10</f>
        <v xml:space="preserve">Chi phí bán hàng </v>
      </c>
      <c r="C19" s="561">
        <f>(C4)*'1. Tổng hợp'!$D$19</f>
        <v>27926171272.727272</v>
      </c>
      <c r="D19" s="561"/>
      <c r="E19" s="354"/>
      <c r="F19" s="354"/>
      <c r="G19" s="354"/>
      <c r="H19" s="354"/>
      <c r="I19" s="354"/>
      <c r="J19" s="354"/>
      <c r="K19" s="354"/>
      <c r="L19" s="354"/>
      <c r="M19" s="354"/>
      <c r="N19" s="354"/>
      <c r="O19" s="354"/>
      <c r="P19" s="354"/>
      <c r="Q19" s="354"/>
      <c r="R19" s="354"/>
      <c r="S19" s="354"/>
      <c r="T19" s="354"/>
      <c r="U19" s="354"/>
      <c r="V19" s="354"/>
      <c r="W19" s="354"/>
      <c r="X19" s="354"/>
      <c r="Y19" s="354"/>
      <c r="Z19" s="354"/>
      <c r="AA19" s="354"/>
      <c r="AB19" s="354"/>
      <c r="AC19" s="354"/>
      <c r="AD19" s="354"/>
      <c r="AE19" s="354"/>
      <c r="AF19" s="354"/>
      <c r="AG19" s="354"/>
      <c r="AH19" s="354"/>
      <c r="AI19" s="354"/>
      <c r="AJ19" s="354"/>
      <c r="AK19" s="354"/>
      <c r="AL19" s="354"/>
      <c r="AM19" s="354"/>
      <c r="AN19" s="354"/>
      <c r="AO19" s="354"/>
      <c r="AP19" s="354"/>
      <c r="AQ19" s="354"/>
      <c r="AR19" s="354"/>
      <c r="AS19" s="354"/>
      <c r="AT19" s="354"/>
      <c r="AU19" s="354"/>
      <c r="AV19" s="354"/>
      <c r="AW19" s="354"/>
      <c r="AX19" s="354"/>
      <c r="AY19" s="354"/>
      <c r="AZ19" s="354"/>
      <c r="BA19" s="354"/>
      <c r="BB19" s="354"/>
      <c r="BC19" s="354"/>
      <c r="BD19" s="354"/>
      <c r="BE19" s="354"/>
      <c r="BF19" s="354"/>
      <c r="BG19" s="354"/>
      <c r="BH19" s="354"/>
      <c r="BI19" s="354"/>
      <c r="BJ19" s="354"/>
      <c r="BK19" s="354"/>
      <c r="BL19" s="354"/>
      <c r="BM19" s="354"/>
      <c r="BN19" s="354"/>
      <c r="BO19" s="354"/>
      <c r="BP19" s="354"/>
      <c r="BQ19" s="354"/>
      <c r="BR19" s="354"/>
      <c r="BS19" s="354"/>
      <c r="BT19" s="354"/>
      <c r="BU19" s="354"/>
      <c r="BV19" s="354"/>
      <c r="BW19" s="354"/>
      <c r="BX19" s="354"/>
      <c r="BY19" s="354"/>
      <c r="BZ19" s="354"/>
      <c r="CA19" s="354"/>
      <c r="CB19" s="354"/>
      <c r="CC19" s="354"/>
      <c r="CD19" s="354"/>
      <c r="CE19" s="354"/>
      <c r="CF19" s="354"/>
      <c r="CG19" s="354"/>
      <c r="CH19" s="354"/>
      <c r="CI19" s="354"/>
      <c r="CJ19" s="354"/>
      <c r="CK19" s="354"/>
      <c r="CL19" s="354"/>
      <c r="CM19" s="354"/>
      <c r="CN19" s="354"/>
      <c r="CO19" s="354"/>
      <c r="CP19" s="354"/>
      <c r="CQ19" s="354"/>
      <c r="CR19" s="354"/>
      <c r="CS19" s="354"/>
      <c r="CT19" s="354"/>
      <c r="CU19" s="354"/>
      <c r="CV19" s="354"/>
      <c r="CW19" s="354"/>
      <c r="CX19" s="354"/>
      <c r="CY19" s="354"/>
      <c r="CZ19" s="354"/>
      <c r="DA19" s="354"/>
      <c r="DB19" s="354"/>
      <c r="DC19" s="354"/>
      <c r="DD19" s="354"/>
      <c r="DE19" s="354"/>
      <c r="DF19" s="354"/>
      <c r="DG19" s="354"/>
      <c r="DH19" s="354"/>
      <c r="DI19" s="354"/>
      <c r="DJ19" s="354"/>
      <c r="DK19" s="354"/>
      <c r="DL19" s="354"/>
      <c r="DM19" s="354"/>
      <c r="DN19" s="354"/>
      <c r="DO19" s="354"/>
      <c r="DP19" s="354"/>
      <c r="DQ19" s="354"/>
      <c r="DR19" s="354"/>
      <c r="DS19" s="354"/>
      <c r="DT19" s="354"/>
      <c r="DU19" s="354"/>
      <c r="DV19" s="354"/>
      <c r="DW19" s="354"/>
      <c r="DX19" s="354"/>
      <c r="DY19" s="354"/>
      <c r="DZ19" s="354"/>
      <c r="EA19" s="354"/>
      <c r="EB19" s="354"/>
      <c r="EC19" s="354"/>
      <c r="ED19" s="354"/>
      <c r="EE19" s="354"/>
      <c r="EF19" s="354"/>
      <c r="EG19" s="354"/>
      <c r="EH19" s="354"/>
      <c r="EI19" s="354"/>
      <c r="EJ19" s="354"/>
      <c r="EK19" s="354"/>
      <c r="EL19" s="354"/>
      <c r="EM19" s="354"/>
      <c r="EN19" s="354">
        <f t="shared" ref="EN19:GB19" si="21">+EN4*$C$19/$C$4</f>
        <v>0</v>
      </c>
      <c r="EO19" s="354">
        <f t="shared" si="21"/>
        <v>0</v>
      </c>
      <c r="EP19" s="354">
        <f t="shared" si="21"/>
        <v>0</v>
      </c>
      <c r="EQ19" s="354">
        <f t="shared" si="21"/>
        <v>0</v>
      </c>
      <c r="ER19" s="354">
        <f t="shared" si="21"/>
        <v>0</v>
      </c>
      <c r="ES19" s="354">
        <f t="shared" si="21"/>
        <v>0</v>
      </c>
      <c r="ET19" s="354">
        <f t="shared" si="21"/>
        <v>0</v>
      </c>
      <c r="EU19" s="354">
        <f t="shared" si="21"/>
        <v>0</v>
      </c>
      <c r="EV19" s="354">
        <f t="shared" si="21"/>
        <v>0</v>
      </c>
      <c r="EW19" s="354">
        <f t="shared" si="21"/>
        <v>0</v>
      </c>
      <c r="EX19" s="354">
        <f t="shared" si="21"/>
        <v>0</v>
      </c>
      <c r="EY19" s="354">
        <f t="shared" si="21"/>
        <v>0</v>
      </c>
      <c r="EZ19" s="354">
        <f t="shared" si="21"/>
        <v>0</v>
      </c>
      <c r="FA19" s="354">
        <f t="shared" si="21"/>
        <v>0</v>
      </c>
      <c r="FB19" s="354">
        <f t="shared" si="21"/>
        <v>0</v>
      </c>
      <c r="FC19" s="354">
        <f t="shared" si="21"/>
        <v>0</v>
      </c>
      <c r="FD19" s="354">
        <f t="shared" si="21"/>
        <v>0</v>
      </c>
      <c r="FE19" s="354">
        <f t="shared" si="21"/>
        <v>0</v>
      </c>
      <c r="FF19" s="354">
        <f t="shared" si="21"/>
        <v>0</v>
      </c>
      <c r="FG19" s="354">
        <f t="shared" si="21"/>
        <v>0</v>
      </c>
      <c r="FH19" s="354">
        <f t="shared" si="21"/>
        <v>0</v>
      </c>
      <c r="FI19" s="354">
        <f t="shared" si="21"/>
        <v>14867783272.727272</v>
      </c>
      <c r="FJ19" s="354">
        <f t="shared" si="21"/>
        <v>0</v>
      </c>
      <c r="FK19" s="354">
        <f t="shared" si="21"/>
        <v>0</v>
      </c>
      <c r="FL19" s="354">
        <f t="shared" si="21"/>
        <v>0</v>
      </c>
      <c r="FM19" s="354">
        <f t="shared" si="21"/>
        <v>7141176000.000001</v>
      </c>
      <c r="FN19" s="354">
        <f t="shared" si="21"/>
        <v>0</v>
      </c>
      <c r="FO19" s="354">
        <f t="shared" si="21"/>
        <v>0</v>
      </c>
      <c r="FP19" s="354">
        <f t="shared" si="21"/>
        <v>0</v>
      </c>
      <c r="FQ19" s="354">
        <f t="shared" si="21"/>
        <v>5917211999.999999</v>
      </c>
      <c r="FR19" s="354">
        <f t="shared" si="21"/>
        <v>0</v>
      </c>
      <c r="FS19" s="354">
        <f t="shared" si="21"/>
        <v>0</v>
      </c>
      <c r="FT19" s="354">
        <f t="shared" si="21"/>
        <v>0</v>
      </c>
      <c r="FU19" s="354">
        <f t="shared" si="21"/>
        <v>0</v>
      </c>
      <c r="FV19" s="354">
        <f t="shared" si="21"/>
        <v>0</v>
      </c>
      <c r="FW19" s="354">
        <f t="shared" si="21"/>
        <v>0</v>
      </c>
      <c r="FX19" s="354">
        <f t="shared" si="21"/>
        <v>0</v>
      </c>
      <c r="FY19" s="354">
        <f t="shared" si="21"/>
        <v>0</v>
      </c>
      <c r="FZ19" s="354">
        <f t="shared" si="21"/>
        <v>0</v>
      </c>
      <c r="GA19" s="354">
        <f t="shared" si="21"/>
        <v>0</v>
      </c>
      <c r="GB19" s="354">
        <f t="shared" si="21"/>
        <v>0</v>
      </c>
    </row>
    <row r="20" spans="1:184" s="209" customFormat="1">
      <c r="A20" s="559" t="s">
        <v>161</v>
      </c>
      <c r="B20" s="570" t="str">
        <f>'1. Tổng hợp'!B23</f>
        <v>Chi phí quản lý doanh nghiệp</v>
      </c>
      <c r="C20" s="561">
        <f>C4*'1. Tổng hợp'!$D$23</f>
        <v>27926171272.727272</v>
      </c>
      <c r="D20" s="561"/>
      <c r="E20" s="354"/>
      <c r="F20" s="354"/>
      <c r="G20" s="354"/>
      <c r="H20" s="354"/>
      <c r="I20" s="354"/>
      <c r="J20" s="354"/>
      <c r="K20" s="354"/>
      <c r="L20" s="354"/>
      <c r="M20" s="354"/>
      <c r="N20" s="354"/>
      <c r="O20" s="354"/>
      <c r="P20" s="354"/>
      <c r="Q20" s="354"/>
      <c r="R20" s="354"/>
      <c r="S20" s="354"/>
      <c r="T20" s="354"/>
      <c r="U20" s="354"/>
      <c r="V20" s="354"/>
      <c r="W20" s="354"/>
      <c r="X20" s="354"/>
      <c r="Y20" s="354"/>
      <c r="Z20" s="354"/>
      <c r="AA20" s="354"/>
      <c r="AB20" s="354"/>
      <c r="AC20" s="354"/>
      <c r="AD20" s="354"/>
      <c r="AE20" s="354"/>
      <c r="AF20" s="354"/>
      <c r="AG20" s="354"/>
      <c r="AH20" s="354"/>
      <c r="AI20" s="354"/>
      <c r="AJ20" s="354"/>
      <c r="AK20" s="354"/>
      <c r="AL20" s="354"/>
      <c r="AM20" s="354"/>
      <c r="AN20" s="354"/>
      <c r="AO20" s="354"/>
      <c r="AP20" s="354"/>
      <c r="AQ20" s="354"/>
      <c r="AR20" s="354"/>
      <c r="AS20" s="354"/>
      <c r="AT20" s="354"/>
      <c r="AU20" s="354"/>
      <c r="AV20" s="354"/>
      <c r="AW20" s="354"/>
      <c r="AX20" s="354"/>
      <c r="AY20" s="354"/>
      <c r="AZ20" s="354"/>
      <c r="BA20" s="354"/>
      <c r="BB20" s="354"/>
      <c r="BC20" s="354"/>
      <c r="BD20" s="354"/>
      <c r="BE20" s="354"/>
      <c r="BF20" s="354"/>
      <c r="BG20" s="354"/>
      <c r="BH20" s="354"/>
      <c r="BI20" s="354"/>
      <c r="BJ20" s="354"/>
      <c r="BK20" s="354"/>
      <c r="BL20" s="354"/>
      <c r="BM20" s="354"/>
      <c r="BN20" s="354"/>
      <c r="BO20" s="354"/>
      <c r="BP20" s="354"/>
      <c r="BQ20" s="354"/>
      <c r="BR20" s="354"/>
      <c r="BS20" s="354"/>
      <c r="BT20" s="354"/>
      <c r="BU20" s="354"/>
      <c r="BV20" s="354"/>
      <c r="BW20" s="354"/>
      <c r="BX20" s="354"/>
      <c r="BY20" s="354"/>
      <c r="BZ20" s="354"/>
      <c r="CA20" s="354"/>
      <c r="CB20" s="354"/>
      <c r="CC20" s="354"/>
      <c r="CD20" s="354"/>
      <c r="CE20" s="354"/>
      <c r="CF20" s="354"/>
      <c r="CG20" s="354"/>
      <c r="CH20" s="354"/>
      <c r="CI20" s="354"/>
      <c r="CJ20" s="354"/>
      <c r="CK20" s="354"/>
      <c r="CL20" s="354"/>
      <c r="CM20" s="354"/>
      <c r="CN20" s="354"/>
      <c r="CO20" s="354"/>
      <c r="CP20" s="354"/>
      <c r="CQ20" s="354"/>
      <c r="CR20" s="354"/>
      <c r="CS20" s="354"/>
      <c r="CT20" s="354"/>
      <c r="CU20" s="354"/>
      <c r="CV20" s="354"/>
      <c r="CW20" s="354"/>
      <c r="CX20" s="354"/>
      <c r="CY20" s="354"/>
      <c r="CZ20" s="354"/>
      <c r="DA20" s="354"/>
      <c r="DB20" s="354"/>
      <c r="DC20" s="354"/>
      <c r="DD20" s="354"/>
      <c r="DE20" s="354"/>
      <c r="DF20" s="354"/>
      <c r="DG20" s="354"/>
      <c r="DH20" s="354"/>
      <c r="DI20" s="354"/>
      <c r="DJ20" s="354"/>
      <c r="DK20" s="354"/>
      <c r="DL20" s="354"/>
      <c r="DM20" s="354"/>
      <c r="DN20" s="354"/>
      <c r="DO20" s="354"/>
      <c r="DP20" s="354"/>
      <c r="DQ20" s="354"/>
      <c r="DR20" s="354"/>
      <c r="DS20" s="354"/>
      <c r="DT20" s="354"/>
      <c r="DU20" s="354"/>
      <c r="DV20" s="354"/>
      <c r="DW20" s="354"/>
      <c r="DX20" s="354"/>
      <c r="DY20" s="354"/>
      <c r="DZ20" s="354"/>
      <c r="EA20" s="354"/>
      <c r="EB20" s="354"/>
      <c r="EC20" s="354"/>
      <c r="ED20" s="354"/>
      <c r="EE20" s="354"/>
      <c r="EF20" s="354"/>
      <c r="EG20" s="354"/>
      <c r="EH20" s="354"/>
      <c r="EI20" s="354"/>
      <c r="EJ20" s="354"/>
      <c r="EK20" s="354"/>
      <c r="EL20" s="354"/>
      <c r="EM20" s="354"/>
      <c r="EN20" s="354">
        <f t="shared" ref="EN20:GB20" si="22">+EN4*$C$20/$C$4</f>
        <v>0</v>
      </c>
      <c r="EO20" s="354">
        <f t="shared" si="22"/>
        <v>0</v>
      </c>
      <c r="EP20" s="354">
        <f t="shared" si="22"/>
        <v>0</v>
      </c>
      <c r="EQ20" s="354">
        <f t="shared" si="22"/>
        <v>0</v>
      </c>
      <c r="ER20" s="354">
        <f t="shared" si="22"/>
        <v>0</v>
      </c>
      <c r="ES20" s="354">
        <f t="shared" si="22"/>
        <v>0</v>
      </c>
      <c r="ET20" s="354">
        <f t="shared" si="22"/>
        <v>0</v>
      </c>
      <c r="EU20" s="354">
        <f t="shared" si="22"/>
        <v>0</v>
      </c>
      <c r="EV20" s="354">
        <f t="shared" si="22"/>
        <v>0</v>
      </c>
      <c r="EW20" s="354">
        <f t="shared" si="22"/>
        <v>0</v>
      </c>
      <c r="EX20" s="354">
        <f t="shared" si="22"/>
        <v>0</v>
      </c>
      <c r="EY20" s="354">
        <f t="shared" si="22"/>
        <v>0</v>
      </c>
      <c r="EZ20" s="354">
        <f t="shared" si="22"/>
        <v>0</v>
      </c>
      <c r="FA20" s="354">
        <f t="shared" si="22"/>
        <v>0</v>
      </c>
      <c r="FB20" s="354">
        <f t="shared" si="22"/>
        <v>0</v>
      </c>
      <c r="FC20" s="354">
        <f t="shared" si="22"/>
        <v>0</v>
      </c>
      <c r="FD20" s="354">
        <f t="shared" si="22"/>
        <v>0</v>
      </c>
      <c r="FE20" s="354">
        <f t="shared" si="22"/>
        <v>0</v>
      </c>
      <c r="FF20" s="354">
        <f t="shared" si="22"/>
        <v>0</v>
      </c>
      <c r="FG20" s="354">
        <f t="shared" si="22"/>
        <v>0</v>
      </c>
      <c r="FH20" s="354">
        <f t="shared" si="22"/>
        <v>0</v>
      </c>
      <c r="FI20" s="354">
        <f t="shared" si="22"/>
        <v>14867783272.727272</v>
      </c>
      <c r="FJ20" s="354">
        <f t="shared" si="22"/>
        <v>0</v>
      </c>
      <c r="FK20" s="354">
        <f t="shared" si="22"/>
        <v>0</v>
      </c>
      <c r="FL20" s="354">
        <f t="shared" si="22"/>
        <v>0</v>
      </c>
      <c r="FM20" s="354">
        <f t="shared" si="22"/>
        <v>7141176000.000001</v>
      </c>
      <c r="FN20" s="354">
        <f t="shared" si="22"/>
        <v>0</v>
      </c>
      <c r="FO20" s="354">
        <f t="shared" si="22"/>
        <v>0</v>
      </c>
      <c r="FP20" s="354">
        <f t="shared" si="22"/>
        <v>0</v>
      </c>
      <c r="FQ20" s="354">
        <f t="shared" si="22"/>
        <v>5917211999.999999</v>
      </c>
      <c r="FR20" s="354">
        <f t="shared" si="22"/>
        <v>0</v>
      </c>
      <c r="FS20" s="354">
        <f t="shared" si="22"/>
        <v>0</v>
      </c>
      <c r="FT20" s="354">
        <f t="shared" si="22"/>
        <v>0</v>
      </c>
      <c r="FU20" s="354">
        <f t="shared" si="22"/>
        <v>0</v>
      </c>
      <c r="FV20" s="354">
        <f t="shared" si="22"/>
        <v>0</v>
      </c>
      <c r="FW20" s="354">
        <f t="shared" si="22"/>
        <v>0</v>
      </c>
      <c r="FX20" s="354">
        <f t="shared" si="22"/>
        <v>0</v>
      </c>
      <c r="FY20" s="354">
        <f t="shared" si="22"/>
        <v>0</v>
      </c>
      <c r="FZ20" s="354">
        <f t="shared" si="22"/>
        <v>0</v>
      </c>
      <c r="GA20" s="354">
        <f t="shared" si="22"/>
        <v>0</v>
      </c>
      <c r="GB20" s="354">
        <f t="shared" si="22"/>
        <v>0</v>
      </c>
    </row>
    <row r="21" spans="1:184" s="209" customFormat="1" ht="28">
      <c r="A21" s="559" t="s">
        <v>162</v>
      </c>
      <c r="B21" s="570" t="s">
        <v>163</v>
      </c>
      <c r="C21" s="561">
        <f>'4. Vay'!C23</f>
        <v>34643888075.743629</v>
      </c>
      <c r="D21" s="561"/>
      <c r="E21" s="354"/>
      <c r="F21" s="354"/>
      <c r="G21" s="354"/>
      <c r="H21" s="354"/>
      <c r="I21" s="354"/>
      <c r="J21" s="354"/>
      <c r="K21" s="354"/>
      <c r="L21" s="354"/>
      <c r="M21" s="354"/>
      <c r="N21" s="354"/>
      <c r="O21" s="354"/>
      <c r="P21" s="354"/>
      <c r="Q21" s="354"/>
      <c r="R21" s="354"/>
      <c r="S21" s="354"/>
      <c r="T21" s="354"/>
      <c r="U21" s="354"/>
      <c r="V21" s="354"/>
      <c r="W21" s="354"/>
      <c r="X21" s="354"/>
      <c r="Y21" s="354"/>
      <c r="Z21" s="354"/>
      <c r="AA21" s="354"/>
      <c r="AB21" s="354"/>
      <c r="AC21" s="354"/>
      <c r="AD21" s="354"/>
      <c r="AE21" s="354"/>
      <c r="AF21" s="354"/>
      <c r="AG21" s="354"/>
      <c r="AH21" s="354"/>
      <c r="AI21" s="354"/>
      <c r="AJ21" s="354"/>
      <c r="AK21" s="354"/>
      <c r="AL21" s="354"/>
      <c r="AM21" s="354"/>
      <c r="AN21" s="354"/>
      <c r="AO21" s="354"/>
      <c r="AP21" s="354"/>
      <c r="AQ21" s="354"/>
      <c r="AR21" s="354"/>
      <c r="AS21" s="354"/>
      <c r="AT21" s="354"/>
      <c r="AU21" s="354"/>
      <c r="AV21" s="354"/>
      <c r="AW21" s="354"/>
      <c r="AX21" s="354"/>
      <c r="AY21" s="354"/>
      <c r="AZ21" s="354"/>
      <c r="BA21" s="354"/>
      <c r="BB21" s="354"/>
      <c r="BC21" s="354"/>
      <c r="BD21" s="354"/>
      <c r="BE21" s="354"/>
      <c r="BF21" s="354"/>
      <c r="BG21" s="354"/>
      <c r="BH21" s="354"/>
      <c r="BI21" s="354"/>
      <c r="BJ21" s="354"/>
      <c r="BK21" s="354"/>
      <c r="BL21" s="354"/>
      <c r="BM21" s="354"/>
      <c r="BN21" s="354"/>
      <c r="BO21" s="354"/>
      <c r="BP21" s="354"/>
      <c r="BQ21" s="354"/>
      <c r="BR21" s="354"/>
      <c r="BS21" s="354"/>
      <c r="BT21" s="354"/>
      <c r="BU21" s="354"/>
      <c r="BV21" s="354"/>
      <c r="BW21" s="354"/>
      <c r="BX21" s="354"/>
      <c r="BY21" s="354"/>
      <c r="BZ21" s="354"/>
      <c r="CA21" s="354"/>
      <c r="CB21" s="354"/>
      <c r="CC21" s="354"/>
      <c r="CD21" s="354"/>
      <c r="CE21" s="354"/>
      <c r="CF21" s="354"/>
      <c r="CG21" s="354"/>
      <c r="CH21" s="354"/>
      <c r="CI21" s="354"/>
      <c r="CJ21" s="354"/>
      <c r="CK21" s="354"/>
      <c r="CL21" s="354"/>
      <c r="CM21" s="354"/>
      <c r="CN21" s="354"/>
      <c r="CO21" s="354"/>
      <c r="CP21" s="354"/>
      <c r="CQ21" s="354"/>
      <c r="CR21" s="354"/>
      <c r="CS21" s="354"/>
      <c r="CT21" s="354"/>
      <c r="CU21" s="354"/>
      <c r="CV21" s="354"/>
      <c r="CW21" s="354"/>
      <c r="CX21" s="354"/>
      <c r="CY21" s="354"/>
      <c r="CZ21" s="354"/>
      <c r="DA21" s="354"/>
      <c r="DB21" s="354"/>
      <c r="DC21" s="354"/>
      <c r="DD21" s="354"/>
      <c r="DE21" s="354"/>
      <c r="DF21" s="354"/>
      <c r="DG21" s="354"/>
      <c r="DH21" s="354"/>
      <c r="DI21" s="354"/>
      <c r="DJ21" s="354"/>
      <c r="DK21" s="354"/>
      <c r="DL21" s="354"/>
      <c r="DM21" s="354"/>
      <c r="DN21" s="354"/>
      <c r="DO21" s="354"/>
      <c r="DP21" s="354"/>
      <c r="DQ21" s="354"/>
      <c r="DR21" s="354"/>
      <c r="DS21" s="354"/>
      <c r="DT21" s="354"/>
      <c r="DU21" s="354"/>
      <c r="DV21" s="354"/>
      <c r="DW21" s="354"/>
      <c r="DX21" s="354"/>
      <c r="DY21" s="354"/>
      <c r="DZ21" s="354"/>
      <c r="EA21" s="354"/>
      <c r="EB21" s="354"/>
      <c r="EC21" s="354"/>
      <c r="ED21" s="354"/>
      <c r="EE21" s="354"/>
      <c r="EF21" s="354"/>
      <c r="EG21" s="354"/>
      <c r="EH21" s="354"/>
      <c r="EI21" s="354"/>
      <c r="EJ21" s="354"/>
      <c r="EK21" s="354"/>
      <c r="EL21" s="354"/>
      <c r="EM21" s="354"/>
      <c r="EN21" s="354">
        <f t="shared" ref="EN21:GB21" si="23">+EN4*$C$21/$C$4</f>
        <v>0</v>
      </c>
      <c r="EO21" s="354">
        <f t="shared" si="23"/>
        <v>0</v>
      </c>
      <c r="EP21" s="354">
        <f t="shared" si="23"/>
        <v>0</v>
      </c>
      <c r="EQ21" s="354">
        <f t="shared" si="23"/>
        <v>0</v>
      </c>
      <c r="ER21" s="354">
        <f t="shared" si="23"/>
        <v>0</v>
      </c>
      <c r="ES21" s="354">
        <f t="shared" si="23"/>
        <v>0</v>
      </c>
      <c r="ET21" s="354">
        <f t="shared" si="23"/>
        <v>0</v>
      </c>
      <c r="EU21" s="354">
        <f t="shared" si="23"/>
        <v>0</v>
      </c>
      <c r="EV21" s="354">
        <f t="shared" si="23"/>
        <v>0</v>
      </c>
      <c r="EW21" s="354">
        <f t="shared" si="23"/>
        <v>0</v>
      </c>
      <c r="EX21" s="354">
        <f t="shared" si="23"/>
        <v>0</v>
      </c>
      <c r="EY21" s="354">
        <f t="shared" si="23"/>
        <v>0</v>
      </c>
      <c r="EZ21" s="354">
        <f t="shared" si="23"/>
        <v>0</v>
      </c>
      <c r="FA21" s="354">
        <f t="shared" si="23"/>
        <v>0</v>
      </c>
      <c r="FB21" s="354">
        <f t="shared" si="23"/>
        <v>0</v>
      </c>
      <c r="FC21" s="354">
        <f t="shared" si="23"/>
        <v>0</v>
      </c>
      <c r="FD21" s="354">
        <f t="shared" si="23"/>
        <v>0</v>
      </c>
      <c r="FE21" s="354">
        <f t="shared" si="23"/>
        <v>0</v>
      </c>
      <c r="FF21" s="354">
        <f t="shared" si="23"/>
        <v>0</v>
      </c>
      <c r="FG21" s="354">
        <f t="shared" si="23"/>
        <v>0</v>
      </c>
      <c r="FH21" s="354">
        <f t="shared" si="23"/>
        <v>0</v>
      </c>
      <c r="FI21" s="354">
        <f t="shared" si="23"/>
        <v>18444269162.590237</v>
      </c>
      <c r="FJ21" s="354">
        <f t="shared" si="23"/>
        <v>0</v>
      </c>
      <c r="FK21" s="354">
        <f t="shared" si="23"/>
        <v>0</v>
      </c>
      <c r="FL21" s="354">
        <f t="shared" si="23"/>
        <v>0</v>
      </c>
      <c r="FM21" s="354">
        <f t="shared" si="23"/>
        <v>8859005398.8101063</v>
      </c>
      <c r="FN21" s="354">
        <f t="shared" si="23"/>
        <v>0</v>
      </c>
      <c r="FO21" s="354">
        <f t="shared" si="23"/>
        <v>0</v>
      </c>
      <c r="FP21" s="354">
        <f t="shared" si="23"/>
        <v>0</v>
      </c>
      <c r="FQ21" s="354">
        <f t="shared" si="23"/>
        <v>7340613514.3432875</v>
      </c>
      <c r="FR21" s="354">
        <f t="shared" si="23"/>
        <v>0</v>
      </c>
      <c r="FS21" s="354">
        <f t="shared" si="23"/>
        <v>0</v>
      </c>
      <c r="FT21" s="354">
        <f t="shared" si="23"/>
        <v>0</v>
      </c>
      <c r="FU21" s="354">
        <f t="shared" si="23"/>
        <v>0</v>
      </c>
      <c r="FV21" s="354">
        <f t="shared" si="23"/>
        <v>0</v>
      </c>
      <c r="FW21" s="354">
        <f t="shared" si="23"/>
        <v>0</v>
      </c>
      <c r="FX21" s="354">
        <f t="shared" si="23"/>
        <v>0</v>
      </c>
      <c r="FY21" s="354">
        <f t="shared" si="23"/>
        <v>0</v>
      </c>
      <c r="FZ21" s="354">
        <f t="shared" si="23"/>
        <v>0</v>
      </c>
      <c r="GA21" s="354">
        <f t="shared" si="23"/>
        <v>0</v>
      </c>
      <c r="GB21" s="354">
        <f t="shared" si="23"/>
        <v>0</v>
      </c>
    </row>
    <row r="22" spans="1:184" s="209" customFormat="1" ht="28">
      <c r="A22" s="559" t="s">
        <v>164</v>
      </c>
      <c r="B22" s="560" t="s">
        <v>165</v>
      </c>
      <c r="C22" s="561">
        <f>SUM(EN22:GB22)</f>
        <v>218606201860.00247</v>
      </c>
      <c r="D22" s="561"/>
      <c r="E22" s="354"/>
      <c r="F22" s="354"/>
      <c r="G22" s="354"/>
      <c r="H22" s="354"/>
      <c r="I22" s="354"/>
      <c r="J22" s="354"/>
      <c r="K22" s="354"/>
      <c r="L22" s="354"/>
      <c r="M22" s="354"/>
      <c r="N22" s="354"/>
      <c r="O22" s="354"/>
      <c r="P22" s="354"/>
      <c r="Q22" s="354"/>
      <c r="R22" s="354"/>
      <c r="S22" s="354"/>
      <c r="T22" s="354"/>
      <c r="U22" s="354"/>
      <c r="V22" s="354"/>
      <c r="W22" s="354"/>
      <c r="X22" s="354"/>
      <c r="Y22" s="354"/>
      <c r="Z22" s="354"/>
      <c r="AA22" s="354"/>
      <c r="AB22" s="354"/>
      <c r="AC22" s="354"/>
      <c r="AD22" s="354"/>
      <c r="AE22" s="354"/>
      <c r="AF22" s="354"/>
      <c r="AG22" s="354"/>
      <c r="AH22" s="354"/>
      <c r="AI22" s="354"/>
      <c r="AJ22" s="354"/>
      <c r="AK22" s="354"/>
      <c r="AL22" s="354"/>
      <c r="AM22" s="354"/>
      <c r="AN22" s="354"/>
      <c r="AO22" s="354"/>
      <c r="AP22" s="354"/>
      <c r="AQ22" s="354"/>
      <c r="AR22" s="354"/>
      <c r="AS22" s="354"/>
      <c r="AT22" s="354"/>
      <c r="AU22" s="354"/>
      <c r="AV22" s="354"/>
      <c r="AW22" s="354"/>
      <c r="AX22" s="354"/>
      <c r="AY22" s="354"/>
      <c r="AZ22" s="354"/>
      <c r="BA22" s="354"/>
      <c r="BB22" s="354"/>
      <c r="BC22" s="354"/>
      <c r="BD22" s="354"/>
      <c r="BE22" s="354"/>
      <c r="BF22" s="354"/>
      <c r="BG22" s="354"/>
      <c r="BH22" s="354"/>
      <c r="BI22" s="354"/>
      <c r="BJ22" s="354"/>
      <c r="BK22" s="354"/>
      <c r="BL22" s="354"/>
      <c r="BM22" s="354"/>
      <c r="BN22" s="354"/>
      <c r="BO22" s="354"/>
      <c r="BP22" s="354"/>
      <c r="BQ22" s="354"/>
      <c r="BR22" s="354"/>
      <c r="BS22" s="354"/>
      <c r="BT22" s="354"/>
      <c r="BU22" s="354"/>
      <c r="BV22" s="354"/>
      <c r="BW22" s="354"/>
      <c r="BX22" s="354"/>
      <c r="BY22" s="354"/>
      <c r="BZ22" s="354"/>
      <c r="CA22" s="354"/>
      <c r="CB22" s="354"/>
      <c r="CC22" s="354"/>
      <c r="CD22" s="354"/>
      <c r="CE22" s="354"/>
      <c r="CF22" s="354"/>
      <c r="CG22" s="354"/>
      <c r="CH22" s="354"/>
      <c r="CI22" s="354"/>
      <c r="CJ22" s="354"/>
      <c r="CK22" s="354"/>
      <c r="CL22" s="354"/>
      <c r="CM22" s="354"/>
      <c r="CN22" s="354"/>
      <c r="CO22" s="354"/>
      <c r="CP22" s="354"/>
      <c r="CQ22" s="354"/>
      <c r="CR22" s="354"/>
      <c r="CS22" s="354"/>
      <c r="CT22" s="354"/>
      <c r="CU22" s="354"/>
      <c r="CV22" s="354"/>
      <c r="CW22" s="354"/>
      <c r="CX22" s="354"/>
      <c r="CY22" s="354"/>
      <c r="CZ22" s="354"/>
      <c r="DA22" s="354"/>
      <c r="DB22" s="354"/>
      <c r="DC22" s="354"/>
      <c r="DD22" s="354"/>
      <c r="DE22" s="354"/>
      <c r="DF22" s="354"/>
      <c r="DG22" s="354"/>
      <c r="DH22" s="354"/>
      <c r="DI22" s="354"/>
      <c r="DJ22" s="354"/>
      <c r="DK22" s="354"/>
      <c r="DL22" s="354"/>
      <c r="DM22" s="354"/>
      <c r="DN22" s="354"/>
      <c r="DO22" s="354"/>
      <c r="DP22" s="354"/>
      <c r="DQ22" s="354"/>
      <c r="DR22" s="354"/>
      <c r="DS22" s="354"/>
      <c r="DT22" s="354"/>
      <c r="DU22" s="354"/>
      <c r="DV22" s="354"/>
      <c r="DW22" s="354"/>
      <c r="DX22" s="354"/>
      <c r="DY22" s="354"/>
      <c r="DZ22" s="354"/>
      <c r="EA22" s="354"/>
      <c r="EB22" s="354"/>
      <c r="EC22" s="354"/>
      <c r="ED22" s="354"/>
      <c r="EE22" s="354"/>
      <c r="EF22" s="354"/>
      <c r="EG22" s="354"/>
      <c r="EH22" s="354"/>
      <c r="EI22" s="354"/>
      <c r="EJ22" s="354"/>
      <c r="EK22" s="354"/>
      <c r="EL22" s="354"/>
      <c r="EM22" s="354"/>
      <c r="EN22" s="354">
        <f t="shared" ref="EN22:GB22" si="24">+EN14-EN19-EN20-EN21</f>
        <v>0</v>
      </c>
      <c r="EO22" s="354">
        <f t="shared" si="24"/>
        <v>0</v>
      </c>
      <c r="EP22" s="354">
        <f t="shared" si="24"/>
        <v>0</v>
      </c>
      <c r="EQ22" s="354">
        <f t="shared" si="24"/>
        <v>0</v>
      </c>
      <c r="ER22" s="354">
        <f t="shared" si="24"/>
        <v>0</v>
      </c>
      <c r="ES22" s="354">
        <f t="shared" si="24"/>
        <v>0</v>
      </c>
      <c r="ET22" s="354">
        <f t="shared" si="24"/>
        <v>0</v>
      </c>
      <c r="EU22" s="354">
        <f t="shared" si="24"/>
        <v>0</v>
      </c>
      <c r="EV22" s="354">
        <f t="shared" si="24"/>
        <v>0</v>
      </c>
      <c r="EW22" s="354">
        <f t="shared" si="24"/>
        <v>0</v>
      </c>
      <c r="EX22" s="354">
        <f t="shared" si="24"/>
        <v>0</v>
      </c>
      <c r="EY22" s="354">
        <f t="shared" si="24"/>
        <v>0</v>
      </c>
      <c r="EZ22" s="354">
        <f t="shared" si="24"/>
        <v>0</v>
      </c>
      <c r="FA22" s="354">
        <f t="shared" si="24"/>
        <v>0</v>
      </c>
      <c r="FB22" s="354">
        <f t="shared" si="24"/>
        <v>0</v>
      </c>
      <c r="FC22" s="354">
        <f t="shared" si="24"/>
        <v>0</v>
      </c>
      <c r="FD22" s="354">
        <f t="shared" si="24"/>
        <v>0</v>
      </c>
      <c r="FE22" s="354">
        <f t="shared" si="24"/>
        <v>0</v>
      </c>
      <c r="FF22" s="354">
        <f t="shared" si="24"/>
        <v>0</v>
      </c>
      <c r="FG22" s="354">
        <f t="shared" si="24"/>
        <v>0</v>
      </c>
      <c r="FH22" s="354">
        <f t="shared" si="24"/>
        <v>0</v>
      </c>
      <c r="FI22" s="354">
        <f t="shared" si="24"/>
        <v>153948855295.0033</v>
      </c>
      <c r="FJ22" s="354">
        <f t="shared" si="24"/>
        <v>0</v>
      </c>
      <c r="FK22" s="354">
        <f t="shared" si="24"/>
        <v>0</v>
      </c>
      <c r="FL22" s="354">
        <f t="shared" si="24"/>
        <v>0</v>
      </c>
      <c r="FM22" s="354">
        <f t="shared" si="24"/>
        <v>35358843029.756424</v>
      </c>
      <c r="FN22" s="354">
        <f t="shared" si="24"/>
        <v>0</v>
      </c>
      <c r="FO22" s="354">
        <f t="shared" si="24"/>
        <v>0</v>
      </c>
      <c r="FP22" s="354">
        <f t="shared" si="24"/>
        <v>0</v>
      </c>
      <c r="FQ22" s="354">
        <f t="shared" si="24"/>
        <v>29298503535.242771</v>
      </c>
      <c r="FR22" s="354">
        <f t="shared" si="24"/>
        <v>0</v>
      </c>
      <c r="FS22" s="354">
        <f t="shared" si="24"/>
        <v>0</v>
      </c>
      <c r="FT22" s="354">
        <f t="shared" si="24"/>
        <v>0</v>
      </c>
      <c r="FU22" s="354">
        <f t="shared" si="24"/>
        <v>0</v>
      </c>
      <c r="FV22" s="354">
        <f t="shared" si="24"/>
        <v>0</v>
      </c>
      <c r="FW22" s="354">
        <f t="shared" si="24"/>
        <v>0</v>
      </c>
      <c r="FX22" s="354">
        <f t="shared" si="24"/>
        <v>0</v>
      </c>
      <c r="FY22" s="354">
        <f t="shared" si="24"/>
        <v>0</v>
      </c>
      <c r="FZ22" s="354">
        <f t="shared" si="24"/>
        <v>0</v>
      </c>
      <c r="GA22" s="354">
        <f t="shared" si="24"/>
        <v>0</v>
      </c>
      <c r="GB22" s="354">
        <f t="shared" si="24"/>
        <v>0</v>
      </c>
    </row>
    <row r="23" spans="1:184" s="209" customFormat="1" ht="28">
      <c r="A23" s="559" t="s">
        <v>166</v>
      </c>
      <c r="B23" s="569" t="s">
        <v>167</v>
      </c>
      <c r="C23" s="561">
        <f>SUM(EN23:GB23)</f>
        <v>43721240372.000496</v>
      </c>
      <c r="D23" s="561"/>
      <c r="E23" s="356"/>
      <c r="F23" s="356"/>
      <c r="G23" s="356"/>
      <c r="H23" s="356"/>
      <c r="I23" s="356"/>
      <c r="J23" s="356"/>
      <c r="K23" s="356"/>
      <c r="L23" s="356"/>
      <c r="M23" s="356"/>
      <c r="N23" s="356"/>
      <c r="O23" s="356"/>
      <c r="P23" s="356"/>
      <c r="Q23" s="356"/>
      <c r="R23" s="356"/>
      <c r="S23" s="356"/>
      <c r="T23" s="356"/>
      <c r="U23" s="356"/>
      <c r="V23" s="356"/>
      <c r="W23" s="356"/>
      <c r="X23" s="356"/>
      <c r="Y23" s="356"/>
      <c r="Z23" s="356"/>
      <c r="AA23" s="356"/>
      <c r="AB23" s="356"/>
      <c r="AC23" s="356"/>
      <c r="AD23" s="356"/>
      <c r="AE23" s="356"/>
      <c r="AF23" s="356"/>
      <c r="AG23" s="356"/>
      <c r="AH23" s="356"/>
      <c r="AI23" s="356"/>
      <c r="AJ23" s="356"/>
      <c r="AK23" s="356"/>
      <c r="AL23" s="356"/>
      <c r="AM23" s="356"/>
      <c r="AN23" s="356"/>
      <c r="AO23" s="356"/>
      <c r="AP23" s="356"/>
      <c r="AQ23" s="356"/>
      <c r="AR23" s="356"/>
      <c r="AS23" s="356"/>
      <c r="AT23" s="356"/>
      <c r="AU23" s="356"/>
      <c r="AV23" s="356"/>
      <c r="AW23" s="356"/>
      <c r="AX23" s="356"/>
      <c r="AY23" s="356"/>
      <c r="AZ23" s="356"/>
      <c r="BA23" s="356"/>
      <c r="BB23" s="356"/>
      <c r="BC23" s="356"/>
      <c r="BD23" s="356"/>
      <c r="BE23" s="356"/>
      <c r="BF23" s="356"/>
      <c r="BG23" s="356"/>
      <c r="BH23" s="356"/>
      <c r="BI23" s="356"/>
      <c r="BJ23" s="356"/>
      <c r="BK23" s="356"/>
      <c r="BL23" s="356"/>
      <c r="BM23" s="356"/>
      <c r="BN23" s="356"/>
      <c r="BO23" s="356"/>
      <c r="BP23" s="356"/>
      <c r="BQ23" s="356"/>
      <c r="BR23" s="356"/>
      <c r="BS23" s="356"/>
      <c r="BT23" s="356"/>
      <c r="BU23" s="356"/>
      <c r="BV23" s="356"/>
      <c r="BW23" s="356"/>
      <c r="BX23" s="356"/>
      <c r="BY23" s="356"/>
      <c r="BZ23" s="356"/>
      <c r="CA23" s="356"/>
      <c r="CB23" s="356"/>
      <c r="CC23" s="356"/>
      <c r="CD23" s="356"/>
      <c r="CE23" s="356"/>
      <c r="CF23" s="356"/>
      <c r="CG23" s="356"/>
      <c r="CH23" s="356"/>
      <c r="CI23" s="356"/>
      <c r="CJ23" s="356"/>
      <c r="CK23" s="356"/>
      <c r="CL23" s="356"/>
      <c r="CM23" s="356"/>
      <c r="CN23" s="356"/>
      <c r="CO23" s="356"/>
      <c r="CP23" s="356"/>
      <c r="CQ23" s="356"/>
      <c r="CR23" s="356"/>
      <c r="CS23" s="356"/>
      <c r="CT23" s="356"/>
      <c r="CU23" s="356"/>
      <c r="CV23" s="356"/>
      <c r="CW23" s="356"/>
      <c r="CX23" s="356"/>
      <c r="CY23" s="356"/>
      <c r="CZ23" s="356"/>
      <c r="DA23" s="356"/>
      <c r="DB23" s="356"/>
      <c r="DC23" s="356"/>
      <c r="DD23" s="356"/>
      <c r="DE23" s="356"/>
      <c r="DF23" s="356"/>
      <c r="DG23" s="356"/>
      <c r="DH23" s="356"/>
      <c r="DI23" s="356"/>
      <c r="DJ23" s="356"/>
      <c r="DK23" s="356"/>
      <c r="DL23" s="356"/>
      <c r="DM23" s="356"/>
      <c r="DN23" s="356"/>
      <c r="DO23" s="356"/>
      <c r="DP23" s="356"/>
      <c r="DQ23" s="356"/>
      <c r="DR23" s="356"/>
      <c r="DS23" s="356"/>
      <c r="DT23" s="356"/>
      <c r="DU23" s="356"/>
      <c r="DV23" s="356"/>
      <c r="DW23" s="356"/>
      <c r="DX23" s="356"/>
      <c r="DY23" s="356"/>
      <c r="DZ23" s="356"/>
      <c r="EA23" s="356"/>
      <c r="EB23" s="356"/>
      <c r="EC23" s="356"/>
      <c r="ED23" s="356"/>
      <c r="EE23" s="356"/>
      <c r="EF23" s="356"/>
      <c r="EG23" s="356"/>
      <c r="EH23" s="356"/>
      <c r="EI23" s="356"/>
      <c r="EJ23" s="356"/>
      <c r="EK23" s="356"/>
      <c r="EL23" s="356"/>
      <c r="EM23" s="356"/>
      <c r="EN23" s="356">
        <f>+EN22*'1. Tổng hợp'!$D$25</f>
        <v>0</v>
      </c>
      <c r="EO23" s="356">
        <f>+EO22*'1. Tổng hợp'!$D$25</f>
        <v>0</v>
      </c>
      <c r="EP23" s="356">
        <f>+EP22*'1. Tổng hợp'!$D$25</f>
        <v>0</v>
      </c>
      <c r="EQ23" s="356">
        <f>+EQ22*'1. Tổng hợp'!$D$25</f>
        <v>0</v>
      </c>
      <c r="ER23" s="356">
        <f>+ER22*'1. Tổng hợp'!$D$25</f>
        <v>0</v>
      </c>
      <c r="ES23" s="356">
        <f>+ES22*'1. Tổng hợp'!$D$25</f>
        <v>0</v>
      </c>
      <c r="ET23" s="356">
        <f>+ET22*'1. Tổng hợp'!$D$25</f>
        <v>0</v>
      </c>
      <c r="EU23" s="356">
        <f>+EU22*'1. Tổng hợp'!$D$25</f>
        <v>0</v>
      </c>
      <c r="EV23" s="356">
        <f>+EV22*'1. Tổng hợp'!$D$25</f>
        <v>0</v>
      </c>
      <c r="EW23" s="356">
        <f>+EW22*'1. Tổng hợp'!$D$25</f>
        <v>0</v>
      </c>
      <c r="EX23" s="356">
        <f>+EX22*'1. Tổng hợp'!$D$25</f>
        <v>0</v>
      </c>
      <c r="EY23" s="356">
        <f>+EY22*'1. Tổng hợp'!$D$25</f>
        <v>0</v>
      </c>
      <c r="EZ23" s="356">
        <f>+EZ22*'1. Tổng hợp'!$D$25</f>
        <v>0</v>
      </c>
      <c r="FA23" s="356">
        <f>+FA22*'1. Tổng hợp'!$D$25</f>
        <v>0</v>
      </c>
      <c r="FB23" s="356">
        <f>+FB22*'1. Tổng hợp'!$D$25</f>
        <v>0</v>
      </c>
      <c r="FC23" s="356">
        <f>+FC22*'1. Tổng hợp'!$D$25</f>
        <v>0</v>
      </c>
      <c r="FD23" s="356">
        <f>+FD22*'1. Tổng hợp'!$D$25</f>
        <v>0</v>
      </c>
      <c r="FE23" s="356">
        <f>+FE22*'1. Tổng hợp'!$D$25</f>
        <v>0</v>
      </c>
      <c r="FF23" s="356">
        <f>+FF22*'1. Tổng hợp'!$D$25</f>
        <v>0</v>
      </c>
      <c r="FG23" s="356">
        <f>+FG22*'1. Tổng hợp'!$D$25</f>
        <v>0</v>
      </c>
      <c r="FH23" s="356">
        <f>+FH22*'1. Tổng hợp'!$D$25</f>
        <v>0</v>
      </c>
      <c r="FI23" s="356">
        <f>+FI22*'1. Tổng hợp'!$D$25</f>
        <v>30789771059.00066</v>
      </c>
      <c r="FJ23" s="356">
        <f>+FJ22*'1. Tổng hợp'!$D$25</f>
        <v>0</v>
      </c>
      <c r="FK23" s="356">
        <f>+FK22*'1. Tổng hợp'!$D$25</f>
        <v>0</v>
      </c>
      <c r="FL23" s="356">
        <f>+FL22*'1. Tổng hợp'!$D$25</f>
        <v>0</v>
      </c>
      <c r="FM23" s="356">
        <f>+FM22*'1. Tổng hợp'!$D$25</f>
        <v>7071768605.9512854</v>
      </c>
      <c r="FN23" s="356">
        <f>+FN22*'1. Tổng hợp'!$D$25</f>
        <v>0</v>
      </c>
      <c r="FO23" s="356">
        <f>+FO22*'1. Tổng hợp'!$D$25</f>
        <v>0</v>
      </c>
      <c r="FP23" s="356">
        <f>+FP22*'1. Tổng hợp'!$D$25</f>
        <v>0</v>
      </c>
      <c r="FQ23" s="356">
        <f>+FQ22*'1. Tổng hợp'!$D$25</f>
        <v>5859700707.0485544</v>
      </c>
      <c r="FR23" s="356">
        <f>+FR22*'1. Tổng hợp'!$D$25</f>
        <v>0</v>
      </c>
      <c r="FS23" s="356">
        <f>+FS22*'1. Tổng hợp'!$D$25</f>
        <v>0</v>
      </c>
      <c r="FT23" s="356">
        <f>+FT22*'1. Tổng hợp'!$D$25</f>
        <v>0</v>
      </c>
      <c r="FU23" s="356">
        <f>+FU22*'1. Tổng hợp'!$D$25</f>
        <v>0</v>
      </c>
      <c r="FV23" s="356">
        <f>+FV22*'1. Tổng hợp'!$D$25</f>
        <v>0</v>
      </c>
      <c r="FW23" s="356">
        <f>+FW22*'1. Tổng hợp'!$D$25</f>
        <v>0</v>
      </c>
      <c r="FX23" s="356">
        <f>+FX22*'1. Tổng hợp'!$D$25</f>
        <v>0</v>
      </c>
      <c r="FY23" s="356">
        <f>+FY22*'1. Tổng hợp'!$D$25</f>
        <v>0</v>
      </c>
      <c r="FZ23" s="356">
        <f>+FZ22*'1. Tổng hợp'!$D$25</f>
        <v>0</v>
      </c>
      <c r="GA23" s="356">
        <f>+GA22*'1. Tổng hợp'!$D$25</f>
        <v>0</v>
      </c>
      <c r="GB23" s="356">
        <f>+GB22*'1. Tổng hợp'!$D$25</f>
        <v>0</v>
      </c>
    </row>
    <row r="24" spans="1:184" s="209" customFormat="1" ht="28">
      <c r="A24" s="559" t="s">
        <v>168</v>
      </c>
      <c r="B24" s="560" t="s">
        <v>169</v>
      </c>
      <c r="C24" s="561">
        <f>SUM(EN24:GB24)</f>
        <v>174884961488.00198</v>
      </c>
      <c r="D24" s="571"/>
      <c r="E24" s="571"/>
      <c r="F24" s="571"/>
      <c r="G24" s="571"/>
      <c r="H24" s="571"/>
      <c r="I24" s="571"/>
      <c r="J24" s="571"/>
      <c r="K24" s="571"/>
      <c r="L24" s="571"/>
      <c r="M24" s="571"/>
      <c r="N24" s="571"/>
      <c r="O24" s="571"/>
      <c r="P24" s="571"/>
      <c r="Q24" s="571"/>
      <c r="R24" s="571"/>
      <c r="S24" s="571"/>
      <c r="T24" s="571"/>
      <c r="U24" s="571"/>
      <c r="V24" s="571"/>
      <c r="W24" s="571"/>
      <c r="X24" s="571"/>
      <c r="Y24" s="571"/>
      <c r="Z24" s="571"/>
      <c r="AA24" s="571"/>
      <c r="AB24" s="571"/>
      <c r="AC24" s="571"/>
      <c r="AD24" s="571"/>
      <c r="AE24" s="571"/>
      <c r="AF24" s="571"/>
      <c r="AG24" s="571"/>
      <c r="AH24" s="571"/>
      <c r="AI24" s="571"/>
      <c r="AJ24" s="571"/>
      <c r="AK24" s="571"/>
      <c r="AL24" s="571"/>
      <c r="AM24" s="571"/>
      <c r="AN24" s="571"/>
      <c r="AO24" s="571"/>
      <c r="AP24" s="571"/>
      <c r="AQ24" s="571"/>
      <c r="AR24" s="571"/>
      <c r="AS24" s="571"/>
      <c r="AT24" s="571"/>
      <c r="AU24" s="571"/>
      <c r="AV24" s="571"/>
      <c r="AW24" s="571"/>
      <c r="AX24" s="571"/>
      <c r="AY24" s="571"/>
      <c r="AZ24" s="571"/>
      <c r="BA24" s="571"/>
      <c r="BB24" s="571"/>
      <c r="BC24" s="571"/>
      <c r="BD24" s="571"/>
      <c r="BE24" s="571"/>
      <c r="BF24" s="571"/>
      <c r="BG24" s="571"/>
      <c r="BH24" s="571"/>
      <c r="BI24" s="571"/>
      <c r="BJ24" s="571"/>
      <c r="BK24" s="571"/>
      <c r="BL24" s="571"/>
      <c r="BM24" s="571"/>
      <c r="BN24" s="571"/>
      <c r="BO24" s="571"/>
      <c r="BP24" s="571"/>
      <c r="BQ24" s="571"/>
      <c r="BR24" s="571"/>
      <c r="BS24" s="571"/>
      <c r="BT24" s="571"/>
      <c r="BU24" s="571"/>
      <c r="BV24" s="571"/>
      <c r="BW24" s="571"/>
      <c r="BX24" s="571"/>
      <c r="BY24" s="571"/>
      <c r="BZ24" s="571"/>
      <c r="CA24" s="571"/>
      <c r="CB24" s="571"/>
      <c r="CC24" s="571"/>
      <c r="CD24" s="571"/>
      <c r="CE24" s="571"/>
      <c r="CF24" s="571"/>
      <c r="CG24" s="571"/>
      <c r="CH24" s="571"/>
      <c r="CI24" s="571"/>
      <c r="CJ24" s="571"/>
      <c r="CK24" s="571"/>
      <c r="CL24" s="571"/>
      <c r="CM24" s="571"/>
      <c r="CN24" s="571"/>
      <c r="CO24" s="571"/>
      <c r="CP24" s="571"/>
      <c r="CQ24" s="571"/>
      <c r="CR24" s="571"/>
      <c r="CS24" s="571"/>
      <c r="CT24" s="571"/>
      <c r="CU24" s="571"/>
      <c r="CV24" s="571"/>
      <c r="CW24" s="571"/>
      <c r="CX24" s="571"/>
      <c r="CY24" s="571"/>
      <c r="CZ24" s="571"/>
      <c r="DA24" s="571"/>
      <c r="DB24" s="571"/>
      <c r="DC24" s="571"/>
      <c r="DD24" s="571"/>
      <c r="DE24" s="571"/>
      <c r="DF24" s="571"/>
      <c r="DG24" s="571"/>
      <c r="DH24" s="571"/>
      <c r="DI24" s="571"/>
      <c r="DJ24" s="571"/>
      <c r="DK24" s="571"/>
      <c r="DL24" s="571"/>
      <c r="DM24" s="571"/>
      <c r="DN24" s="571"/>
      <c r="DO24" s="571"/>
      <c r="DP24" s="571"/>
      <c r="DQ24" s="571"/>
      <c r="DR24" s="571"/>
      <c r="DS24" s="571"/>
      <c r="DT24" s="571"/>
      <c r="DU24" s="571"/>
      <c r="DV24" s="571"/>
      <c r="DW24" s="571"/>
      <c r="DX24" s="571"/>
      <c r="DY24" s="571"/>
      <c r="DZ24" s="571"/>
      <c r="EA24" s="571"/>
      <c r="EB24" s="571"/>
      <c r="EC24" s="571"/>
      <c r="ED24" s="571"/>
      <c r="EE24" s="571"/>
      <c r="EF24" s="571"/>
      <c r="EG24" s="571"/>
      <c r="EH24" s="571"/>
      <c r="EI24" s="571"/>
      <c r="EJ24" s="571"/>
      <c r="EK24" s="571"/>
      <c r="EL24" s="571"/>
      <c r="EM24" s="571"/>
      <c r="EN24" s="571">
        <f>+EN22-EN23</f>
        <v>0</v>
      </c>
      <c r="EO24" s="571">
        <f t="shared" ref="EO24:GB24" si="25">+EO22-EO23</f>
        <v>0</v>
      </c>
      <c r="EP24" s="571">
        <f t="shared" si="25"/>
        <v>0</v>
      </c>
      <c r="EQ24" s="571">
        <f t="shared" si="25"/>
        <v>0</v>
      </c>
      <c r="ER24" s="571">
        <f t="shared" si="25"/>
        <v>0</v>
      </c>
      <c r="ES24" s="571">
        <f t="shared" si="25"/>
        <v>0</v>
      </c>
      <c r="ET24" s="571">
        <f t="shared" si="25"/>
        <v>0</v>
      </c>
      <c r="EU24" s="571">
        <f t="shared" si="25"/>
        <v>0</v>
      </c>
      <c r="EV24" s="571">
        <f t="shared" si="25"/>
        <v>0</v>
      </c>
      <c r="EW24" s="571">
        <f t="shared" si="25"/>
        <v>0</v>
      </c>
      <c r="EX24" s="571">
        <f t="shared" si="25"/>
        <v>0</v>
      </c>
      <c r="EY24" s="571">
        <f t="shared" si="25"/>
        <v>0</v>
      </c>
      <c r="EZ24" s="571">
        <f t="shared" si="25"/>
        <v>0</v>
      </c>
      <c r="FA24" s="571">
        <f t="shared" si="25"/>
        <v>0</v>
      </c>
      <c r="FB24" s="571">
        <f t="shared" si="25"/>
        <v>0</v>
      </c>
      <c r="FC24" s="571">
        <f t="shared" si="25"/>
        <v>0</v>
      </c>
      <c r="FD24" s="571">
        <f t="shared" si="25"/>
        <v>0</v>
      </c>
      <c r="FE24" s="571">
        <f t="shared" si="25"/>
        <v>0</v>
      </c>
      <c r="FF24" s="571">
        <f t="shared" si="25"/>
        <v>0</v>
      </c>
      <c r="FG24" s="571">
        <f t="shared" si="25"/>
        <v>0</v>
      </c>
      <c r="FH24" s="571">
        <f t="shared" si="25"/>
        <v>0</v>
      </c>
      <c r="FI24" s="571">
        <f t="shared" ref="FI24:FX24" si="26">+FI22-FI23</f>
        <v>123159084236.00264</v>
      </c>
      <c r="FJ24" s="571">
        <f t="shared" si="26"/>
        <v>0</v>
      </c>
      <c r="FK24" s="571">
        <f t="shared" si="26"/>
        <v>0</v>
      </c>
      <c r="FL24" s="571">
        <f t="shared" si="26"/>
        <v>0</v>
      </c>
      <c r="FM24" s="571">
        <f t="shared" si="26"/>
        <v>28287074423.805138</v>
      </c>
      <c r="FN24" s="571">
        <f t="shared" si="26"/>
        <v>0</v>
      </c>
      <c r="FO24" s="571">
        <f t="shared" si="26"/>
        <v>0</v>
      </c>
      <c r="FP24" s="571">
        <f t="shared" si="26"/>
        <v>0</v>
      </c>
      <c r="FQ24" s="571">
        <f t="shared" ref="FQ24:FT24" si="27">+FQ22-FQ23</f>
        <v>23438802828.194218</v>
      </c>
      <c r="FR24" s="571">
        <f t="shared" si="27"/>
        <v>0</v>
      </c>
      <c r="FS24" s="571">
        <f t="shared" si="27"/>
        <v>0</v>
      </c>
      <c r="FT24" s="571">
        <f t="shared" si="27"/>
        <v>0</v>
      </c>
      <c r="FU24" s="571">
        <f t="shared" si="26"/>
        <v>0</v>
      </c>
      <c r="FV24" s="571">
        <f t="shared" si="26"/>
        <v>0</v>
      </c>
      <c r="FW24" s="571">
        <f t="shared" si="26"/>
        <v>0</v>
      </c>
      <c r="FX24" s="571">
        <f t="shared" si="26"/>
        <v>0</v>
      </c>
      <c r="FY24" s="571">
        <f t="shared" si="25"/>
        <v>0</v>
      </c>
      <c r="FZ24" s="571">
        <f t="shared" si="25"/>
        <v>0</v>
      </c>
      <c r="GA24" s="571">
        <f t="shared" si="25"/>
        <v>0</v>
      </c>
      <c r="GB24" s="571">
        <f t="shared" si="25"/>
        <v>0</v>
      </c>
    </row>
    <row r="25" spans="1:184" s="209" customFormat="1" hidden="1">
      <c r="B25" s="408"/>
      <c r="C25" s="409"/>
      <c r="D25" s="257"/>
    </row>
    <row r="26" spans="1:184" s="209" customFormat="1" hidden="1">
      <c r="B26" s="408" t="s">
        <v>170</v>
      </c>
      <c r="C26" s="420">
        <f>C24/C4</f>
        <v>0.12524807627946824</v>
      </c>
      <c r="D26" s="257"/>
    </row>
    <row r="27" spans="1:184" hidden="1">
      <c r="B27" s="211" t="s">
        <v>171</v>
      </c>
      <c r="ER27" s="208">
        <v>2024</v>
      </c>
      <c r="ES27" s="208">
        <v>2025</v>
      </c>
      <c r="ET27" s="208">
        <v>2026</v>
      </c>
      <c r="EU27" s="208">
        <v>2027</v>
      </c>
      <c r="EV27" s="208">
        <v>2028</v>
      </c>
      <c r="EW27" s="208">
        <v>2029</v>
      </c>
    </row>
    <row r="28" spans="1:184">
      <c r="A28" s="639" t="s">
        <v>172</v>
      </c>
      <c r="B28" s="639"/>
      <c r="C28" s="572">
        <f>'8. Hiệu quả dự án và CĐT'!C20</f>
        <v>76848969398.29364</v>
      </c>
      <c r="D28" s="572"/>
      <c r="ER28" s="394">
        <f>ER4</f>
        <v>0</v>
      </c>
      <c r="ES28" s="394">
        <f>SUM(ES4:EV4)</f>
        <v>0</v>
      </c>
      <c r="ET28" s="394">
        <f>SUM(EW4:EZ4)</f>
        <v>0</v>
      </c>
      <c r="EU28" s="394">
        <f>SUM(FA4:FD4)</f>
        <v>0</v>
      </c>
      <c r="EV28" s="394">
        <f>SUM(FE4:FH4)</f>
        <v>0</v>
      </c>
    </row>
    <row r="29" spans="1:184">
      <c r="A29" s="639" t="s">
        <v>173</v>
      </c>
      <c r="B29" s="639"/>
      <c r="C29" s="573">
        <f>'8. Hiệu quả dự án và CĐT'!C21</f>
        <v>0.11584593877997662</v>
      </c>
      <c r="D29" s="573"/>
    </row>
    <row r="30" spans="1:184">
      <c r="A30" s="639" t="s">
        <v>174</v>
      </c>
      <c r="B30" s="639"/>
      <c r="C30" s="574">
        <f>'8. Hiệu quả dự án và CĐT'!C22</f>
        <v>3</v>
      </c>
      <c r="D30" s="575">
        <f>'8. Hiệu quả dự án và CĐT'!D22</f>
        <v>3.5220057365836297</v>
      </c>
    </row>
    <row r="31" spans="1:184">
      <c r="B31" s="211" t="s">
        <v>175</v>
      </c>
    </row>
    <row r="32" spans="1:184">
      <c r="A32" s="639" t="s">
        <v>172</v>
      </c>
      <c r="B32" s="639"/>
      <c r="C32" s="576">
        <f>'8. Hiệu quả dự án và CĐT'!C48</f>
        <v>16125998381.937307</v>
      </c>
      <c r="D32" s="576"/>
    </row>
    <row r="33" spans="1:4">
      <c r="A33" s="639" t="s">
        <v>173</v>
      </c>
      <c r="B33" s="639"/>
      <c r="C33" s="577">
        <f>'8. Hiệu quả dự án và CĐT'!C49</f>
        <v>0.17607408222806331</v>
      </c>
      <c r="D33" s="577"/>
    </row>
    <row r="34" spans="1:4">
      <c r="A34" s="639" t="s">
        <v>174</v>
      </c>
      <c r="B34" s="639"/>
      <c r="C34" s="578">
        <f>'8. Hiệu quả dự án và CĐT'!C50</f>
        <v>3</v>
      </c>
      <c r="D34" s="579">
        <f>'8. Hiệu quả dự án và CĐT'!D50</f>
        <v>0.92859742120110411</v>
      </c>
    </row>
  </sheetData>
  <mergeCells count="7">
    <mergeCell ref="A1:B1"/>
    <mergeCell ref="A32:B32"/>
    <mergeCell ref="A33:B33"/>
    <mergeCell ref="A30:B30"/>
    <mergeCell ref="A34:B34"/>
    <mergeCell ref="A28:B28"/>
    <mergeCell ref="A29:B29"/>
  </mergeCells>
  <pageMargins left="0.7" right="0.7" top="0.75" bottom="0.75" header="0.3" footer="0.3"/>
  <pageSetup paperSize="9" scale="95" fitToWidth="0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T52"/>
  <sheetViews>
    <sheetView showGridLines="0" zoomScaleNormal="100" workbookViewId="0">
      <pane xSplit="3" ySplit="5" topLeftCell="D26" activePane="bottomRight" state="frozen"/>
      <selection pane="topRight" activeCell="E1" sqref="E1"/>
      <selection pane="bottomLeft" activeCell="A5" sqref="A5"/>
      <selection pane="bottomRight" activeCell="C34" sqref="C34"/>
    </sheetView>
  </sheetViews>
  <sheetFormatPr defaultColWidth="10.26953125" defaultRowHeight="14"/>
  <cols>
    <col min="1" max="1" width="5.26953125" style="43" bestFit="1" customWidth="1"/>
    <col min="2" max="2" width="34.7265625" style="43" bestFit="1" customWidth="1"/>
    <col min="3" max="3" width="19.7265625" style="44" bestFit="1" customWidth="1"/>
    <col min="4" max="8" width="18.7265625" style="43" bestFit="1" customWidth="1"/>
    <col min="9" max="9" width="19.7265625" style="43" customWidth="1"/>
    <col min="10" max="10" width="20.453125" style="43" bestFit="1" customWidth="1"/>
    <col min="11" max="11" width="20.26953125" style="43" customWidth="1"/>
    <col min="12" max="12" width="20.453125" style="43" bestFit="1" customWidth="1"/>
    <col min="13" max="17" width="18.7265625" style="43" bestFit="1" customWidth="1"/>
    <col min="18" max="44" width="18.26953125" style="43" bestFit="1" customWidth="1"/>
    <col min="45" max="16384" width="10.26953125" style="43"/>
  </cols>
  <sheetData>
    <row r="1" spans="1:44" s="8" customFormat="1" ht="22.5">
      <c r="A1" s="620" t="s">
        <v>176</v>
      </c>
      <c r="B1" s="620"/>
      <c r="C1" s="620"/>
      <c r="D1" s="620"/>
      <c r="E1" s="620"/>
      <c r="F1" s="620"/>
    </row>
    <row r="2" spans="1:44" s="8" customFormat="1" ht="18" customHeight="1">
      <c r="A2" s="621"/>
      <c r="B2" s="621"/>
      <c r="C2" s="621"/>
      <c r="D2" s="621"/>
      <c r="E2" s="621"/>
      <c r="F2" s="621"/>
      <c r="I2" s="63"/>
    </row>
    <row r="3" spans="1:44" s="8" customFormat="1" ht="18" customHeight="1">
      <c r="A3" s="621"/>
      <c r="B3" s="621"/>
      <c r="C3" s="621"/>
      <c r="D3" s="621"/>
      <c r="E3" s="621"/>
      <c r="F3" s="621"/>
    </row>
    <row r="4" spans="1:44" s="8" customFormat="1" ht="18" customHeight="1" thickBot="1">
      <c r="A4" s="42"/>
      <c r="B4" s="42"/>
      <c r="C4" s="258"/>
      <c r="D4" s="488">
        <f>YEAR(D5)</f>
        <v>2023</v>
      </c>
      <c r="E4" s="488">
        <f t="shared" ref="E4:AR4" si="0">YEAR(E5)</f>
        <v>2024</v>
      </c>
      <c r="F4" s="488">
        <f t="shared" si="0"/>
        <v>2024</v>
      </c>
      <c r="G4" s="488">
        <f t="shared" si="0"/>
        <v>2024</v>
      </c>
      <c r="H4" s="488">
        <f t="shared" si="0"/>
        <v>2024</v>
      </c>
      <c r="I4" s="488">
        <f t="shared" si="0"/>
        <v>2025</v>
      </c>
      <c r="J4" s="488">
        <f t="shared" si="0"/>
        <v>2025</v>
      </c>
      <c r="K4" s="488">
        <f t="shared" si="0"/>
        <v>2025</v>
      </c>
      <c r="L4" s="488">
        <f t="shared" si="0"/>
        <v>2025</v>
      </c>
      <c r="M4" s="488">
        <f t="shared" si="0"/>
        <v>2026</v>
      </c>
      <c r="N4" s="488">
        <f t="shared" si="0"/>
        <v>2026</v>
      </c>
      <c r="O4" s="488">
        <f t="shared" si="0"/>
        <v>2026</v>
      </c>
      <c r="P4" s="488">
        <f t="shared" si="0"/>
        <v>2026</v>
      </c>
      <c r="Q4" s="488">
        <f t="shared" si="0"/>
        <v>2027</v>
      </c>
      <c r="R4" s="488">
        <f t="shared" si="0"/>
        <v>2027</v>
      </c>
      <c r="S4" s="488">
        <f t="shared" si="0"/>
        <v>2027</v>
      </c>
      <c r="T4" s="488">
        <f t="shared" si="0"/>
        <v>2027</v>
      </c>
      <c r="U4" s="488">
        <f t="shared" si="0"/>
        <v>2028</v>
      </c>
      <c r="V4" s="488">
        <f t="shared" si="0"/>
        <v>2028</v>
      </c>
      <c r="W4" s="488">
        <f t="shared" si="0"/>
        <v>2028</v>
      </c>
      <c r="X4" s="488">
        <f t="shared" si="0"/>
        <v>2028</v>
      </c>
      <c r="Y4" s="488">
        <f t="shared" si="0"/>
        <v>2029</v>
      </c>
      <c r="Z4" s="488">
        <f t="shared" si="0"/>
        <v>2029</v>
      </c>
      <c r="AA4" s="488">
        <f t="shared" si="0"/>
        <v>2029</v>
      </c>
      <c r="AB4" s="488">
        <f t="shared" si="0"/>
        <v>2029</v>
      </c>
      <c r="AC4" s="488">
        <f t="shared" si="0"/>
        <v>2030</v>
      </c>
      <c r="AD4" s="488">
        <f t="shared" si="0"/>
        <v>2030</v>
      </c>
      <c r="AE4" s="488">
        <f t="shared" si="0"/>
        <v>2030</v>
      </c>
      <c r="AF4" s="488">
        <f t="shared" si="0"/>
        <v>2030</v>
      </c>
      <c r="AG4" s="488">
        <f t="shared" si="0"/>
        <v>2031</v>
      </c>
      <c r="AH4" s="488">
        <f t="shared" si="0"/>
        <v>2031</v>
      </c>
      <c r="AI4" s="488">
        <f t="shared" si="0"/>
        <v>2031</v>
      </c>
      <c r="AJ4" s="488">
        <f t="shared" si="0"/>
        <v>2031</v>
      </c>
      <c r="AK4" s="488">
        <f t="shared" si="0"/>
        <v>2032</v>
      </c>
      <c r="AL4" s="488">
        <f t="shared" si="0"/>
        <v>2032</v>
      </c>
      <c r="AM4" s="488">
        <f t="shared" si="0"/>
        <v>2032</v>
      </c>
      <c r="AN4" s="488">
        <f t="shared" si="0"/>
        <v>2032</v>
      </c>
      <c r="AO4" s="488">
        <f t="shared" si="0"/>
        <v>2033</v>
      </c>
      <c r="AP4" s="488">
        <f t="shared" si="0"/>
        <v>2033</v>
      </c>
      <c r="AQ4" s="488">
        <f t="shared" si="0"/>
        <v>2033</v>
      </c>
      <c r="AR4" s="488">
        <f t="shared" si="0"/>
        <v>2033</v>
      </c>
    </row>
    <row r="5" spans="1:44" ht="15">
      <c r="A5" s="418" t="s">
        <v>48</v>
      </c>
      <c r="B5" s="419" t="s">
        <v>5</v>
      </c>
      <c r="C5" s="416" t="s">
        <v>177</v>
      </c>
      <c r="D5" s="417">
        <f>+'4. Vay'!E6</f>
        <v>45291</v>
      </c>
      <c r="E5" s="417">
        <f>+'4. Vay'!F6</f>
        <v>45382</v>
      </c>
      <c r="F5" s="417">
        <f>+'4. Vay'!G6</f>
        <v>45473</v>
      </c>
      <c r="G5" s="417">
        <f>+'4. Vay'!H6</f>
        <v>45565</v>
      </c>
      <c r="H5" s="417">
        <f>+'4. Vay'!I6</f>
        <v>45657</v>
      </c>
      <c r="I5" s="417">
        <f>+'4. Vay'!J6</f>
        <v>45747</v>
      </c>
      <c r="J5" s="417">
        <f>+'4. Vay'!K6</f>
        <v>45838</v>
      </c>
      <c r="K5" s="417">
        <f>+'4. Vay'!L6</f>
        <v>45930</v>
      </c>
      <c r="L5" s="417">
        <f>+'4. Vay'!M6</f>
        <v>46022</v>
      </c>
      <c r="M5" s="417">
        <f>+'4. Vay'!N6</f>
        <v>46112</v>
      </c>
      <c r="N5" s="417">
        <f>+'4. Vay'!O6</f>
        <v>46203</v>
      </c>
      <c r="O5" s="417">
        <f>+'4. Vay'!P6</f>
        <v>46295</v>
      </c>
      <c r="P5" s="417">
        <f>+'4. Vay'!Q6</f>
        <v>46387</v>
      </c>
      <c r="Q5" s="417">
        <f>+'4. Vay'!R6</f>
        <v>46477</v>
      </c>
      <c r="R5" s="417">
        <f>+'4. Vay'!S6</f>
        <v>46568</v>
      </c>
      <c r="S5" s="417">
        <f>+'4. Vay'!T6</f>
        <v>46660</v>
      </c>
      <c r="T5" s="417">
        <f>+'4. Vay'!U6</f>
        <v>46752</v>
      </c>
      <c r="U5" s="417">
        <f>+'4. Vay'!V6</f>
        <v>46843</v>
      </c>
      <c r="V5" s="417">
        <f>+'4. Vay'!W6</f>
        <v>46934</v>
      </c>
      <c r="W5" s="417">
        <f>+'4. Vay'!X6</f>
        <v>47026</v>
      </c>
      <c r="X5" s="417">
        <f>+'4. Vay'!Y6</f>
        <v>47118</v>
      </c>
      <c r="Y5" s="417">
        <f>+'4. Vay'!Z6</f>
        <v>47208</v>
      </c>
      <c r="Z5" s="417">
        <f>+'4. Vay'!AA6</f>
        <v>47299</v>
      </c>
      <c r="AA5" s="417">
        <f>+'4. Vay'!AB6</f>
        <v>47391</v>
      </c>
      <c r="AB5" s="417">
        <f>+'4. Vay'!AC6</f>
        <v>47483</v>
      </c>
      <c r="AC5" s="417">
        <f>+'4. Vay'!AD6</f>
        <v>47573</v>
      </c>
      <c r="AD5" s="417">
        <f>+'4. Vay'!AE6</f>
        <v>47664</v>
      </c>
      <c r="AE5" s="417">
        <f>+'4. Vay'!AF6</f>
        <v>47756</v>
      </c>
      <c r="AF5" s="417">
        <f>+'4. Vay'!AG6</f>
        <v>47848</v>
      </c>
      <c r="AG5" s="417">
        <f>+'4. Vay'!AH6</f>
        <v>47938</v>
      </c>
      <c r="AH5" s="417">
        <f>+'4. Vay'!AI6</f>
        <v>48029</v>
      </c>
      <c r="AI5" s="417">
        <f>+'4. Vay'!AJ6</f>
        <v>48121</v>
      </c>
      <c r="AJ5" s="417">
        <f>+'4. Vay'!AK6</f>
        <v>48213</v>
      </c>
      <c r="AK5" s="417">
        <f>+'4. Vay'!AL6</f>
        <v>48304</v>
      </c>
      <c r="AL5" s="417">
        <f>+'4. Vay'!AM6</f>
        <v>48395</v>
      </c>
      <c r="AM5" s="417">
        <f>+'4. Vay'!AN6</f>
        <v>48487</v>
      </c>
      <c r="AN5" s="417">
        <f>+'4. Vay'!AO6</f>
        <v>48579</v>
      </c>
      <c r="AO5" s="417">
        <f>+'4. Vay'!AP6</f>
        <v>48669</v>
      </c>
      <c r="AP5" s="417">
        <f>+'4. Vay'!AQ6</f>
        <v>48760</v>
      </c>
      <c r="AQ5" s="417">
        <f>+'4. Vay'!AR6</f>
        <v>48852</v>
      </c>
      <c r="AR5" s="417">
        <f>+'4. Vay'!AS6</f>
        <v>48944</v>
      </c>
    </row>
    <row r="6" spans="1:44" s="47" customFormat="1">
      <c r="A6" s="217" t="s">
        <v>1</v>
      </c>
      <c r="B6" s="149" t="s">
        <v>178</v>
      </c>
      <c r="C6" s="151">
        <f t="shared" ref="C6:C17" si="1">SUM(D6:AR6)</f>
        <v>1535939420000</v>
      </c>
      <c r="D6" s="151">
        <f>+'5. KHBH'!FK12</f>
        <v>0</v>
      </c>
      <c r="E6" s="151">
        <f>+'5. KHBH'!FL12</f>
        <v>0</v>
      </c>
      <c r="F6" s="151">
        <f>+'5. KHBH'!FM12</f>
        <v>0</v>
      </c>
      <c r="G6" s="151">
        <f>+'5. KHBH'!FN12</f>
        <v>0</v>
      </c>
      <c r="H6" s="151">
        <f>+'5. KHBH'!FO12</f>
        <v>0</v>
      </c>
      <c r="I6" s="151">
        <f>+'5. KHBH'!FP12</f>
        <v>0</v>
      </c>
      <c r="J6" s="151">
        <f>+'5. KHBH'!FQ12</f>
        <v>0</v>
      </c>
      <c r="K6" s="151">
        <f>+'5. KHBH'!FR12</f>
        <v>0</v>
      </c>
      <c r="L6" s="151">
        <f>+'5. KHBH'!FS12</f>
        <v>0</v>
      </c>
      <c r="M6" s="151">
        <f>+'5. KHBH'!FT12</f>
        <v>0</v>
      </c>
      <c r="N6" s="151">
        <f>+'5. KHBH'!FU12</f>
        <v>0</v>
      </c>
      <c r="O6" s="151">
        <f>+'5. KHBH'!FV12</f>
        <v>0</v>
      </c>
      <c r="P6" s="151">
        <f>+'5. KHBH'!FW12</f>
        <v>0</v>
      </c>
      <c r="Q6" s="151">
        <f>+'5. KHBH'!FX12</f>
        <v>193155731999.99997</v>
      </c>
      <c r="R6" s="151">
        <f>+'5. KHBH'!FY12</f>
        <v>48288933000</v>
      </c>
      <c r="S6" s="151">
        <f>+'5. KHBH'!FZ12</f>
        <v>96577866000</v>
      </c>
      <c r="T6" s="151">
        <f>+'5. KHBH'!GA12</f>
        <v>0</v>
      </c>
      <c r="U6" s="151">
        <f>+'5. KHBH'!GB12</f>
        <v>257557497000</v>
      </c>
      <c r="V6" s="151">
        <f>+'5. KHBH'!GC12</f>
        <v>72760343000</v>
      </c>
      <c r="W6" s="151">
        <f>+'5. KHBH'!GD12</f>
        <v>112036811000</v>
      </c>
      <c r="X6" s="151">
        <f>+'5. KHBH'!GE12</f>
        <v>33483875000</v>
      </c>
      <c r="Y6" s="151">
        <f>+'5. KHBH'!GF12</f>
        <v>408980963000</v>
      </c>
      <c r="Z6" s="151">
        <f>+'5. KHBH'!GG12</f>
        <v>32544665999.999996</v>
      </c>
      <c r="AA6" s="151">
        <f>+'5. KHBH'!GH12</f>
        <v>65089331999.999992</v>
      </c>
      <c r="AB6" s="151">
        <f>+'5. KHBH'!GI12</f>
        <v>0</v>
      </c>
      <c r="AC6" s="151">
        <f>+'5. KHBH'!GJ12</f>
        <v>117829404000</v>
      </c>
      <c r="AD6" s="151">
        <f>+'5. KHBH'!GK12</f>
        <v>0</v>
      </c>
      <c r="AE6" s="151">
        <f>+'5. KHBH'!GL12</f>
        <v>0</v>
      </c>
      <c r="AF6" s="151">
        <f>+'5. KHBH'!GM12</f>
        <v>0</v>
      </c>
      <c r="AG6" s="151">
        <f>+'5. KHBH'!GN12</f>
        <v>97633997999.999985</v>
      </c>
      <c r="AH6" s="151">
        <f>+'5. KHBH'!GO12</f>
        <v>0</v>
      </c>
      <c r="AI6" s="151">
        <f>+'5. KHBH'!GP12</f>
        <v>0</v>
      </c>
      <c r="AJ6" s="151">
        <f>+'5. KHBH'!GQ12</f>
        <v>0</v>
      </c>
      <c r="AK6" s="151">
        <f>+'5. KHBH'!GR12</f>
        <v>0</v>
      </c>
      <c r="AL6" s="151">
        <f>+'5. KHBH'!GS12</f>
        <v>0</v>
      </c>
      <c r="AM6" s="151">
        <f>+'5. KHBH'!GT12</f>
        <v>0</v>
      </c>
      <c r="AN6" s="151">
        <f>+'5. KHBH'!GU12</f>
        <v>0</v>
      </c>
      <c r="AO6" s="151">
        <f>+'5. KHBH'!GV12</f>
        <v>0</v>
      </c>
      <c r="AP6" s="151">
        <f>+'5. KHBH'!GW12</f>
        <v>0</v>
      </c>
      <c r="AQ6" s="151">
        <f>+'5. KHBH'!GX12</f>
        <v>0</v>
      </c>
      <c r="AR6" s="151">
        <f>+'5. KHBH'!GY12</f>
        <v>0</v>
      </c>
    </row>
    <row r="7" spans="1:44" s="47" customFormat="1">
      <c r="A7" s="357" t="s">
        <v>18</v>
      </c>
      <c r="B7" s="358" t="s">
        <v>179</v>
      </c>
      <c r="C7" s="580">
        <f t="shared" si="1"/>
        <v>1281393200652.5823</v>
      </c>
      <c r="D7" s="359">
        <f>SUM(D8:D13)</f>
        <v>0</v>
      </c>
      <c r="E7" s="359">
        <f t="shared" ref="E7:X7" si="2">SUM(E8:E13)</f>
        <v>0</v>
      </c>
      <c r="F7" s="359">
        <f t="shared" si="2"/>
        <v>0</v>
      </c>
      <c r="G7" s="359">
        <f t="shared" si="2"/>
        <v>0</v>
      </c>
      <c r="H7" s="359">
        <f t="shared" si="2"/>
        <v>0</v>
      </c>
      <c r="I7" s="359">
        <f t="shared" si="2"/>
        <v>0</v>
      </c>
      <c r="J7" s="359">
        <f t="shared" si="2"/>
        <v>0</v>
      </c>
      <c r="K7" s="359">
        <f t="shared" si="2"/>
        <v>0</v>
      </c>
      <c r="L7" s="359">
        <f t="shared" si="2"/>
        <v>0</v>
      </c>
      <c r="M7" s="359">
        <f t="shared" si="2"/>
        <v>180400850619.655</v>
      </c>
      <c r="N7" s="359">
        <f t="shared" si="2"/>
        <v>137386478525.655</v>
      </c>
      <c r="O7" s="359">
        <f t="shared" si="2"/>
        <v>137386478525.655</v>
      </c>
      <c r="P7" s="359">
        <f t="shared" si="2"/>
        <v>137386478525.655</v>
      </c>
      <c r="Q7" s="359">
        <f t="shared" si="2"/>
        <v>145112707805.655</v>
      </c>
      <c r="R7" s="359">
        <f t="shared" si="2"/>
        <v>139318035845.655</v>
      </c>
      <c r="S7" s="359">
        <f t="shared" si="2"/>
        <v>141249593165.655</v>
      </c>
      <c r="T7" s="359">
        <f t="shared" si="2"/>
        <v>137386478525.655</v>
      </c>
      <c r="U7" s="359">
        <f t="shared" si="2"/>
        <v>10302299880</v>
      </c>
      <c r="V7" s="359">
        <f t="shared" si="2"/>
        <v>2910413720</v>
      </c>
      <c r="W7" s="359">
        <f t="shared" si="2"/>
        <v>4481472440</v>
      </c>
      <c r="X7" s="359">
        <f t="shared" si="2"/>
        <v>1339355000</v>
      </c>
      <c r="Y7" s="359">
        <f t="shared" ref="Y7:AR7" si="3">SUM(Y8:Y13)</f>
        <v>47149009579.000656</v>
      </c>
      <c r="Z7" s="359">
        <f t="shared" si="3"/>
        <v>1301786639.9999998</v>
      </c>
      <c r="AA7" s="359">
        <f t="shared" si="3"/>
        <v>2603573279.9999995</v>
      </c>
      <c r="AB7" s="359">
        <f t="shared" ref="AB7:AE7" si="4">SUM(AB8:AB13)</f>
        <v>0</v>
      </c>
      <c r="AC7" s="359">
        <f t="shared" si="4"/>
        <v>11784944765.951286</v>
      </c>
      <c r="AD7" s="359">
        <f t="shared" si="4"/>
        <v>0</v>
      </c>
      <c r="AE7" s="359">
        <f t="shared" si="4"/>
        <v>0</v>
      </c>
      <c r="AF7" s="359">
        <f t="shared" si="3"/>
        <v>0</v>
      </c>
      <c r="AG7" s="359">
        <f t="shared" si="3"/>
        <v>9765060627.0485535</v>
      </c>
      <c r="AH7" s="359">
        <f t="shared" si="3"/>
        <v>34128183181.341812</v>
      </c>
      <c r="AI7" s="359">
        <f t="shared" si="3"/>
        <v>0</v>
      </c>
      <c r="AJ7" s="359">
        <f t="shared" ref="AJ7:AQ7" si="5">SUM(AJ8:AJ13)</f>
        <v>0</v>
      </c>
      <c r="AK7" s="359">
        <f t="shared" ref="AK7:AN7" si="6">SUM(AK8:AK13)</f>
        <v>0</v>
      </c>
      <c r="AL7" s="359">
        <f t="shared" si="6"/>
        <v>0</v>
      </c>
      <c r="AM7" s="359">
        <f t="shared" si="6"/>
        <v>0</v>
      </c>
      <c r="AN7" s="359">
        <f t="shared" si="6"/>
        <v>0</v>
      </c>
      <c r="AO7" s="359">
        <f t="shared" si="5"/>
        <v>0</v>
      </c>
      <c r="AP7" s="359">
        <f t="shared" si="5"/>
        <v>0</v>
      </c>
      <c r="AQ7" s="359">
        <f t="shared" si="5"/>
        <v>0</v>
      </c>
      <c r="AR7" s="359">
        <f t="shared" si="3"/>
        <v>0</v>
      </c>
    </row>
    <row r="8" spans="1:44" s="45" customFormat="1">
      <c r="A8" s="360">
        <v>1</v>
      </c>
      <c r="B8" s="361" t="str">
        <f>+'3. TMDT'!B6</f>
        <v>Tổng chi phí đầu tư xây dựng dự án</v>
      </c>
      <c r="C8" s="581">
        <f t="shared" si="1"/>
        <v>1099091828205.2401</v>
      </c>
      <c r="D8" s="362">
        <f>+'3. TMDT'!K6</f>
        <v>0</v>
      </c>
      <c r="E8" s="362">
        <f>+'3. TMDT'!L6</f>
        <v>0</v>
      </c>
      <c r="F8" s="362">
        <f>+'3. TMDT'!M6</f>
        <v>0</v>
      </c>
      <c r="G8" s="362">
        <f>+'3. TMDT'!N6</f>
        <v>0</v>
      </c>
      <c r="H8" s="362">
        <f>+'3. TMDT'!O6</f>
        <v>0</v>
      </c>
      <c r="I8" s="362">
        <f>+'3. TMDT'!P6</f>
        <v>0</v>
      </c>
      <c r="J8" s="362">
        <f>+'3. TMDT'!Q6</f>
        <v>0</v>
      </c>
      <c r="K8" s="362">
        <f>+'3. TMDT'!R6</f>
        <v>0</v>
      </c>
      <c r="L8" s="362">
        <f>+'3. TMDT'!S6</f>
        <v>0</v>
      </c>
      <c r="M8" s="362">
        <f>+'3. TMDT'!T6</f>
        <v>137386478525.655</v>
      </c>
      <c r="N8" s="362">
        <f>+'3. TMDT'!U6</f>
        <v>137386478525.655</v>
      </c>
      <c r="O8" s="362">
        <f>+'3. TMDT'!V6</f>
        <v>137386478525.655</v>
      </c>
      <c r="P8" s="362">
        <f>+'3. TMDT'!W6</f>
        <v>137386478525.655</v>
      </c>
      <c r="Q8" s="362">
        <f>+'3. TMDT'!X6</f>
        <v>137386478525.655</v>
      </c>
      <c r="R8" s="362">
        <f>+'3. TMDT'!Y6</f>
        <v>137386478525.655</v>
      </c>
      <c r="S8" s="362">
        <f>+'3. TMDT'!Z6</f>
        <v>137386478525.655</v>
      </c>
      <c r="T8" s="362">
        <f>+'3. TMDT'!AA6</f>
        <v>137386478525.655</v>
      </c>
      <c r="U8" s="362">
        <f>+'3. TMDT'!AB6</f>
        <v>0</v>
      </c>
      <c r="V8" s="362">
        <f>+'3. TMDT'!AC6</f>
        <v>0</v>
      </c>
      <c r="W8" s="362">
        <f>+'3. TMDT'!AD6</f>
        <v>0</v>
      </c>
      <c r="X8" s="362">
        <f>+'3. TMDT'!AE6</f>
        <v>0</v>
      </c>
      <c r="Y8" s="362">
        <f>+'3. TMDT'!AF6</f>
        <v>0</v>
      </c>
      <c r="Z8" s="362">
        <f>+'3. TMDT'!AG6</f>
        <v>0</v>
      </c>
      <c r="AA8" s="362">
        <f>+'3. TMDT'!AH6</f>
        <v>0</v>
      </c>
      <c r="AB8" s="362">
        <f>+'3. TMDT'!AI6</f>
        <v>0</v>
      </c>
      <c r="AC8" s="362">
        <f>+'3. TMDT'!AJ6</f>
        <v>0</v>
      </c>
      <c r="AD8" s="362">
        <f>+'3. TMDT'!AK6</f>
        <v>0</v>
      </c>
      <c r="AE8" s="362">
        <f>+'3. TMDT'!AL6</f>
        <v>0</v>
      </c>
      <c r="AF8" s="362">
        <f>+'3. TMDT'!AM6</f>
        <v>0</v>
      </c>
      <c r="AG8" s="362">
        <f>+'3. TMDT'!AN6</f>
        <v>0</v>
      </c>
      <c r="AH8" s="362">
        <f>+'3. TMDT'!AO6</f>
        <v>0</v>
      </c>
      <c r="AI8" s="362">
        <f>+'3. TMDT'!AP6</f>
        <v>0</v>
      </c>
      <c r="AJ8" s="362">
        <f>+'3. TMDT'!AQ6</f>
        <v>0</v>
      </c>
      <c r="AK8" s="362">
        <f>+'3. TMDT'!AR6</f>
        <v>0</v>
      </c>
      <c r="AL8" s="362">
        <f>+'3. TMDT'!AS6</f>
        <v>0</v>
      </c>
      <c r="AM8" s="362">
        <f>+'3. TMDT'!AT6</f>
        <v>0</v>
      </c>
      <c r="AN8" s="362">
        <f>+'3. TMDT'!AU6</f>
        <v>0</v>
      </c>
      <c r="AO8" s="362">
        <f>+'3. TMDT'!AV6</f>
        <v>0</v>
      </c>
      <c r="AP8" s="362">
        <f>+'3. TMDT'!AW6</f>
        <v>0</v>
      </c>
      <c r="AQ8" s="362">
        <f>+'3. TMDT'!AX6</f>
        <v>0</v>
      </c>
      <c r="AR8" s="362">
        <f>+'3. TMDT'!AY6</f>
        <v>0</v>
      </c>
    </row>
    <row r="9" spans="1:44" s="45" customFormat="1">
      <c r="A9" s="360">
        <v>2</v>
      </c>
      <c r="B9" s="361" t="str">
        <f>+'3. TMDT'!B10</f>
        <v>Chi phí GPMB và tiền sử dụng đất</v>
      </c>
      <c r="C9" s="581">
        <f t="shared" si="1"/>
        <v>43014372094</v>
      </c>
      <c r="D9" s="362">
        <f>+'3. TMDT'!K10</f>
        <v>0</v>
      </c>
      <c r="E9" s="362">
        <f>+'3. TMDT'!L10</f>
        <v>0</v>
      </c>
      <c r="F9" s="362">
        <f>+'3. TMDT'!M10</f>
        <v>0</v>
      </c>
      <c r="G9" s="362">
        <f>+'3. TMDT'!N10</f>
        <v>0</v>
      </c>
      <c r="H9" s="362">
        <f>+'3. TMDT'!O10</f>
        <v>0</v>
      </c>
      <c r="I9" s="362">
        <f>+'3. TMDT'!P10</f>
        <v>0</v>
      </c>
      <c r="J9" s="362">
        <f>+'3. TMDT'!Q10</f>
        <v>0</v>
      </c>
      <c r="K9" s="362">
        <f>+'3. TMDT'!R10</f>
        <v>0</v>
      </c>
      <c r="L9" s="362">
        <f>+'3. TMDT'!S10</f>
        <v>0</v>
      </c>
      <c r="M9" s="362">
        <f>+'3. TMDT'!T10</f>
        <v>43014372094</v>
      </c>
      <c r="N9" s="362">
        <f>+'3. TMDT'!U10</f>
        <v>0</v>
      </c>
      <c r="O9" s="362">
        <f>+'3. TMDT'!V10</f>
        <v>0</v>
      </c>
      <c r="P9" s="362">
        <f>+'3. TMDT'!W10</f>
        <v>0</v>
      </c>
      <c r="Q9" s="362">
        <f>+'3. TMDT'!X10</f>
        <v>0</v>
      </c>
      <c r="R9" s="362">
        <f>+'3. TMDT'!Y10</f>
        <v>0</v>
      </c>
      <c r="S9" s="362">
        <f>+'3. TMDT'!Z10</f>
        <v>0</v>
      </c>
      <c r="T9" s="362">
        <f>+'3. TMDT'!AA10</f>
        <v>0</v>
      </c>
      <c r="U9" s="362">
        <f>+'3. TMDT'!AB10</f>
        <v>0</v>
      </c>
      <c r="V9" s="362">
        <f>+'3. TMDT'!AC10</f>
        <v>0</v>
      </c>
      <c r="W9" s="362">
        <f>+'3. TMDT'!AD10</f>
        <v>0</v>
      </c>
      <c r="X9" s="362">
        <f>+'3. TMDT'!AE10</f>
        <v>0</v>
      </c>
      <c r="Y9" s="362">
        <f>+'3. TMDT'!AF10</f>
        <v>0</v>
      </c>
      <c r="Z9" s="362">
        <f>+'3. TMDT'!AG10</f>
        <v>0</v>
      </c>
      <c r="AA9" s="362">
        <f>+'3. TMDT'!AH10</f>
        <v>0</v>
      </c>
      <c r="AB9" s="362">
        <f>+'3. TMDT'!AI10</f>
        <v>0</v>
      </c>
      <c r="AC9" s="362">
        <f>+'3. TMDT'!AJ10</f>
        <v>0</v>
      </c>
      <c r="AD9" s="362">
        <f>+'3. TMDT'!AK10</f>
        <v>0</v>
      </c>
      <c r="AE9" s="362">
        <f>+'3. TMDT'!AL10</f>
        <v>0</v>
      </c>
      <c r="AF9" s="362">
        <f>+'3. TMDT'!AM10</f>
        <v>0</v>
      </c>
      <c r="AG9" s="362">
        <f>+'3. TMDT'!AN10</f>
        <v>0</v>
      </c>
      <c r="AH9" s="362">
        <f>+'3. TMDT'!AO10</f>
        <v>0</v>
      </c>
      <c r="AI9" s="362">
        <f>+'3. TMDT'!AP10</f>
        <v>0</v>
      </c>
      <c r="AJ9" s="362">
        <f>+'3. TMDT'!AQ10</f>
        <v>0</v>
      </c>
      <c r="AK9" s="362">
        <f>+'3. TMDT'!AR10</f>
        <v>0</v>
      </c>
      <c r="AL9" s="362">
        <f>+'3. TMDT'!AS10</f>
        <v>0</v>
      </c>
      <c r="AM9" s="362">
        <f>+'3. TMDT'!AT10</f>
        <v>0</v>
      </c>
      <c r="AN9" s="362">
        <f>+'3. TMDT'!AU10</f>
        <v>0</v>
      </c>
      <c r="AO9" s="362">
        <f>+'3. TMDT'!AV10</f>
        <v>0</v>
      </c>
      <c r="AP9" s="362">
        <f>+'3. TMDT'!AW10</f>
        <v>0</v>
      </c>
      <c r="AQ9" s="362">
        <f>+'3. TMDT'!AX10</f>
        <v>0</v>
      </c>
      <c r="AR9" s="362">
        <f>+'3. TMDT'!AY10</f>
        <v>0</v>
      </c>
    </row>
    <row r="10" spans="1:44" s="45" customFormat="1">
      <c r="A10" s="360">
        <v>3</v>
      </c>
      <c r="B10" s="361" t="s">
        <v>26</v>
      </c>
      <c r="C10" s="581">
        <f t="shared" si="1"/>
        <v>30718788400</v>
      </c>
      <c r="D10" s="363">
        <f>+'5. KHBH'!FK12*'1. Tổng hợp'!$D$19</f>
        <v>0</v>
      </c>
      <c r="E10" s="363">
        <f>+'5. KHBH'!FL12*'1. Tổng hợp'!$D$19</f>
        <v>0</v>
      </c>
      <c r="F10" s="363">
        <f>+'5. KHBH'!FM12*'1. Tổng hợp'!$D$19</f>
        <v>0</v>
      </c>
      <c r="G10" s="363">
        <f>+'5. KHBH'!FN12*'1. Tổng hợp'!$D$19</f>
        <v>0</v>
      </c>
      <c r="H10" s="363">
        <f>+'5. KHBH'!FO12*'1. Tổng hợp'!$D$19</f>
        <v>0</v>
      </c>
      <c r="I10" s="363">
        <f>+'5. KHBH'!FP12*'1. Tổng hợp'!$D$19</f>
        <v>0</v>
      </c>
      <c r="J10" s="363">
        <f>+'5. KHBH'!FQ12*'1. Tổng hợp'!$D$19</f>
        <v>0</v>
      </c>
      <c r="K10" s="363">
        <f>+'5. KHBH'!FR12*'1. Tổng hợp'!$D$19</f>
        <v>0</v>
      </c>
      <c r="L10" s="363">
        <f>+'5. KHBH'!FS12*'1. Tổng hợp'!$D$19</f>
        <v>0</v>
      </c>
      <c r="M10" s="363">
        <f>+'5. KHBH'!FT12*'1. Tổng hợp'!$D$19</f>
        <v>0</v>
      </c>
      <c r="N10" s="363">
        <f>+'5. KHBH'!FU12*'1. Tổng hợp'!$D$19</f>
        <v>0</v>
      </c>
      <c r="O10" s="363">
        <f>+'5. KHBH'!FV12*'1. Tổng hợp'!$D$19</f>
        <v>0</v>
      </c>
      <c r="P10" s="363">
        <f>+'5. KHBH'!FW12*'1. Tổng hợp'!$D$19</f>
        <v>0</v>
      </c>
      <c r="Q10" s="363">
        <f>+'5. KHBH'!FX12*'1. Tổng hợp'!$D$19</f>
        <v>3863114639.9999995</v>
      </c>
      <c r="R10" s="363">
        <f>+'5. KHBH'!FY12*'1. Tổng hợp'!$D$19</f>
        <v>965778660</v>
      </c>
      <c r="S10" s="363">
        <f>+'5. KHBH'!FZ12*'1. Tổng hợp'!$D$19</f>
        <v>1931557320</v>
      </c>
      <c r="T10" s="363">
        <f>+'5. KHBH'!GA12*'1. Tổng hợp'!$D$19</f>
        <v>0</v>
      </c>
      <c r="U10" s="363">
        <f>+'5. KHBH'!GB12*'1. Tổng hợp'!$D$19</f>
        <v>5151149940</v>
      </c>
      <c r="V10" s="363">
        <f>+'5. KHBH'!GC12*'1. Tổng hợp'!$D$19</f>
        <v>1455206860</v>
      </c>
      <c r="W10" s="363">
        <f>+'5. KHBH'!GD12*'1. Tổng hợp'!$D$19</f>
        <v>2240736220</v>
      </c>
      <c r="X10" s="363">
        <f>+'5. KHBH'!GE12*'1. Tổng hợp'!$D$19</f>
        <v>669677500</v>
      </c>
      <c r="Y10" s="363">
        <f>+'5. KHBH'!GF12*'1. Tổng hợp'!$D$19</f>
        <v>8179619260</v>
      </c>
      <c r="Z10" s="363">
        <f>+'5. KHBH'!GG12*'1. Tổng hợp'!$D$19</f>
        <v>650893319.99999988</v>
      </c>
      <c r="AA10" s="363">
        <f>+'5. KHBH'!GH12*'1. Tổng hợp'!$D$19</f>
        <v>1301786639.9999998</v>
      </c>
      <c r="AB10" s="363">
        <f>+'5. KHBH'!GI12*'1. Tổng hợp'!$D$19</f>
        <v>0</v>
      </c>
      <c r="AC10" s="363">
        <f>+'5. KHBH'!GJ12*'1. Tổng hợp'!$D$19</f>
        <v>2356588080</v>
      </c>
      <c r="AD10" s="363">
        <f>+'5. KHBH'!GK12*'1. Tổng hợp'!$D$19</f>
        <v>0</v>
      </c>
      <c r="AE10" s="363">
        <f>+'5. KHBH'!GL12*'1. Tổng hợp'!$D$19</f>
        <v>0</v>
      </c>
      <c r="AF10" s="363">
        <f>+'5. KHBH'!GM12*'1. Tổng hợp'!$D$19</f>
        <v>0</v>
      </c>
      <c r="AG10" s="363">
        <f>+'5. KHBH'!GN12*'1. Tổng hợp'!$D$19</f>
        <v>1952679959.9999998</v>
      </c>
      <c r="AH10" s="363">
        <f>+'5. KHBH'!GO12*'1. Tổng hợp'!$D$19</f>
        <v>0</v>
      </c>
      <c r="AI10" s="363">
        <f>+'5. KHBH'!GP12*'1. Tổng hợp'!$D$19</f>
        <v>0</v>
      </c>
      <c r="AJ10" s="363">
        <f>+'5. KHBH'!GQ12*'1. Tổng hợp'!$D$19</f>
        <v>0</v>
      </c>
      <c r="AK10" s="363">
        <f>+'5. KHBH'!GR12*'1. Tổng hợp'!$D$19</f>
        <v>0</v>
      </c>
      <c r="AL10" s="363">
        <f>+'5. KHBH'!GS12*'1. Tổng hợp'!$D$19</f>
        <v>0</v>
      </c>
      <c r="AM10" s="363">
        <f>+'5. KHBH'!GT12*'1. Tổng hợp'!$D$19</f>
        <v>0</v>
      </c>
      <c r="AN10" s="363">
        <f>+'5. KHBH'!GU12*'1. Tổng hợp'!$D$19</f>
        <v>0</v>
      </c>
      <c r="AO10" s="363">
        <f>+'5. KHBH'!GV12*'1. Tổng hợp'!$D$19</f>
        <v>0</v>
      </c>
      <c r="AP10" s="363">
        <f>+'5. KHBH'!GW12*'1. Tổng hợp'!$D$19</f>
        <v>0</v>
      </c>
      <c r="AQ10" s="363">
        <f>+'5. KHBH'!GX12*'1. Tổng hợp'!$D$19</f>
        <v>0</v>
      </c>
      <c r="AR10" s="363">
        <f>+'5. KHBH'!GY12*'1. Tổng hợp'!$D$19</f>
        <v>0</v>
      </c>
    </row>
    <row r="11" spans="1:44" s="45" customFormat="1">
      <c r="A11" s="360">
        <v>4</v>
      </c>
      <c r="B11" s="361" t="str">
        <f>'1. Tổng hợp'!B23</f>
        <v>Chi phí quản lý doanh nghiệp</v>
      </c>
      <c r="C11" s="581">
        <f t="shared" si="1"/>
        <v>30718788400</v>
      </c>
      <c r="D11" s="363">
        <f>+D6*'1. Tổng hợp'!$D$23</f>
        <v>0</v>
      </c>
      <c r="E11" s="363">
        <f>+E6*'1. Tổng hợp'!$D$23</f>
        <v>0</v>
      </c>
      <c r="F11" s="363">
        <f>+F6*'1. Tổng hợp'!$D$23</f>
        <v>0</v>
      </c>
      <c r="G11" s="363">
        <f>+G6*'1. Tổng hợp'!$D$23</f>
        <v>0</v>
      </c>
      <c r="H11" s="363">
        <f>+H6*'1. Tổng hợp'!$D$23</f>
        <v>0</v>
      </c>
      <c r="I11" s="363">
        <f>+I6*'1. Tổng hợp'!$D$23</f>
        <v>0</v>
      </c>
      <c r="J11" s="363">
        <f>+J6*'1. Tổng hợp'!$D$23</f>
        <v>0</v>
      </c>
      <c r="K11" s="363">
        <f>+K6*'1. Tổng hợp'!$D$23</f>
        <v>0</v>
      </c>
      <c r="L11" s="363">
        <f>+L6*'1. Tổng hợp'!$D$23</f>
        <v>0</v>
      </c>
      <c r="M11" s="363">
        <f>+M6*'1. Tổng hợp'!$D$23</f>
        <v>0</v>
      </c>
      <c r="N11" s="363">
        <f>+N6*'1. Tổng hợp'!$D$23</f>
        <v>0</v>
      </c>
      <c r="O11" s="363">
        <f>+O6*'1. Tổng hợp'!$D$23</f>
        <v>0</v>
      </c>
      <c r="P11" s="363">
        <f>+P6*'1. Tổng hợp'!$D$23</f>
        <v>0</v>
      </c>
      <c r="Q11" s="363">
        <f>+Q6*'1. Tổng hợp'!$D$23</f>
        <v>3863114639.9999995</v>
      </c>
      <c r="R11" s="363">
        <f>+R6*'1. Tổng hợp'!$D$23</f>
        <v>965778660</v>
      </c>
      <c r="S11" s="363">
        <f>+S6*'1. Tổng hợp'!$D$23</f>
        <v>1931557320</v>
      </c>
      <c r="T11" s="363">
        <f>+T6*'1. Tổng hợp'!$D$23</f>
        <v>0</v>
      </c>
      <c r="U11" s="363">
        <f>+U6*'1. Tổng hợp'!$D$23</f>
        <v>5151149940</v>
      </c>
      <c r="V11" s="363">
        <f>+V6*'1. Tổng hợp'!$D$23</f>
        <v>1455206860</v>
      </c>
      <c r="W11" s="363">
        <f>+W6*'1. Tổng hợp'!$D$23</f>
        <v>2240736220</v>
      </c>
      <c r="X11" s="363">
        <f>+X6*'1. Tổng hợp'!$D$23</f>
        <v>669677500</v>
      </c>
      <c r="Y11" s="363">
        <f>+Y6*'1. Tổng hợp'!$D$23</f>
        <v>8179619260</v>
      </c>
      <c r="Z11" s="363">
        <f>+Z6*'1. Tổng hợp'!$D$23</f>
        <v>650893319.99999988</v>
      </c>
      <c r="AA11" s="363">
        <f>+AA6*'1. Tổng hợp'!$D$23</f>
        <v>1301786639.9999998</v>
      </c>
      <c r="AB11" s="363">
        <f>+AB6*'1. Tổng hợp'!$D$23</f>
        <v>0</v>
      </c>
      <c r="AC11" s="363">
        <f>+AC6*'1. Tổng hợp'!$D$23</f>
        <v>2356588080</v>
      </c>
      <c r="AD11" s="363">
        <f>+AD6*'1. Tổng hợp'!$D$23</f>
        <v>0</v>
      </c>
      <c r="AE11" s="363">
        <f>+AE6*'1. Tổng hợp'!$D$23</f>
        <v>0</v>
      </c>
      <c r="AF11" s="363">
        <f>+AF6*'1. Tổng hợp'!$D$23</f>
        <v>0</v>
      </c>
      <c r="AG11" s="363">
        <f>+AG6*'1. Tổng hợp'!$D$23</f>
        <v>1952679959.9999998</v>
      </c>
      <c r="AH11" s="363">
        <f>+AH6*'1. Tổng hợp'!$D$23</f>
        <v>0</v>
      </c>
      <c r="AI11" s="363">
        <f>+AI6*'1. Tổng hợp'!$D$23</f>
        <v>0</v>
      </c>
      <c r="AJ11" s="363">
        <f>+AJ6*'1. Tổng hợp'!$D$23</f>
        <v>0</v>
      </c>
      <c r="AK11" s="363">
        <f>+AK6*'1. Tổng hợp'!$D$23</f>
        <v>0</v>
      </c>
      <c r="AL11" s="363">
        <f>+AL6*'1. Tổng hợp'!$D$23</f>
        <v>0</v>
      </c>
      <c r="AM11" s="363">
        <f>+AM6*'1. Tổng hợp'!$D$23</f>
        <v>0</v>
      </c>
      <c r="AN11" s="363">
        <f>+AN6*'1. Tổng hợp'!$D$23</f>
        <v>0</v>
      </c>
      <c r="AO11" s="363">
        <f>+AO6*'1. Tổng hợp'!$D$23</f>
        <v>0</v>
      </c>
      <c r="AP11" s="363">
        <f>+AP6*'1. Tổng hợp'!$D$23</f>
        <v>0</v>
      </c>
      <c r="AQ11" s="363">
        <f>+AQ6*'1. Tổng hợp'!$D$23</f>
        <v>0</v>
      </c>
      <c r="AR11" s="363">
        <f>+AR6*'1. Tổng hợp'!$D$23</f>
        <v>0</v>
      </c>
    </row>
    <row r="12" spans="1:44" s="45" customFormat="1">
      <c r="A12" s="360">
        <v>5</v>
      </c>
      <c r="B12" s="361" t="s">
        <v>180</v>
      </c>
      <c r="C12" s="581">
        <f t="shared" si="1"/>
        <v>43721240372.000496</v>
      </c>
      <c r="D12" s="363">
        <f>+'7. P&amp;L TOÀN DỰ ÁN'!EN23</f>
        <v>0</v>
      </c>
      <c r="E12" s="363">
        <f>+'7. P&amp;L TOÀN DỰ ÁN'!EO23</f>
        <v>0</v>
      </c>
      <c r="F12" s="363">
        <f>+'7. P&amp;L TOÀN DỰ ÁN'!EP23</f>
        <v>0</v>
      </c>
      <c r="G12" s="363">
        <f>+'7. P&amp;L TOÀN DỰ ÁN'!EQ23</f>
        <v>0</v>
      </c>
      <c r="H12" s="363">
        <f>+'7. P&amp;L TOÀN DỰ ÁN'!ER23</f>
        <v>0</v>
      </c>
      <c r="I12" s="363">
        <f>+'7. P&amp;L TOÀN DỰ ÁN'!ES23</f>
        <v>0</v>
      </c>
      <c r="J12" s="363">
        <f>+'7. P&amp;L TOÀN DỰ ÁN'!ET23</f>
        <v>0</v>
      </c>
      <c r="K12" s="363">
        <f>+'7. P&amp;L TOÀN DỰ ÁN'!EU23</f>
        <v>0</v>
      </c>
      <c r="L12" s="363">
        <f>+'7. P&amp;L TOÀN DỰ ÁN'!EV23</f>
        <v>0</v>
      </c>
      <c r="M12" s="363">
        <f>+'7. P&amp;L TOÀN DỰ ÁN'!EW23</f>
        <v>0</v>
      </c>
      <c r="N12" s="363">
        <f>+'7. P&amp;L TOÀN DỰ ÁN'!EX23</f>
        <v>0</v>
      </c>
      <c r="O12" s="363">
        <f>+'7. P&amp;L TOÀN DỰ ÁN'!EY23</f>
        <v>0</v>
      </c>
      <c r="P12" s="363">
        <f>+'7. P&amp;L TOÀN DỰ ÁN'!EZ23</f>
        <v>0</v>
      </c>
      <c r="Q12" s="363">
        <f>+'7. P&amp;L TOÀN DỰ ÁN'!FA23</f>
        <v>0</v>
      </c>
      <c r="R12" s="363">
        <f>+'7. P&amp;L TOÀN DỰ ÁN'!FB23</f>
        <v>0</v>
      </c>
      <c r="S12" s="363">
        <f>+'7. P&amp;L TOÀN DỰ ÁN'!FC23</f>
        <v>0</v>
      </c>
      <c r="T12" s="363">
        <f>+'7. P&amp;L TOÀN DỰ ÁN'!FD23</f>
        <v>0</v>
      </c>
      <c r="U12" s="363">
        <f>+'7. P&amp;L TOÀN DỰ ÁN'!FE23</f>
        <v>0</v>
      </c>
      <c r="V12" s="363">
        <f>+'7. P&amp;L TOÀN DỰ ÁN'!FF23</f>
        <v>0</v>
      </c>
      <c r="W12" s="363">
        <f>+'7. P&amp;L TOÀN DỰ ÁN'!FG23</f>
        <v>0</v>
      </c>
      <c r="X12" s="363">
        <f>+'7. P&amp;L TOÀN DỰ ÁN'!FH23</f>
        <v>0</v>
      </c>
      <c r="Y12" s="363">
        <f>+'7. P&amp;L TOÀN DỰ ÁN'!FI23</f>
        <v>30789771059.00066</v>
      </c>
      <c r="Z12" s="363">
        <f>+'7. P&amp;L TOÀN DỰ ÁN'!FJ23</f>
        <v>0</v>
      </c>
      <c r="AA12" s="363">
        <f>+'7. P&amp;L TOÀN DỰ ÁN'!FK23</f>
        <v>0</v>
      </c>
      <c r="AB12" s="363">
        <f>+'7. P&amp;L TOÀN DỰ ÁN'!FL23</f>
        <v>0</v>
      </c>
      <c r="AC12" s="363">
        <f>+'7. P&amp;L TOÀN DỰ ÁN'!FM23</f>
        <v>7071768605.9512854</v>
      </c>
      <c r="AD12" s="363">
        <f>+'7. P&amp;L TOÀN DỰ ÁN'!FN23</f>
        <v>0</v>
      </c>
      <c r="AE12" s="363">
        <f>+'7. P&amp;L TOÀN DỰ ÁN'!FO23</f>
        <v>0</v>
      </c>
      <c r="AF12" s="363">
        <f>+'7. P&amp;L TOÀN DỰ ÁN'!FP23</f>
        <v>0</v>
      </c>
      <c r="AG12" s="363">
        <f>+'7. P&amp;L TOÀN DỰ ÁN'!FQ23</f>
        <v>5859700707.0485544</v>
      </c>
      <c r="AH12" s="363">
        <f>+'7. P&amp;L TOÀN DỰ ÁN'!FR23</f>
        <v>0</v>
      </c>
      <c r="AI12" s="363">
        <f>+'7. P&amp;L TOÀN DỰ ÁN'!FS23</f>
        <v>0</v>
      </c>
      <c r="AJ12" s="363">
        <f>+'7. P&amp;L TOÀN DỰ ÁN'!FT23</f>
        <v>0</v>
      </c>
      <c r="AK12" s="363">
        <f>+'7. P&amp;L TOÀN DỰ ÁN'!FU23</f>
        <v>0</v>
      </c>
      <c r="AL12" s="363">
        <f>+'7. P&amp;L TOÀN DỰ ÁN'!FV23</f>
        <v>0</v>
      </c>
      <c r="AM12" s="363">
        <f>+'7. P&amp;L TOÀN DỰ ÁN'!FW23</f>
        <v>0</v>
      </c>
      <c r="AN12" s="363">
        <f>+'7. P&amp;L TOÀN DỰ ÁN'!FX23</f>
        <v>0</v>
      </c>
      <c r="AO12" s="363">
        <f>+'7. P&amp;L TOÀN DỰ ÁN'!FY23</f>
        <v>0</v>
      </c>
      <c r="AP12" s="363">
        <f>+'7. P&amp;L TOÀN DỰ ÁN'!FZ23</f>
        <v>0</v>
      </c>
      <c r="AQ12" s="363">
        <f>+'7. P&amp;L TOÀN DỰ ÁN'!GA23</f>
        <v>0</v>
      </c>
      <c r="AR12" s="363">
        <f>+'7. P&amp;L TOÀN DỰ ÁN'!GB23</f>
        <v>0</v>
      </c>
    </row>
    <row r="13" spans="1:44" s="45" customFormat="1">
      <c r="A13" s="360">
        <v>6</v>
      </c>
      <c r="B13" s="361" t="s">
        <v>181</v>
      </c>
      <c r="C13" s="581">
        <f t="shared" si="1"/>
        <v>34128183181.341812</v>
      </c>
      <c r="D13" s="364">
        <v>0</v>
      </c>
      <c r="E13" s="364">
        <v>0</v>
      </c>
      <c r="F13" s="364">
        <v>0</v>
      </c>
      <c r="G13" s="364">
        <v>0</v>
      </c>
      <c r="H13" s="364">
        <f>SUM(D16:H16)</f>
        <v>0</v>
      </c>
      <c r="I13" s="364">
        <f>I16</f>
        <v>0</v>
      </c>
      <c r="J13" s="364">
        <v>0</v>
      </c>
      <c r="K13" s="364">
        <v>0</v>
      </c>
      <c r="L13" s="364">
        <v>0</v>
      </c>
      <c r="M13" s="364">
        <v>0</v>
      </c>
      <c r="N13" s="364">
        <v>0</v>
      </c>
      <c r="O13" s="364">
        <v>0</v>
      </c>
      <c r="P13" s="364">
        <v>0</v>
      </c>
      <c r="Q13" s="364">
        <v>0</v>
      </c>
      <c r="R13" s="364">
        <v>0</v>
      </c>
      <c r="S13" s="364">
        <v>0</v>
      </c>
      <c r="T13" s="364">
        <v>0</v>
      </c>
      <c r="U13" s="364">
        <v>0</v>
      </c>
      <c r="V13" s="364">
        <v>0</v>
      </c>
      <c r="W13" s="364">
        <v>0</v>
      </c>
      <c r="X13" s="364">
        <v>0</v>
      </c>
      <c r="Y13" s="364">
        <v>0</v>
      </c>
      <c r="Z13" s="364">
        <v>0</v>
      </c>
      <c r="AA13" s="364">
        <v>0</v>
      </c>
      <c r="AB13" s="364">
        <v>0</v>
      </c>
      <c r="AC13" s="364">
        <v>0</v>
      </c>
      <c r="AD13" s="364">
        <v>0</v>
      </c>
      <c r="AE13" s="364">
        <v>0</v>
      </c>
      <c r="AF13" s="364">
        <v>0</v>
      </c>
      <c r="AG13" s="364">
        <v>0</v>
      </c>
      <c r="AH13" s="364">
        <f>SUM(D16:AH16)</f>
        <v>34128183181.341812</v>
      </c>
      <c r="AI13" s="364">
        <f t="shared" ref="AI13:AR13" si="7">AI16</f>
        <v>0</v>
      </c>
      <c r="AJ13" s="364">
        <f t="shared" ref="AJ13:AQ13" si="8">AJ16</f>
        <v>0</v>
      </c>
      <c r="AK13" s="364">
        <f t="shared" ref="AK13:AN13" si="9">AK16</f>
        <v>0</v>
      </c>
      <c r="AL13" s="364">
        <f t="shared" si="9"/>
        <v>0</v>
      </c>
      <c r="AM13" s="364">
        <f t="shared" si="9"/>
        <v>0</v>
      </c>
      <c r="AN13" s="364">
        <f t="shared" si="9"/>
        <v>0</v>
      </c>
      <c r="AO13" s="364">
        <f t="shared" si="8"/>
        <v>0</v>
      </c>
      <c r="AP13" s="364">
        <f t="shared" si="8"/>
        <v>0</v>
      </c>
      <c r="AQ13" s="364">
        <f t="shared" si="8"/>
        <v>0</v>
      </c>
      <c r="AR13" s="364">
        <f t="shared" si="7"/>
        <v>0</v>
      </c>
    </row>
    <row r="14" spans="1:44" s="46" customFormat="1">
      <c r="A14" s="365"/>
      <c r="B14" s="366" t="s">
        <v>182</v>
      </c>
      <c r="C14" s="227">
        <f t="shared" si="1"/>
        <v>139630856363.63635</v>
      </c>
      <c r="D14" s="367">
        <f>+(D6/(1+'1. Tổng hợp'!$D$24))*'1. Tổng hợp'!$D$24</f>
        <v>0</v>
      </c>
      <c r="E14" s="367">
        <f>+(E6/(1+'1. Tổng hợp'!$D$24))*'1. Tổng hợp'!$D$24</f>
        <v>0</v>
      </c>
      <c r="F14" s="367">
        <f>+(F6/(1+'1. Tổng hợp'!$D$24))*'1. Tổng hợp'!$D$24</f>
        <v>0</v>
      </c>
      <c r="G14" s="367">
        <f>+(G6/(1+'1. Tổng hợp'!$D$24))*'1. Tổng hợp'!$D$24</f>
        <v>0</v>
      </c>
      <c r="H14" s="367">
        <f>+(H6/(1+'1. Tổng hợp'!$D$24))*'1. Tổng hợp'!$D$24</f>
        <v>0</v>
      </c>
      <c r="I14" s="367">
        <f>+(I6/(1+'1. Tổng hợp'!$D$24))*'1. Tổng hợp'!$D$24</f>
        <v>0</v>
      </c>
      <c r="J14" s="367">
        <f>+(J6/(1+'1. Tổng hợp'!$D$24))*'1. Tổng hợp'!$D$24</f>
        <v>0</v>
      </c>
      <c r="K14" s="367">
        <f>+(K6/(1+'1. Tổng hợp'!$D$24))*'1. Tổng hợp'!$D$24</f>
        <v>0</v>
      </c>
      <c r="L14" s="367">
        <f>+(L6/(1+'1. Tổng hợp'!$D$24))*'1. Tổng hợp'!$D$24</f>
        <v>0</v>
      </c>
      <c r="M14" s="367">
        <f>+(M6/(1+'1. Tổng hợp'!$D$24))*'1. Tổng hợp'!$D$24</f>
        <v>0</v>
      </c>
      <c r="N14" s="367">
        <f>+(N6/(1+'1. Tổng hợp'!$D$24))*'1. Tổng hợp'!$D$24</f>
        <v>0</v>
      </c>
      <c r="O14" s="367">
        <f>+(O6/(1+'1. Tổng hợp'!$D$24))*'1. Tổng hợp'!$D$24</f>
        <v>0</v>
      </c>
      <c r="P14" s="367">
        <f>+(P6/(1+'1. Tổng hợp'!$D$24))*'1. Tổng hợp'!$D$24</f>
        <v>0</v>
      </c>
      <c r="Q14" s="367">
        <f>+(Q6/(1+'1. Tổng hợp'!$D$24))*'1. Tổng hợp'!$D$24</f>
        <v>17559611999.999996</v>
      </c>
      <c r="R14" s="367">
        <f>+(R6/(1+'1. Tổng hợp'!$D$24))*'1. Tổng hợp'!$D$24</f>
        <v>4389903000</v>
      </c>
      <c r="S14" s="367">
        <f>+(S6/(1+'1. Tổng hợp'!$D$24))*'1. Tổng hợp'!$D$24</f>
        <v>8779806000</v>
      </c>
      <c r="T14" s="367">
        <f>+(T6/(1+'1. Tổng hợp'!$D$24))*'1. Tổng hợp'!$D$24</f>
        <v>0</v>
      </c>
      <c r="U14" s="367">
        <f>+(U6/(1+'1. Tổng hợp'!$D$24))*'1. Tổng hợp'!$D$24</f>
        <v>23414317909.090908</v>
      </c>
      <c r="V14" s="367">
        <f>+(V6/(1+'1. Tổng hợp'!$D$24))*'1. Tổng hợp'!$D$24</f>
        <v>6614576636.363636</v>
      </c>
      <c r="W14" s="367">
        <f>+(W6/(1+'1. Tổng hợp'!$D$24))*'1. Tổng hợp'!$D$24</f>
        <v>10185164636.363636</v>
      </c>
      <c r="X14" s="367">
        <f>+(X6/(1+'1. Tổng hợp'!$D$24))*'1. Tổng hợp'!$D$24</f>
        <v>3043988636.363636</v>
      </c>
      <c r="Y14" s="367">
        <f>+(Y6/(1+'1. Tổng hợp'!$D$24))*'1. Tổng hợp'!$D$24</f>
        <v>37180087545.454544</v>
      </c>
      <c r="Z14" s="367">
        <f>+(Z6/(1+'1. Tổng hợp'!$D$24))*'1. Tổng hợp'!$D$24</f>
        <v>2958605999.9999995</v>
      </c>
      <c r="AA14" s="367">
        <f>+(AA6/(1+'1. Tổng hợp'!$D$24))*'1. Tổng hợp'!$D$24</f>
        <v>5917211999.999999</v>
      </c>
      <c r="AB14" s="367">
        <f>+(AB6/(1+'1. Tổng hợp'!$D$24))*'1. Tổng hợp'!$D$24</f>
        <v>0</v>
      </c>
      <c r="AC14" s="367">
        <f>+(AC6/(1+'1. Tổng hợp'!$D$24))*'1. Tổng hợp'!$D$24</f>
        <v>10711764000</v>
      </c>
      <c r="AD14" s="367">
        <f>+(AD6/(1+'1. Tổng hợp'!$D$24))*'1. Tổng hợp'!$D$24</f>
        <v>0</v>
      </c>
      <c r="AE14" s="367">
        <f>+(AE6/(1+'1. Tổng hợp'!$D$24))*'1. Tổng hợp'!$D$24</f>
        <v>0</v>
      </c>
      <c r="AF14" s="367">
        <f>+(AF6/(1+'1. Tổng hợp'!$D$24))*'1. Tổng hợp'!$D$24</f>
        <v>0</v>
      </c>
      <c r="AG14" s="367">
        <f>+(AG6/(1+'1. Tổng hợp'!$D$24))*'1. Tổng hợp'!$D$24</f>
        <v>8875817999.9999981</v>
      </c>
      <c r="AH14" s="367">
        <f>+(AH6/(1+'1. Tổng hợp'!$D$24))*'1. Tổng hợp'!$D$24</f>
        <v>0</v>
      </c>
      <c r="AI14" s="367">
        <f>+(AI6/(1+'1. Tổng hợp'!$D$24))*'1. Tổng hợp'!$D$24</f>
        <v>0</v>
      </c>
      <c r="AJ14" s="367">
        <f>+(AJ6/(1+'1. Tổng hợp'!$D$24))*'1. Tổng hợp'!$D$24</f>
        <v>0</v>
      </c>
      <c r="AK14" s="367">
        <f>+(AK6/(1+'1. Tổng hợp'!$D$24))*'1. Tổng hợp'!$D$24</f>
        <v>0</v>
      </c>
      <c r="AL14" s="367">
        <f>+(AL6/(1+'1. Tổng hợp'!$D$24))*'1. Tổng hợp'!$D$24</f>
        <v>0</v>
      </c>
      <c r="AM14" s="367">
        <f>+(AM6/(1+'1. Tổng hợp'!$D$24))*'1. Tổng hợp'!$D$24</f>
        <v>0</v>
      </c>
      <c r="AN14" s="367">
        <f>+(AN6/(1+'1. Tổng hợp'!$D$24))*'1. Tổng hợp'!$D$24</f>
        <v>0</v>
      </c>
      <c r="AO14" s="367">
        <f>+(AO6/(1+'1. Tổng hợp'!$D$24))*'1. Tổng hợp'!$D$24</f>
        <v>0</v>
      </c>
      <c r="AP14" s="367">
        <f>+(AP6/(1+'1. Tổng hợp'!$D$24))*'1. Tổng hợp'!$D$24</f>
        <v>0</v>
      </c>
      <c r="AQ14" s="367">
        <f>+(AQ6/(1+'1. Tổng hợp'!$D$24))*'1. Tổng hợp'!$D$24</f>
        <v>0</v>
      </c>
      <c r="AR14" s="367">
        <f>+(AR6/(1+'1. Tổng hợp'!$D$24))*'1. Tổng hợp'!$D$24</f>
        <v>0</v>
      </c>
    </row>
    <row r="15" spans="1:44" s="46" customFormat="1">
      <c r="A15" s="365"/>
      <c r="B15" s="366" t="s">
        <v>183</v>
      </c>
      <c r="C15" s="368">
        <f t="shared" si="1"/>
        <v>105502673182.29453</v>
      </c>
      <c r="D15" s="367">
        <f>+((D8+D10+D11)/(1+'1. Tổng hợp'!$D$24))*'1. Tổng hợp'!$D$24</f>
        <v>0</v>
      </c>
      <c r="E15" s="367">
        <f>+((E8+E10+E11)/(1+'1. Tổng hợp'!$D$24))*'1. Tổng hợp'!$D$24</f>
        <v>0</v>
      </c>
      <c r="F15" s="367">
        <f>+((F8+F10+F11)/(1+'1. Tổng hợp'!$D$24))*'1. Tổng hợp'!$D$24</f>
        <v>0</v>
      </c>
      <c r="G15" s="367">
        <f>+((G8+G10+G11)/(1+'1. Tổng hợp'!$D$24))*'1. Tổng hợp'!$D$24</f>
        <v>0</v>
      </c>
      <c r="H15" s="367">
        <f>+((H8+H10+H11)/(1+'1. Tổng hợp'!$D$24))*'1. Tổng hợp'!$D$24</f>
        <v>0</v>
      </c>
      <c r="I15" s="367">
        <f>+((I8+I10+I11)/(1+'1. Tổng hợp'!$D$24))*'1. Tổng hợp'!$D$24</f>
        <v>0</v>
      </c>
      <c r="J15" s="367">
        <f>+((J8+J10+J11)/(1+'1. Tổng hợp'!$D$24))*'1. Tổng hợp'!$D$24</f>
        <v>0</v>
      </c>
      <c r="K15" s="367">
        <f>+((K8+K10+K11)/(1+'1. Tổng hợp'!$D$24))*'1. Tổng hợp'!$D$24</f>
        <v>0</v>
      </c>
      <c r="L15" s="367">
        <f>+((L8+L10+L11)/(1+'1. Tổng hợp'!$D$24))*'1. Tổng hợp'!$D$24</f>
        <v>0</v>
      </c>
      <c r="M15" s="367">
        <f>+((M8+M10+M11)/(1+'1. Tổng hợp'!$D$24))*'1. Tổng hợp'!$D$24</f>
        <v>12489679865.968636</v>
      </c>
      <c r="N15" s="367">
        <f>+((N8+N10+N11)/(1+'1. Tổng hợp'!$D$24))*'1. Tổng hợp'!$D$24</f>
        <v>12489679865.968636</v>
      </c>
      <c r="O15" s="367">
        <f>+((O8+O10+O11)/(1+'1. Tổng hợp'!$D$24))*'1. Tổng hợp'!$D$24</f>
        <v>12489679865.968636</v>
      </c>
      <c r="P15" s="367">
        <f>+((P8+P10+P11)/(1+'1. Tổng hợp'!$D$24))*'1. Tổng hợp'!$D$24</f>
        <v>12489679865.968636</v>
      </c>
      <c r="Q15" s="367">
        <f>+((Q8+Q10+Q11)/(1+'1. Tổng hợp'!$D$24))*'1. Tổng hợp'!$D$24</f>
        <v>13192064345.968636</v>
      </c>
      <c r="R15" s="367">
        <f>+((R8+R10+R11)/(1+'1. Tổng hợp'!$D$24))*'1. Tổng hợp'!$D$24</f>
        <v>12665275985.968636</v>
      </c>
      <c r="S15" s="367">
        <f>+((S8+S10+S11)/(1+'1. Tổng hợp'!$D$24))*'1. Tổng hợp'!$D$24</f>
        <v>12840872105.968636</v>
      </c>
      <c r="T15" s="367">
        <f>+((T8+T10+T11)/(1+'1. Tổng hợp'!$D$24))*'1. Tổng hợp'!$D$24</f>
        <v>12489679865.968636</v>
      </c>
      <c r="U15" s="367">
        <f>+((U8+U10+U11)/(1+'1. Tổng hợp'!$D$24))*'1. Tổng hợp'!$D$24</f>
        <v>936572716.36363626</v>
      </c>
      <c r="V15" s="367">
        <f>+((V8+V10+V11)/(1+'1. Tổng hợp'!$D$24))*'1. Tổng hợp'!$D$24</f>
        <v>264583065.45454547</v>
      </c>
      <c r="W15" s="367">
        <f>+((W8+W10+W11)/(1+'1. Tổng hợp'!$D$24))*'1. Tổng hợp'!$D$24</f>
        <v>407406585.45454544</v>
      </c>
      <c r="X15" s="367">
        <f>+((X8+X10+X11)/(1+'1. Tổng hợp'!$D$24))*'1. Tổng hợp'!$D$24</f>
        <v>121759545.45454545</v>
      </c>
      <c r="Y15" s="367">
        <f>+((Y8+Y10+Y11)/(1+'1. Tổng hợp'!$D$24))*'1. Tổng hợp'!$D$24</f>
        <v>1487203501.8181818</v>
      </c>
      <c r="Z15" s="367">
        <f>+((Z8+Z10+Z11)/(1+'1. Tổng hợp'!$D$24))*'1. Tổng hợp'!$D$24</f>
        <v>118344239.99999999</v>
      </c>
      <c r="AA15" s="367">
        <f>+((AA8+AA10+AA11)/(1+'1. Tổng hợp'!$D$24))*'1. Tổng hợp'!$D$24</f>
        <v>236688479.99999997</v>
      </c>
      <c r="AB15" s="367">
        <f>+((AB8+AB10+AB11)/(1+'1. Tổng hợp'!$D$24))*'1. Tổng hợp'!$D$24</f>
        <v>0</v>
      </c>
      <c r="AC15" s="367">
        <f>+((AC8+AC10+AC11)/(1+'1. Tổng hợp'!$D$24))*'1. Tổng hợp'!$D$24</f>
        <v>428470560</v>
      </c>
      <c r="AD15" s="367">
        <f>+((AD8+AD10+AD11)/(1+'1. Tổng hợp'!$D$24))*'1. Tổng hợp'!$D$24</f>
        <v>0</v>
      </c>
      <c r="AE15" s="367">
        <f>+((AE8+AE10+AE11)/(1+'1. Tổng hợp'!$D$24))*'1. Tổng hợp'!$D$24</f>
        <v>0</v>
      </c>
      <c r="AF15" s="367">
        <f>+((AF8+AF10+AF11)/(1+'1. Tổng hợp'!$D$24))*'1. Tổng hợp'!$D$24</f>
        <v>0</v>
      </c>
      <c r="AG15" s="367">
        <f>+((AG8+AG10+AG11)/(1+'1. Tổng hợp'!$D$24))*'1. Tổng hợp'!$D$24</f>
        <v>355032719.99999994</v>
      </c>
      <c r="AH15" s="367">
        <f>+((AH8+AH10+AH11)/(1+'1. Tổng hợp'!$D$24))*'1. Tổng hợp'!$D$24</f>
        <v>0</v>
      </c>
      <c r="AI15" s="367">
        <f>+((AI8+AI10+AI11)/(1+'1. Tổng hợp'!$D$24))*'1. Tổng hợp'!$D$24</f>
        <v>0</v>
      </c>
      <c r="AJ15" s="367">
        <f>+((AJ8+AJ10+AJ11)/(1+'1. Tổng hợp'!$D$24))*'1. Tổng hợp'!$D$24</f>
        <v>0</v>
      </c>
      <c r="AK15" s="367">
        <f>+((AK8+AK10+AK11)/(1+'1. Tổng hợp'!$D$24))*'1. Tổng hợp'!$D$24</f>
        <v>0</v>
      </c>
      <c r="AL15" s="367">
        <f>+((AL8+AL10+AL11)/(1+'1. Tổng hợp'!$D$24))*'1. Tổng hợp'!$D$24</f>
        <v>0</v>
      </c>
      <c r="AM15" s="367">
        <f>+((AM8+AM10+AM11)/(1+'1. Tổng hợp'!$D$24))*'1. Tổng hợp'!$D$24</f>
        <v>0</v>
      </c>
      <c r="AN15" s="367">
        <f>+((AN8+AN10+AN11)/(1+'1. Tổng hợp'!$D$24))*'1. Tổng hợp'!$D$24</f>
        <v>0</v>
      </c>
      <c r="AO15" s="367">
        <f>+((AO8+AO10+AO11)/(1+'1. Tổng hợp'!$D$24))*'1. Tổng hợp'!$D$24</f>
        <v>0</v>
      </c>
      <c r="AP15" s="367">
        <f>+((AP8+AP10+AP11)/(1+'1. Tổng hợp'!$D$24))*'1. Tổng hợp'!$D$24</f>
        <v>0</v>
      </c>
      <c r="AQ15" s="367">
        <f>+((AQ8+AQ10+AQ11)/(1+'1. Tổng hợp'!$D$24))*'1. Tổng hợp'!$D$24</f>
        <v>0</v>
      </c>
      <c r="AR15" s="367">
        <f>+((AR8+AR10+AR11)/(1+'1. Tổng hợp'!$D$24))*'1. Tổng hợp'!$D$24</f>
        <v>0</v>
      </c>
    </row>
    <row r="16" spans="1:44" s="46" customFormat="1">
      <c r="A16" s="365"/>
      <c r="B16" s="366" t="s">
        <v>184</v>
      </c>
      <c r="C16" s="368">
        <f t="shared" si="1"/>
        <v>34128183181.341812</v>
      </c>
      <c r="D16" s="367">
        <f>D14-D15</f>
        <v>0</v>
      </c>
      <c r="E16" s="367">
        <f t="shared" ref="E16:AR16" si="10">E14-E15</f>
        <v>0</v>
      </c>
      <c r="F16" s="367">
        <f t="shared" si="10"/>
        <v>0</v>
      </c>
      <c r="G16" s="367">
        <f t="shared" si="10"/>
        <v>0</v>
      </c>
      <c r="H16" s="367">
        <f t="shared" si="10"/>
        <v>0</v>
      </c>
      <c r="I16" s="367">
        <f t="shared" si="10"/>
        <v>0</v>
      </c>
      <c r="J16" s="367">
        <f t="shared" si="10"/>
        <v>0</v>
      </c>
      <c r="K16" s="367">
        <f t="shared" si="10"/>
        <v>0</v>
      </c>
      <c r="L16" s="367">
        <f t="shared" si="10"/>
        <v>0</v>
      </c>
      <c r="M16" s="367">
        <f t="shared" si="10"/>
        <v>-12489679865.968636</v>
      </c>
      <c r="N16" s="367">
        <f t="shared" si="10"/>
        <v>-12489679865.968636</v>
      </c>
      <c r="O16" s="367">
        <f t="shared" si="10"/>
        <v>-12489679865.968636</v>
      </c>
      <c r="P16" s="367">
        <f t="shared" si="10"/>
        <v>-12489679865.968636</v>
      </c>
      <c r="Q16" s="367">
        <f t="shared" si="10"/>
        <v>4367547654.0313606</v>
      </c>
      <c r="R16" s="367">
        <f t="shared" si="10"/>
        <v>-8275372985.9686356</v>
      </c>
      <c r="S16" s="367">
        <f t="shared" si="10"/>
        <v>-4061066105.9686356</v>
      </c>
      <c r="T16" s="367">
        <f t="shared" si="10"/>
        <v>-12489679865.968636</v>
      </c>
      <c r="U16" s="367">
        <f t="shared" si="10"/>
        <v>22477745192.727272</v>
      </c>
      <c r="V16" s="367">
        <f t="shared" si="10"/>
        <v>6349993570.909091</v>
      </c>
      <c r="W16" s="367">
        <f t="shared" si="10"/>
        <v>9777758050.90909</v>
      </c>
      <c r="X16" s="367">
        <f t="shared" si="10"/>
        <v>2922229090.9090905</v>
      </c>
      <c r="Y16" s="367">
        <f t="shared" si="10"/>
        <v>35692884043.63636</v>
      </c>
      <c r="Z16" s="367">
        <f t="shared" si="10"/>
        <v>2840261759.9999995</v>
      </c>
      <c r="AA16" s="367">
        <f t="shared" si="10"/>
        <v>5680523519.999999</v>
      </c>
      <c r="AB16" s="367">
        <f t="shared" si="10"/>
        <v>0</v>
      </c>
      <c r="AC16" s="367">
        <f t="shared" si="10"/>
        <v>10283293440</v>
      </c>
      <c r="AD16" s="367">
        <f t="shared" si="10"/>
        <v>0</v>
      </c>
      <c r="AE16" s="367">
        <f t="shared" si="10"/>
        <v>0</v>
      </c>
      <c r="AF16" s="367">
        <f t="shared" si="10"/>
        <v>0</v>
      </c>
      <c r="AG16" s="367">
        <f t="shared" si="10"/>
        <v>8520785279.9999981</v>
      </c>
      <c r="AH16" s="367">
        <f t="shared" si="10"/>
        <v>0</v>
      </c>
      <c r="AI16" s="367">
        <f t="shared" si="10"/>
        <v>0</v>
      </c>
      <c r="AJ16" s="367">
        <f t="shared" si="10"/>
        <v>0</v>
      </c>
      <c r="AK16" s="367">
        <f t="shared" si="10"/>
        <v>0</v>
      </c>
      <c r="AL16" s="367">
        <f t="shared" si="10"/>
        <v>0</v>
      </c>
      <c r="AM16" s="367">
        <f t="shared" si="10"/>
        <v>0</v>
      </c>
      <c r="AN16" s="367">
        <f t="shared" si="10"/>
        <v>0</v>
      </c>
      <c r="AO16" s="367">
        <f t="shared" si="10"/>
        <v>0</v>
      </c>
      <c r="AP16" s="367">
        <f t="shared" si="10"/>
        <v>0</v>
      </c>
      <c r="AQ16" s="367">
        <f t="shared" si="10"/>
        <v>0</v>
      </c>
      <c r="AR16" s="367">
        <f t="shared" si="10"/>
        <v>0</v>
      </c>
    </row>
    <row r="17" spans="1:46" s="45" customFormat="1">
      <c r="A17" s="369" t="s">
        <v>24</v>
      </c>
      <c r="B17" s="370" t="s">
        <v>185</v>
      </c>
      <c r="C17" s="371">
        <f t="shared" si="1"/>
        <v>254546219347.41754</v>
      </c>
      <c r="D17" s="372">
        <f>D6-D7</f>
        <v>0</v>
      </c>
      <c r="E17" s="372">
        <f t="shared" ref="E17:AR17" si="11">E6-E7</f>
        <v>0</v>
      </c>
      <c r="F17" s="372">
        <f t="shared" si="11"/>
        <v>0</v>
      </c>
      <c r="G17" s="372">
        <f t="shared" si="11"/>
        <v>0</v>
      </c>
      <c r="H17" s="372">
        <f t="shared" si="11"/>
        <v>0</v>
      </c>
      <c r="I17" s="372">
        <f t="shared" si="11"/>
        <v>0</v>
      </c>
      <c r="J17" s="372">
        <f t="shared" si="11"/>
        <v>0</v>
      </c>
      <c r="K17" s="372">
        <f t="shared" si="11"/>
        <v>0</v>
      </c>
      <c r="L17" s="372">
        <f t="shared" si="11"/>
        <v>0</v>
      </c>
      <c r="M17" s="372">
        <f t="shared" si="11"/>
        <v>-180400850619.655</v>
      </c>
      <c r="N17" s="372">
        <f t="shared" si="11"/>
        <v>-137386478525.655</v>
      </c>
      <c r="O17" s="372">
        <f t="shared" si="11"/>
        <v>-137386478525.655</v>
      </c>
      <c r="P17" s="372">
        <f t="shared" si="11"/>
        <v>-137386478525.655</v>
      </c>
      <c r="Q17" s="372">
        <f t="shared" si="11"/>
        <v>48043024194.344971</v>
      </c>
      <c r="R17" s="372">
        <f t="shared" si="11"/>
        <v>-91029102845.654999</v>
      </c>
      <c r="S17" s="372">
        <f t="shared" si="11"/>
        <v>-44671727165.654999</v>
      </c>
      <c r="T17" s="372">
        <f t="shared" si="11"/>
        <v>-137386478525.655</v>
      </c>
      <c r="U17" s="372">
        <f t="shared" si="11"/>
        <v>247255197120</v>
      </c>
      <c r="V17" s="372">
        <f t="shared" si="11"/>
        <v>69849929280</v>
      </c>
      <c r="W17" s="372">
        <f t="shared" si="11"/>
        <v>107555338560</v>
      </c>
      <c r="X17" s="372">
        <f t="shared" si="11"/>
        <v>32144520000</v>
      </c>
      <c r="Y17" s="372">
        <f t="shared" si="11"/>
        <v>361831953420.99933</v>
      </c>
      <c r="Z17" s="372">
        <f t="shared" si="11"/>
        <v>31242879359.999996</v>
      </c>
      <c r="AA17" s="372">
        <f t="shared" si="11"/>
        <v>62485758719.999992</v>
      </c>
      <c r="AB17" s="372">
        <f t="shared" si="11"/>
        <v>0</v>
      </c>
      <c r="AC17" s="372">
        <f t="shared" si="11"/>
        <v>106044459234.04871</v>
      </c>
      <c r="AD17" s="372">
        <f t="shared" si="11"/>
        <v>0</v>
      </c>
      <c r="AE17" s="372">
        <f t="shared" si="11"/>
        <v>0</v>
      </c>
      <c r="AF17" s="372">
        <f t="shared" si="11"/>
        <v>0</v>
      </c>
      <c r="AG17" s="372">
        <f t="shared" si="11"/>
        <v>87868937372.951431</v>
      </c>
      <c r="AH17" s="372">
        <f t="shared" si="11"/>
        <v>-34128183181.341812</v>
      </c>
      <c r="AI17" s="372">
        <f t="shared" si="11"/>
        <v>0</v>
      </c>
      <c r="AJ17" s="372">
        <f t="shared" si="11"/>
        <v>0</v>
      </c>
      <c r="AK17" s="372">
        <f t="shared" si="11"/>
        <v>0</v>
      </c>
      <c r="AL17" s="372">
        <f t="shared" si="11"/>
        <v>0</v>
      </c>
      <c r="AM17" s="372">
        <f t="shared" si="11"/>
        <v>0</v>
      </c>
      <c r="AN17" s="372">
        <f t="shared" si="11"/>
        <v>0</v>
      </c>
      <c r="AO17" s="372">
        <f t="shared" si="11"/>
        <v>0</v>
      </c>
      <c r="AP17" s="372">
        <f t="shared" si="11"/>
        <v>0</v>
      </c>
      <c r="AQ17" s="372">
        <f t="shared" si="11"/>
        <v>0</v>
      </c>
      <c r="AR17" s="372">
        <f t="shared" si="11"/>
        <v>0</v>
      </c>
    </row>
    <row r="18" spans="1:46" s="45" customFormat="1" ht="14.5" thickBot="1">
      <c r="A18" s="373" t="s">
        <v>36</v>
      </c>
      <c r="B18" s="374" t="s">
        <v>186</v>
      </c>
      <c r="C18" s="375">
        <f>AR18</f>
        <v>254546219347.41754</v>
      </c>
      <c r="D18" s="375">
        <f>D17</f>
        <v>0</v>
      </c>
      <c r="E18" s="375">
        <f>D18+E17</f>
        <v>0</v>
      </c>
      <c r="F18" s="375">
        <f t="shared" ref="F18:AR18" si="12">E18+F17</f>
        <v>0</v>
      </c>
      <c r="G18" s="375">
        <f t="shared" si="12"/>
        <v>0</v>
      </c>
      <c r="H18" s="375">
        <f t="shared" si="12"/>
        <v>0</v>
      </c>
      <c r="I18" s="375">
        <f t="shared" si="12"/>
        <v>0</v>
      </c>
      <c r="J18" s="375">
        <f t="shared" si="12"/>
        <v>0</v>
      </c>
      <c r="K18" s="375">
        <f t="shared" si="12"/>
        <v>0</v>
      </c>
      <c r="L18" s="375">
        <f t="shared" si="12"/>
        <v>0</v>
      </c>
      <c r="M18" s="375">
        <f t="shared" si="12"/>
        <v>-180400850619.655</v>
      </c>
      <c r="N18" s="375">
        <f t="shared" si="12"/>
        <v>-317787329145.31</v>
      </c>
      <c r="O18" s="375">
        <f t="shared" si="12"/>
        <v>-455173807670.96497</v>
      </c>
      <c r="P18" s="375">
        <f t="shared" si="12"/>
        <v>-592560286196.62</v>
      </c>
      <c r="Q18" s="375">
        <f t="shared" si="12"/>
        <v>-544517262002.27502</v>
      </c>
      <c r="R18" s="375">
        <f t="shared" si="12"/>
        <v>-635546364847.93005</v>
      </c>
      <c r="S18" s="375">
        <f t="shared" si="12"/>
        <v>-680218092013.58508</v>
      </c>
      <c r="T18" s="375">
        <f t="shared" si="12"/>
        <v>-817604570539.24011</v>
      </c>
      <c r="U18" s="375">
        <f t="shared" si="12"/>
        <v>-570349373419.24011</v>
      </c>
      <c r="V18" s="375">
        <f t="shared" si="12"/>
        <v>-500499444139.24011</v>
      </c>
      <c r="W18" s="375">
        <f t="shared" si="12"/>
        <v>-392944105579.24011</v>
      </c>
      <c r="X18" s="375">
        <f t="shared" si="12"/>
        <v>-360799585579.24011</v>
      </c>
      <c r="Y18" s="375">
        <f t="shared" si="12"/>
        <v>1032367841.7592163</v>
      </c>
      <c r="Z18" s="375">
        <f t="shared" si="12"/>
        <v>32275247201.759212</v>
      </c>
      <c r="AA18" s="375">
        <f t="shared" si="12"/>
        <v>94761005921.759201</v>
      </c>
      <c r="AB18" s="375">
        <f t="shared" si="12"/>
        <v>94761005921.759201</v>
      </c>
      <c r="AC18" s="375">
        <f t="shared" si="12"/>
        <v>200805465155.80792</v>
      </c>
      <c r="AD18" s="375">
        <f t="shared" si="12"/>
        <v>200805465155.80792</v>
      </c>
      <c r="AE18" s="375">
        <f t="shared" si="12"/>
        <v>200805465155.80792</v>
      </c>
      <c r="AF18" s="375">
        <f t="shared" si="12"/>
        <v>200805465155.80792</v>
      </c>
      <c r="AG18" s="375">
        <f t="shared" si="12"/>
        <v>288674402528.75934</v>
      </c>
      <c r="AH18" s="375">
        <f t="shared" si="12"/>
        <v>254546219347.41754</v>
      </c>
      <c r="AI18" s="375">
        <f t="shared" si="12"/>
        <v>254546219347.41754</v>
      </c>
      <c r="AJ18" s="375">
        <f t="shared" si="12"/>
        <v>254546219347.41754</v>
      </c>
      <c r="AK18" s="375">
        <f t="shared" si="12"/>
        <v>254546219347.41754</v>
      </c>
      <c r="AL18" s="375">
        <f t="shared" si="12"/>
        <v>254546219347.41754</v>
      </c>
      <c r="AM18" s="375">
        <f t="shared" si="12"/>
        <v>254546219347.41754</v>
      </c>
      <c r="AN18" s="375">
        <f t="shared" si="12"/>
        <v>254546219347.41754</v>
      </c>
      <c r="AO18" s="375">
        <f t="shared" si="12"/>
        <v>254546219347.41754</v>
      </c>
      <c r="AP18" s="375">
        <f t="shared" si="12"/>
        <v>254546219347.41754</v>
      </c>
      <c r="AQ18" s="375">
        <f t="shared" si="12"/>
        <v>254546219347.41754</v>
      </c>
      <c r="AR18" s="375">
        <f t="shared" si="12"/>
        <v>254546219347.41754</v>
      </c>
    </row>
    <row r="19" spans="1:46" s="45" customFormat="1">
      <c r="A19" s="218"/>
      <c r="B19" s="219"/>
      <c r="C19" s="220"/>
      <c r="D19" s="221"/>
      <c r="E19" s="221"/>
      <c r="F19" s="221"/>
      <c r="G19" s="221"/>
      <c r="H19" s="221"/>
      <c r="I19" s="221"/>
      <c r="J19" s="221"/>
      <c r="K19" s="221"/>
      <c r="L19" s="221"/>
      <c r="M19" s="221"/>
      <c r="N19" s="221"/>
      <c r="O19" s="221"/>
      <c r="P19" s="221"/>
      <c r="Q19" s="221"/>
      <c r="R19" s="221"/>
      <c r="S19" s="221"/>
      <c r="T19" s="221"/>
      <c r="U19" s="221"/>
      <c r="V19" s="221"/>
      <c r="W19" s="221"/>
      <c r="X19" s="221"/>
      <c r="Y19" s="221"/>
      <c r="Z19" s="221"/>
      <c r="AA19" s="221"/>
      <c r="AB19" s="221"/>
      <c r="AC19" s="221"/>
      <c r="AD19" s="221"/>
      <c r="AE19" s="221"/>
      <c r="AF19" s="221"/>
      <c r="AG19" s="221"/>
      <c r="AH19" s="221"/>
      <c r="AI19" s="221"/>
      <c r="AJ19" s="221"/>
      <c r="AK19" s="221"/>
      <c r="AL19" s="221"/>
      <c r="AM19" s="221"/>
      <c r="AN19" s="221"/>
      <c r="AO19" s="221"/>
      <c r="AP19" s="221"/>
      <c r="AQ19" s="221"/>
      <c r="AR19" s="221"/>
    </row>
    <row r="20" spans="1:46" s="45" customFormat="1">
      <c r="A20" s="639" t="s">
        <v>187</v>
      </c>
      <c r="B20" s="639"/>
      <c r="C20" s="582">
        <f>I21+NPV('1. Tổng hợp'!E33,J21:Q21)</f>
        <v>76848969398.29364</v>
      </c>
      <c r="D20" s="582"/>
      <c r="E20" s="203"/>
      <c r="F20" s="583" t="s">
        <v>188</v>
      </c>
      <c r="G20" s="584">
        <v>2023</v>
      </c>
      <c r="H20" s="584">
        <v>2024</v>
      </c>
      <c r="I20" s="584">
        <f t="shared" ref="I20:Q20" si="13">H20+1</f>
        <v>2025</v>
      </c>
      <c r="J20" s="584">
        <f t="shared" si="13"/>
        <v>2026</v>
      </c>
      <c r="K20" s="584">
        <f t="shared" si="13"/>
        <v>2027</v>
      </c>
      <c r="L20" s="584">
        <f t="shared" si="13"/>
        <v>2028</v>
      </c>
      <c r="M20" s="584">
        <f t="shared" si="13"/>
        <v>2029</v>
      </c>
      <c r="N20" s="584">
        <f t="shared" si="13"/>
        <v>2030</v>
      </c>
      <c r="O20" s="584">
        <f t="shared" si="13"/>
        <v>2031</v>
      </c>
      <c r="P20" s="584">
        <f t="shared" si="13"/>
        <v>2032</v>
      </c>
      <c r="Q20" s="584">
        <f t="shared" si="13"/>
        <v>2033</v>
      </c>
      <c r="R20" s="203"/>
      <c r="S20" s="203"/>
      <c r="T20" s="203"/>
      <c r="U20" s="203"/>
      <c r="V20" s="203"/>
      <c r="W20" s="203"/>
      <c r="X20" s="203"/>
      <c r="Y20" s="203"/>
      <c r="Z20" s="203"/>
      <c r="AA20" s="203"/>
      <c r="AB20" s="203"/>
      <c r="AC20" s="203"/>
      <c r="AD20" s="203"/>
      <c r="AE20" s="203"/>
      <c r="AF20" s="203"/>
      <c r="AG20" s="203"/>
      <c r="AH20" s="203"/>
      <c r="AI20" s="203"/>
      <c r="AJ20" s="203"/>
      <c r="AK20" s="203"/>
      <c r="AL20" s="203"/>
      <c r="AM20" s="203"/>
      <c r="AN20" s="203"/>
      <c r="AO20" s="203"/>
      <c r="AP20" s="203"/>
      <c r="AQ20" s="203"/>
      <c r="AR20" s="203"/>
    </row>
    <row r="21" spans="1:46" s="45" customFormat="1">
      <c r="A21" s="639" t="s">
        <v>189</v>
      </c>
      <c r="B21" s="639"/>
      <c r="C21" s="585">
        <f>IRR(I22:Q22)</f>
        <v>0.11584593877997662</v>
      </c>
      <c r="D21" s="582"/>
      <c r="E21" s="203"/>
      <c r="F21" s="586" t="s">
        <v>190</v>
      </c>
      <c r="G21" s="587">
        <f t="shared" ref="G21:Q21" si="14">SUMIFS($D$17:$AR$17,$D$4:$AR$4,G20)</f>
        <v>0</v>
      </c>
      <c r="H21" s="587">
        <f t="shared" si="14"/>
        <v>0</v>
      </c>
      <c r="I21" s="587">
        <f t="shared" si="14"/>
        <v>0</v>
      </c>
      <c r="J21" s="587">
        <f t="shared" si="14"/>
        <v>-592560286196.62</v>
      </c>
      <c r="K21" s="587">
        <f t="shared" si="14"/>
        <v>-225044284342.62003</v>
      </c>
      <c r="L21" s="587">
        <f t="shared" si="14"/>
        <v>456804984960</v>
      </c>
      <c r="M21" s="587">
        <f t="shared" si="14"/>
        <v>455560591500.99933</v>
      </c>
      <c r="N21" s="587">
        <f t="shared" si="14"/>
        <v>106044459234.04871</v>
      </c>
      <c r="O21" s="587">
        <f t="shared" si="14"/>
        <v>53740754191.609619</v>
      </c>
      <c r="P21" s="587">
        <f t="shared" si="14"/>
        <v>0</v>
      </c>
      <c r="Q21" s="587">
        <f t="shared" si="14"/>
        <v>0</v>
      </c>
      <c r="R21" s="203"/>
      <c r="S21" s="203"/>
      <c r="T21" s="203"/>
      <c r="U21" s="203"/>
      <c r="V21" s="203"/>
      <c r="W21" s="203"/>
      <c r="X21" s="203"/>
      <c r="Y21" s="203"/>
      <c r="Z21" s="203"/>
      <c r="AA21" s="203"/>
      <c r="AB21" s="203"/>
      <c r="AC21" s="203"/>
      <c r="AD21" s="203"/>
      <c r="AE21" s="203"/>
      <c r="AF21" s="203"/>
      <c r="AG21" s="203"/>
      <c r="AH21" s="203"/>
      <c r="AI21" s="203"/>
      <c r="AJ21" s="203"/>
      <c r="AK21" s="203"/>
      <c r="AL21" s="203"/>
      <c r="AM21" s="203"/>
      <c r="AN21" s="203"/>
      <c r="AO21" s="203"/>
      <c r="AP21" s="203"/>
      <c r="AQ21" s="203"/>
      <c r="AR21" s="203"/>
    </row>
    <row r="22" spans="1:46" s="45" customFormat="1">
      <c r="A22" s="639" t="s">
        <v>174</v>
      </c>
      <c r="B22" s="639"/>
      <c r="C22" s="578">
        <f>COUNTIFS(I23:Q23,"&lt;0")</f>
        <v>3</v>
      </c>
      <c r="D22" s="412" cm="1">
        <f t="array" ref="D22">12-ABS(INDEX($I$22:$Q$23,2,C22+1)/INDEX($I$22:$Q$23,1,C22+1))*12+1</f>
        <v>3.5220057365836297</v>
      </c>
      <c r="E22" s="215"/>
      <c r="F22" s="586" t="s">
        <v>191</v>
      </c>
      <c r="G22" s="587">
        <f t="shared" ref="G22:M22" si="15">G21/10^6</f>
        <v>0</v>
      </c>
      <c r="H22" s="587">
        <f t="shared" si="15"/>
        <v>0</v>
      </c>
      <c r="I22" s="587">
        <f t="shared" si="15"/>
        <v>0</v>
      </c>
      <c r="J22" s="587">
        <f t="shared" si="15"/>
        <v>-592560.28619661997</v>
      </c>
      <c r="K22" s="587">
        <f t="shared" si="15"/>
        <v>-225044.28434262003</v>
      </c>
      <c r="L22" s="587">
        <f t="shared" si="15"/>
        <v>456804.98495999997</v>
      </c>
      <c r="M22" s="587">
        <f t="shared" si="15"/>
        <v>455560.59150099935</v>
      </c>
      <c r="N22" s="587">
        <f t="shared" ref="N22:O22" si="16">N21/10^6</f>
        <v>106044.4592340487</v>
      </c>
      <c r="O22" s="587">
        <f t="shared" si="16"/>
        <v>53740.754191609616</v>
      </c>
      <c r="P22" s="587">
        <f t="shared" ref="P22:Q22" si="17">P21/10^6</f>
        <v>0</v>
      </c>
      <c r="Q22" s="587">
        <f t="shared" si="17"/>
        <v>0</v>
      </c>
      <c r="R22" s="203"/>
      <c r="S22" s="203"/>
      <c r="T22" s="203"/>
      <c r="U22" s="203"/>
      <c r="V22" s="203"/>
      <c r="W22" s="203"/>
      <c r="X22" s="203"/>
      <c r="Y22" s="203"/>
      <c r="Z22" s="203"/>
      <c r="AA22" s="203"/>
      <c r="AB22" s="203"/>
      <c r="AC22" s="203"/>
      <c r="AD22" s="203"/>
      <c r="AE22" s="203"/>
      <c r="AF22" s="203"/>
      <c r="AG22" s="203"/>
      <c r="AH22" s="203"/>
      <c r="AI22" s="203"/>
      <c r="AJ22" s="203"/>
      <c r="AK22" s="203"/>
      <c r="AL22" s="203"/>
      <c r="AM22" s="203"/>
      <c r="AN22" s="203"/>
      <c r="AO22" s="203"/>
      <c r="AP22" s="203"/>
      <c r="AQ22" s="203"/>
      <c r="AR22" s="203"/>
      <c r="AS22" s="203"/>
      <c r="AT22" s="203"/>
    </row>
    <row r="23" spans="1:46">
      <c r="A23" s="641" t="s">
        <v>192</v>
      </c>
      <c r="B23" s="641" t="s">
        <v>192</v>
      </c>
      <c r="C23" s="225">
        <f>XNPV('1. Tổng hợp'!$E$33,L17:AR17,L5:AR5)+SUM(D17:K17)</f>
        <v>96698192045.208038</v>
      </c>
      <c r="D23" s="216"/>
      <c r="E23" s="216"/>
      <c r="F23" s="586" t="s">
        <v>193</v>
      </c>
      <c r="G23" s="587">
        <f>SUM($G$22:G22)</f>
        <v>0</v>
      </c>
      <c r="H23" s="587">
        <f>SUM($G$22:H22)</f>
        <v>0</v>
      </c>
      <c r="I23" s="587">
        <f>SUM($G$22:I22)</f>
        <v>0</v>
      </c>
      <c r="J23" s="587">
        <f>SUM($G$22:J22)</f>
        <v>-592560.28619661997</v>
      </c>
      <c r="K23" s="587">
        <f>SUM($G$22:K22)</f>
        <v>-817604.57053924003</v>
      </c>
      <c r="L23" s="587">
        <f>SUM($G$22:L22)</f>
        <v>-360799.58557924005</v>
      </c>
      <c r="M23" s="587">
        <f>SUM($G$22:M22)</f>
        <v>94761.005921759293</v>
      </c>
      <c r="N23" s="587">
        <f>SUM($G$22:N22)</f>
        <v>200805.46515580799</v>
      </c>
      <c r="O23" s="587">
        <f>SUM($G$22:O22)</f>
        <v>254546.21934741762</v>
      </c>
      <c r="P23" s="587">
        <f>SUM($G$22:P22)</f>
        <v>254546.21934741762</v>
      </c>
      <c r="Q23" s="587">
        <f>SUM($G$22:Q22)</f>
        <v>254546.21934741762</v>
      </c>
    </row>
    <row r="24" spans="1:46">
      <c r="A24" s="641" t="s">
        <v>194</v>
      </c>
      <c r="B24" s="641" t="s">
        <v>194</v>
      </c>
      <c r="C24" s="226">
        <f>XIRR(E17:AR17,E5:AR5)</f>
        <v>2.9802322387695314E-9</v>
      </c>
      <c r="D24" s="215"/>
      <c r="E24" s="490"/>
      <c r="F24" s="410"/>
    </row>
    <row r="25" spans="1:46" hidden="1">
      <c r="D25" s="213"/>
      <c r="E25" s="213"/>
    </row>
    <row r="26" spans="1:46">
      <c r="A26" s="640" t="s">
        <v>195</v>
      </c>
      <c r="B26" s="640"/>
      <c r="C26" s="214">
        <f>+C18-'4. Vay'!C22-'4. Vay'!C23</f>
        <v>174884961488.00204</v>
      </c>
      <c r="D26" s="214"/>
      <c r="E26" s="489"/>
      <c r="F26" s="411"/>
    </row>
    <row r="27" spans="1:46" ht="15">
      <c r="C27" s="261"/>
      <c r="D27" s="488">
        <f>YEAR(D28)</f>
        <v>2023</v>
      </c>
      <c r="E27" s="488">
        <f t="shared" ref="E27" si="18">YEAR(E28)</f>
        <v>2024</v>
      </c>
      <c r="F27" s="488">
        <f t="shared" ref="F27" si="19">YEAR(F28)</f>
        <v>2024</v>
      </c>
      <c r="G27" s="488">
        <f t="shared" ref="G27" si="20">YEAR(G28)</f>
        <v>2024</v>
      </c>
      <c r="H27" s="488">
        <f t="shared" ref="H27" si="21">YEAR(H28)</f>
        <v>2024</v>
      </c>
      <c r="I27" s="488">
        <f t="shared" ref="I27" si="22">YEAR(I28)</f>
        <v>2025</v>
      </c>
      <c r="J27" s="488">
        <f t="shared" ref="J27" si="23">YEAR(J28)</f>
        <v>2025</v>
      </c>
      <c r="K27" s="488">
        <f t="shared" ref="K27" si="24">YEAR(K28)</f>
        <v>2025</v>
      </c>
      <c r="L27" s="488">
        <f t="shared" ref="L27" si="25">YEAR(L28)</f>
        <v>2025</v>
      </c>
      <c r="M27" s="488">
        <f t="shared" ref="M27" si="26">YEAR(M28)</f>
        <v>2026</v>
      </c>
      <c r="N27" s="488">
        <f t="shared" ref="N27" si="27">YEAR(N28)</f>
        <v>2026</v>
      </c>
      <c r="O27" s="488">
        <f t="shared" ref="O27" si="28">YEAR(O28)</f>
        <v>2026</v>
      </c>
      <c r="P27" s="488">
        <f t="shared" ref="P27" si="29">YEAR(P28)</f>
        <v>2026</v>
      </c>
      <c r="Q27" s="488">
        <f t="shared" ref="Q27" si="30">YEAR(Q28)</f>
        <v>2027</v>
      </c>
      <c r="R27" s="488">
        <f t="shared" ref="R27" si="31">YEAR(R28)</f>
        <v>2027</v>
      </c>
      <c r="S27" s="488">
        <f t="shared" ref="S27" si="32">YEAR(S28)</f>
        <v>2027</v>
      </c>
      <c r="T27" s="488">
        <f t="shared" ref="T27" si="33">YEAR(T28)</f>
        <v>2027</v>
      </c>
      <c r="U27" s="488">
        <f t="shared" ref="U27" si="34">YEAR(U28)</f>
        <v>2028</v>
      </c>
      <c r="V27" s="488">
        <f t="shared" ref="V27" si="35">YEAR(V28)</f>
        <v>2028</v>
      </c>
      <c r="W27" s="488">
        <f t="shared" ref="W27" si="36">YEAR(W28)</f>
        <v>2028</v>
      </c>
      <c r="X27" s="488">
        <f t="shared" ref="X27" si="37">YEAR(X28)</f>
        <v>2028</v>
      </c>
      <c r="Y27" s="488">
        <f t="shared" ref="Y27" si="38">YEAR(Y28)</f>
        <v>2029</v>
      </c>
      <c r="Z27" s="488">
        <f t="shared" ref="Z27" si="39">YEAR(Z28)</f>
        <v>2029</v>
      </c>
      <c r="AA27" s="488">
        <f t="shared" ref="AA27" si="40">YEAR(AA28)</f>
        <v>2029</v>
      </c>
      <c r="AB27" s="488">
        <f t="shared" ref="AB27" si="41">YEAR(AB28)</f>
        <v>2029</v>
      </c>
      <c r="AC27" s="488">
        <f t="shared" ref="AC27" si="42">YEAR(AC28)</f>
        <v>2030</v>
      </c>
      <c r="AD27" s="488">
        <f t="shared" ref="AD27" si="43">YEAR(AD28)</f>
        <v>2030</v>
      </c>
      <c r="AE27" s="488">
        <f t="shared" ref="AE27" si="44">YEAR(AE28)</f>
        <v>2030</v>
      </c>
      <c r="AF27" s="488">
        <f t="shared" ref="AF27" si="45">YEAR(AF28)</f>
        <v>2030</v>
      </c>
      <c r="AG27" s="488">
        <f t="shared" ref="AG27" si="46">YEAR(AG28)</f>
        <v>2031</v>
      </c>
      <c r="AH27" s="488">
        <f t="shared" ref="AH27" si="47">YEAR(AH28)</f>
        <v>2031</v>
      </c>
      <c r="AI27" s="488">
        <f t="shared" ref="AI27" si="48">YEAR(AI28)</f>
        <v>2031</v>
      </c>
      <c r="AJ27" s="488">
        <f t="shared" ref="AJ27" si="49">YEAR(AJ28)</f>
        <v>2031</v>
      </c>
      <c r="AK27" s="488">
        <f t="shared" ref="AK27" si="50">YEAR(AK28)</f>
        <v>2032</v>
      </c>
      <c r="AL27" s="488">
        <f t="shared" ref="AL27" si="51">YEAR(AL28)</f>
        <v>2032</v>
      </c>
      <c r="AM27" s="488">
        <f t="shared" ref="AM27" si="52">YEAR(AM28)</f>
        <v>2032</v>
      </c>
      <c r="AN27" s="488">
        <f t="shared" ref="AN27" si="53">YEAR(AN28)</f>
        <v>2032</v>
      </c>
      <c r="AO27" s="488">
        <f t="shared" ref="AO27" si="54">YEAR(AO28)</f>
        <v>2033</v>
      </c>
      <c r="AP27" s="488">
        <f t="shared" ref="AP27" si="55">YEAR(AP28)</f>
        <v>2033</v>
      </c>
      <c r="AQ27" s="488">
        <f t="shared" ref="AQ27" si="56">YEAR(AQ28)</f>
        <v>2033</v>
      </c>
      <c r="AR27" s="488">
        <f t="shared" ref="AR27" si="57">YEAR(AR28)</f>
        <v>2033</v>
      </c>
    </row>
    <row r="28" spans="1:46" ht="15">
      <c r="A28" s="393" t="s">
        <v>48</v>
      </c>
      <c r="B28" s="393" t="s">
        <v>196</v>
      </c>
      <c r="C28" s="588" t="s">
        <v>177</v>
      </c>
      <c r="D28" s="589">
        <f t="shared" ref="D28:X28" si="58">D5</f>
        <v>45291</v>
      </c>
      <c r="E28" s="589">
        <f t="shared" si="58"/>
        <v>45382</v>
      </c>
      <c r="F28" s="589">
        <f t="shared" si="58"/>
        <v>45473</v>
      </c>
      <c r="G28" s="589">
        <f t="shared" si="58"/>
        <v>45565</v>
      </c>
      <c r="H28" s="589">
        <f t="shared" si="58"/>
        <v>45657</v>
      </c>
      <c r="I28" s="589">
        <f t="shared" si="58"/>
        <v>45747</v>
      </c>
      <c r="J28" s="589">
        <f t="shared" si="58"/>
        <v>45838</v>
      </c>
      <c r="K28" s="589">
        <f t="shared" si="58"/>
        <v>45930</v>
      </c>
      <c r="L28" s="589">
        <f t="shared" si="58"/>
        <v>46022</v>
      </c>
      <c r="M28" s="589">
        <f t="shared" si="58"/>
        <v>46112</v>
      </c>
      <c r="N28" s="589">
        <f t="shared" si="58"/>
        <v>46203</v>
      </c>
      <c r="O28" s="589">
        <f t="shared" si="58"/>
        <v>46295</v>
      </c>
      <c r="P28" s="589">
        <f t="shared" si="58"/>
        <v>46387</v>
      </c>
      <c r="Q28" s="589">
        <f t="shared" si="58"/>
        <v>46477</v>
      </c>
      <c r="R28" s="589">
        <f t="shared" si="58"/>
        <v>46568</v>
      </c>
      <c r="S28" s="589">
        <f t="shared" si="58"/>
        <v>46660</v>
      </c>
      <c r="T28" s="589">
        <f t="shared" si="58"/>
        <v>46752</v>
      </c>
      <c r="U28" s="589">
        <f t="shared" si="58"/>
        <v>46843</v>
      </c>
      <c r="V28" s="589">
        <f t="shared" si="58"/>
        <v>46934</v>
      </c>
      <c r="W28" s="589">
        <f t="shared" si="58"/>
        <v>47026</v>
      </c>
      <c r="X28" s="589">
        <f t="shared" si="58"/>
        <v>47118</v>
      </c>
      <c r="Y28" s="589">
        <f t="shared" ref="Y28:AR28" si="59">Y5</f>
        <v>47208</v>
      </c>
      <c r="Z28" s="589">
        <f t="shared" si="59"/>
        <v>47299</v>
      </c>
      <c r="AA28" s="589">
        <f t="shared" si="59"/>
        <v>47391</v>
      </c>
      <c r="AB28" s="589">
        <f t="shared" ref="AB28:AE28" si="60">AB5</f>
        <v>47483</v>
      </c>
      <c r="AC28" s="589">
        <f t="shared" si="60"/>
        <v>47573</v>
      </c>
      <c r="AD28" s="589">
        <f t="shared" si="60"/>
        <v>47664</v>
      </c>
      <c r="AE28" s="589">
        <f t="shared" si="60"/>
        <v>47756</v>
      </c>
      <c r="AF28" s="589">
        <f t="shared" si="59"/>
        <v>47848</v>
      </c>
      <c r="AG28" s="589">
        <f t="shared" si="59"/>
        <v>47938</v>
      </c>
      <c r="AH28" s="589">
        <f t="shared" si="59"/>
        <v>48029</v>
      </c>
      <c r="AI28" s="589">
        <f t="shared" si="59"/>
        <v>48121</v>
      </c>
      <c r="AJ28" s="589">
        <f t="shared" ref="AJ28:AQ28" si="61">AJ5</f>
        <v>48213</v>
      </c>
      <c r="AK28" s="589">
        <f t="shared" ref="AK28:AN28" si="62">AK5</f>
        <v>48304</v>
      </c>
      <c r="AL28" s="589">
        <f t="shared" si="62"/>
        <v>48395</v>
      </c>
      <c r="AM28" s="589">
        <f t="shared" si="62"/>
        <v>48487</v>
      </c>
      <c r="AN28" s="589">
        <f t="shared" si="62"/>
        <v>48579</v>
      </c>
      <c r="AO28" s="589">
        <f t="shared" si="61"/>
        <v>48669</v>
      </c>
      <c r="AP28" s="589">
        <f t="shared" si="61"/>
        <v>48760</v>
      </c>
      <c r="AQ28" s="589">
        <f t="shared" si="61"/>
        <v>48852</v>
      </c>
      <c r="AR28" s="589">
        <f t="shared" si="59"/>
        <v>48944</v>
      </c>
    </row>
    <row r="29" spans="1:46" s="47" customFormat="1">
      <c r="A29" s="148" t="s">
        <v>1</v>
      </c>
      <c r="B29" s="149" t="s">
        <v>197</v>
      </c>
      <c r="C29" s="150">
        <f>SUM(C30:C31)</f>
        <v>2335413760209.4678</v>
      </c>
      <c r="D29" s="150">
        <f>D30+D31</f>
        <v>0</v>
      </c>
      <c r="E29" s="150">
        <f t="shared" ref="E29:X29" si="63">E30+E31</f>
        <v>0</v>
      </c>
      <c r="F29" s="150">
        <f t="shared" si="63"/>
        <v>0</v>
      </c>
      <c r="G29" s="150">
        <f t="shared" si="63"/>
        <v>0</v>
      </c>
      <c r="H29" s="150">
        <f t="shared" si="63"/>
        <v>0</v>
      </c>
      <c r="I29" s="150">
        <f t="shared" si="63"/>
        <v>0</v>
      </c>
      <c r="J29" s="150">
        <f t="shared" si="63"/>
        <v>0</v>
      </c>
      <c r="K29" s="150">
        <f t="shared" si="63"/>
        <v>0</v>
      </c>
      <c r="L29" s="150">
        <f t="shared" si="63"/>
        <v>0</v>
      </c>
      <c r="M29" s="150">
        <f t="shared" si="63"/>
        <v>126280595433.75848</v>
      </c>
      <c r="N29" s="150">
        <f t="shared" si="63"/>
        <v>96170534967.958496</v>
      </c>
      <c r="O29" s="150">
        <f t="shared" si="63"/>
        <v>96170534967.958496</v>
      </c>
      <c r="P29" s="150">
        <f t="shared" si="63"/>
        <v>96170534967.958496</v>
      </c>
      <c r="Q29" s="150">
        <f t="shared" si="63"/>
        <v>289326266967.9585</v>
      </c>
      <c r="R29" s="150">
        <f t="shared" si="63"/>
        <v>144459467967.9585</v>
      </c>
      <c r="S29" s="150">
        <f t="shared" si="63"/>
        <v>192748400967.9585</v>
      </c>
      <c r="T29" s="150">
        <f t="shared" si="63"/>
        <v>96170534967.958496</v>
      </c>
      <c r="U29" s="150">
        <f t="shared" si="63"/>
        <v>257557497000</v>
      </c>
      <c r="V29" s="150">
        <f t="shared" si="63"/>
        <v>72760343000</v>
      </c>
      <c r="W29" s="150">
        <f t="shared" si="63"/>
        <v>112036811000</v>
      </c>
      <c r="X29" s="150">
        <f t="shared" si="63"/>
        <v>33483875000</v>
      </c>
      <c r="Y29" s="150">
        <f t="shared" ref="Y29:AR29" si="64">Y30+Y31</f>
        <v>408980963000</v>
      </c>
      <c r="Z29" s="150">
        <f t="shared" si="64"/>
        <v>32544665999.999996</v>
      </c>
      <c r="AA29" s="150">
        <f t="shared" si="64"/>
        <v>65089331999.999992</v>
      </c>
      <c r="AB29" s="150">
        <f t="shared" ref="AB29:AE29" si="65">AB30+AB31</f>
        <v>0</v>
      </c>
      <c r="AC29" s="150">
        <f t="shared" si="65"/>
        <v>117829404000</v>
      </c>
      <c r="AD29" s="150">
        <f t="shared" si="65"/>
        <v>0</v>
      </c>
      <c r="AE29" s="150">
        <f t="shared" si="65"/>
        <v>0</v>
      </c>
      <c r="AF29" s="150">
        <f t="shared" si="64"/>
        <v>0</v>
      </c>
      <c r="AG29" s="150">
        <f t="shared" si="64"/>
        <v>97633997999.999985</v>
      </c>
      <c r="AH29" s="150">
        <f t="shared" si="64"/>
        <v>0</v>
      </c>
      <c r="AI29" s="150">
        <f t="shared" si="64"/>
        <v>0</v>
      </c>
      <c r="AJ29" s="150">
        <f t="shared" ref="AJ29:AQ29" si="66">AJ30+AJ31</f>
        <v>0</v>
      </c>
      <c r="AK29" s="150">
        <f t="shared" ref="AK29:AN29" si="67">AK30+AK31</f>
        <v>0</v>
      </c>
      <c r="AL29" s="150">
        <f t="shared" si="67"/>
        <v>0</v>
      </c>
      <c r="AM29" s="150">
        <f t="shared" si="67"/>
        <v>0</v>
      </c>
      <c r="AN29" s="150">
        <f t="shared" si="67"/>
        <v>0</v>
      </c>
      <c r="AO29" s="150">
        <f t="shared" si="66"/>
        <v>0</v>
      </c>
      <c r="AP29" s="150">
        <f t="shared" si="66"/>
        <v>0</v>
      </c>
      <c r="AQ29" s="150">
        <f t="shared" si="66"/>
        <v>0</v>
      </c>
      <c r="AR29" s="150">
        <f t="shared" si="64"/>
        <v>0</v>
      </c>
    </row>
    <row r="30" spans="1:46" s="47" customFormat="1">
      <c r="A30" s="52">
        <v>1</v>
      </c>
      <c r="B30" s="53" t="s">
        <v>178</v>
      </c>
      <c r="C30" s="54">
        <f t="shared" ref="C30:C44" si="68">SUM(D30:AR30)</f>
        <v>1535939420000</v>
      </c>
      <c r="D30" s="55">
        <f>+'5. KHBH'!FK12</f>
        <v>0</v>
      </c>
      <c r="E30" s="55">
        <f>+'5. KHBH'!FL12</f>
        <v>0</v>
      </c>
      <c r="F30" s="55">
        <f>+'5. KHBH'!FM12</f>
        <v>0</v>
      </c>
      <c r="G30" s="55">
        <f>+'5. KHBH'!FN12</f>
        <v>0</v>
      </c>
      <c r="H30" s="55">
        <f>+'5. KHBH'!FO12</f>
        <v>0</v>
      </c>
      <c r="I30" s="55">
        <f>+'5. KHBH'!FP12</f>
        <v>0</v>
      </c>
      <c r="J30" s="55">
        <f>+'5. KHBH'!FQ12</f>
        <v>0</v>
      </c>
      <c r="K30" s="55">
        <f>+'5. KHBH'!FR12</f>
        <v>0</v>
      </c>
      <c r="L30" s="55">
        <f>+'5. KHBH'!FS12</f>
        <v>0</v>
      </c>
      <c r="M30" s="55">
        <f>+'5. KHBH'!FT12</f>
        <v>0</v>
      </c>
      <c r="N30" s="55">
        <f>+'5. KHBH'!FU12</f>
        <v>0</v>
      </c>
      <c r="O30" s="55">
        <f>+'5. KHBH'!FV12</f>
        <v>0</v>
      </c>
      <c r="P30" s="55">
        <f>+'5. KHBH'!FW12</f>
        <v>0</v>
      </c>
      <c r="Q30" s="55">
        <f>+'5. KHBH'!FX12</f>
        <v>193155731999.99997</v>
      </c>
      <c r="R30" s="55">
        <f>+'5. KHBH'!FY12</f>
        <v>48288933000</v>
      </c>
      <c r="S30" s="55">
        <f>+'5. KHBH'!FZ12</f>
        <v>96577866000</v>
      </c>
      <c r="T30" s="55">
        <f>+'5. KHBH'!GA12</f>
        <v>0</v>
      </c>
      <c r="U30" s="55">
        <f>+'5. KHBH'!GB12</f>
        <v>257557497000</v>
      </c>
      <c r="V30" s="55">
        <f>+'5. KHBH'!GC12</f>
        <v>72760343000</v>
      </c>
      <c r="W30" s="55">
        <f>+'5. KHBH'!GD12</f>
        <v>112036811000</v>
      </c>
      <c r="X30" s="55">
        <f>+'5. KHBH'!GE12</f>
        <v>33483875000</v>
      </c>
      <c r="Y30" s="55">
        <f>+'5. KHBH'!GF12</f>
        <v>408980963000</v>
      </c>
      <c r="Z30" s="55">
        <f>+'5. KHBH'!GG12</f>
        <v>32544665999.999996</v>
      </c>
      <c r="AA30" s="55">
        <f>+'5. KHBH'!GH12</f>
        <v>65089331999.999992</v>
      </c>
      <c r="AB30" s="55">
        <f>+'5. KHBH'!GI12</f>
        <v>0</v>
      </c>
      <c r="AC30" s="55">
        <f>+'5. KHBH'!GJ12</f>
        <v>117829404000</v>
      </c>
      <c r="AD30" s="55">
        <f>+'5. KHBH'!GK12</f>
        <v>0</v>
      </c>
      <c r="AE30" s="55">
        <f>+'5. KHBH'!GL12</f>
        <v>0</v>
      </c>
      <c r="AF30" s="55">
        <f>+'5. KHBH'!GM12</f>
        <v>0</v>
      </c>
      <c r="AG30" s="55">
        <f>+'5. KHBH'!GN12</f>
        <v>97633997999.999985</v>
      </c>
      <c r="AH30" s="55">
        <f>+'5. KHBH'!GO12</f>
        <v>0</v>
      </c>
      <c r="AI30" s="55">
        <f>+'5. KHBH'!GP12</f>
        <v>0</v>
      </c>
      <c r="AJ30" s="55">
        <f>+'5. KHBH'!GQ12</f>
        <v>0</v>
      </c>
      <c r="AK30" s="55">
        <f>+'5. KHBH'!GR12</f>
        <v>0</v>
      </c>
      <c r="AL30" s="55">
        <f>+'5. KHBH'!GS12</f>
        <v>0</v>
      </c>
      <c r="AM30" s="55">
        <f>+'5. KHBH'!GT12</f>
        <v>0</v>
      </c>
      <c r="AN30" s="55">
        <f>+'5. KHBH'!GU12</f>
        <v>0</v>
      </c>
      <c r="AO30" s="55">
        <f>+'5. KHBH'!GV12</f>
        <v>0</v>
      </c>
      <c r="AP30" s="55">
        <f>+'5. KHBH'!GW12</f>
        <v>0</v>
      </c>
      <c r="AQ30" s="55">
        <f>+'5. KHBH'!GX12</f>
        <v>0</v>
      </c>
      <c r="AR30" s="55">
        <f>+'5. KHBH'!GY12</f>
        <v>0</v>
      </c>
    </row>
    <row r="31" spans="1:46" s="47" customFormat="1">
      <c r="A31" s="56">
        <v>2</v>
      </c>
      <c r="B31" s="57" t="s">
        <v>41</v>
      </c>
      <c r="C31" s="54">
        <f t="shared" si="68"/>
        <v>799474340209.46802</v>
      </c>
      <c r="D31" s="58">
        <f>+'4. Vay'!E9</f>
        <v>0</v>
      </c>
      <c r="E31" s="58">
        <f>+'4. Vay'!F9</f>
        <v>0</v>
      </c>
      <c r="F31" s="58">
        <f>+'4. Vay'!G9</f>
        <v>0</v>
      </c>
      <c r="G31" s="58">
        <f>+'4. Vay'!H9</f>
        <v>0</v>
      </c>
      <c r="H31" s="58">
        <f>+'4. Vay'!I9</f>
        <v>0</v>
      </c>
      <c r="I31" s="58">
        <f>+'4. Vay'!J9</f>
        <v>0</v>
      </c>
      <c r="J31" s="58">
        <f>+'4. Vay'!K9</f>
        <v>0</v>
      </c>
      <c r="K31" s="58">
        <f>+'4. Vay'!L9</f>
        <v>0</v>
      </c>
      <c r="L31" s="58">
        <f>+'4. Vay'!M9</f>
        <v>0</v>
      </c>
      <c r="M31" s="58">
        <f>+'4. Vay'!N9</f>
        <v>126280595433.75848</v>
      </c>
      <c r="N31" s="58">
        <f>+'4. Vay'!O9</f>
        <v>96170534967.958496</v>
      </c>
      <c r="O31" s="58">
        <f>+'4. Vay'!P9</f>
        <v>96170534967.958496</v>
      </c>
      <c r="P31" s="58">
        <f>+'4. Vay'!Q9</f>
        <v>96170534967.958496</v>
      </c>
      <c r="Q31" s="58">
        <f>+'4. Vay'!R9</f>
        <v>96170534967.958496</v>
      </c>
      <c r="R31" s="58">
        <f>+'4. Vay'!S9</f>
        <v>96170534967.958496</v>
      </c>
      <c r="S31" s="58">
        <f>+'4. Vay'!T9</f>
        <v>96170534967.958496</v>
      </c>
      <c r="T31" s="58">
        <f>+'4. Vay'!U9</f>
        <v>96170534967.958496</v>
      </c>
      <c r="U31" s="58">
        <f>+'4. Vay'!V9</f>
        <v>0</v>
      </c>
      <c r="V31" s="58">
        <f>+'4. Vay'!W9</f>
        <v>0</v>
      </c>
      <c r="W31" s="58">
        <f>+'4. Vay'!X9</f>
        <v>0</v>
      </c>
      <c r="X31" s="58">
        <f>+'4. Vay'!Y9</f>
        <v>0</v>
      </c>
      <c r="Y31" s="58">
        <f>+'4. Vay'!Z9</f>
        <v>0</v>
      </c>
      <c r="Z31" s="58">
        <f>+'4. Vay'!AA9</f>
        <v>0</v>
      </c>
      <c r="AA31" s="58">
        <f>+'4. Vay'!AB9</f>
        <v>0</v>
      </c>
      <c r="AB31" s="58">
        <f>+'4. Vay'!AC9</f>
        <v>0</v>
      </c>
      <c r="AC31" s="58">
        <f>+'4. Vay'!AD9</f>
        <v>0</v>
      </c>
      <c r="AD31" s="58">
        <f>+'4. Vay'!AE9</f>
        <v>0</v>
      </c>
      <c r="AE31" s="58">
        <f>+'4. Vay'!AF9</f>
        <v>0</v>
      </c>
      <c r="AF31" s="58">
        <f>+'4. Vay'!AG9</f>
        <v>0</v>
      </c>
      <c r="AG31" s="58">
        <f>+'4. Vay'!AH9</f>
        <v>0</v>
      </c>
      <c r="AH31" s="58">
        <f>+'4. Vay'!AI9</f>
        <v>0</v>
      </c>
      <c r="AI31" s="58">
        <f>+'4. Vay'!AJ9</f>
        <v>0</v>
      </c>
      <c r="AJ31" s="58">
        <f>+'4. Vay'!AK9</f>
        <v>0</v>
      </c>
      <c r="AK31" s="58">
        <f>+'4. Vay'!AL9</f>
        <v>0</v>
      </c>
      <c r="AL31" s="58">
        <f>+'4. Vay'!AM9</f>
        <v>0</v>
      </c>
      <c r="AM31" s="58">
        <f>+'4. Vay'!AN9</f>
        <v>0</v>
      </c>
      <c r="AN31" s="58">
        <f>+'4. Vay'!AO9</f>
        <v>0</v>
      </c>
      <c r="AO31" s="58">
        <f>+'4. Vay'!AP9</f>
        <v>0</v>
      </c>
      <c r="AP31" s="58">
        <f>+'4. Vay'!AQ9</f>
        <v>0</v>
      </c>
      <c r="AQ31" s="58">
        <f>+'4. Vay'!AR9</f>
        <v>0</v>
      </c>
      <c r="AR31" s="58">
        <f>+'4. Vay'!AS9</f>
        <v>0</v>
      </c>
    </row>
    <row r="32" spans="1:46" s="47" customFormat="1">
      <c r="A32" s="376" t="s">
        <v>18</v>
      </c>
      <c r="B32" s="358" t="s">
        <v>179</v>
      </c>
      <c r="C32" s="152">
        <f t="shared" si="68"/>
        <v>2160528798721.4658</v>
      </c>
      <c r="D32" s="359">
        <f t="shared" ref="D32:X32" si="69">SUM(D33:D41)</f>
        <v>0</v>
      </c>
      <c r="E32" s="359">
        <f t="shared" si="69"/>
        <v>0</v>
      </c>
      <c r="F32" s="359">
        <f t="shared" si="69"/>
        <v>0</v>
      </c>
      <c r="G32" s="359">
        <f t="shared" si="69"/>
        <v>0</v>
      </c>
      <c r="H32" s="359">
        <f t="shared" si="69"/>
        <v>0</v>
      </c>
      <c r="I32" s="359">
        <f t="shared" si="69"/>
        <v>0</v>
      </c>
      <c r="J32" s="359">
        <f t="shared" si="69"/>
        <v>0</v>
      </c>
      <c r="K32" s="359">
        <f t="shared" si="69"/>
        <v>0</v>
      </c>
      <c r="L32" s="359">
        <f t="shared" si="69"/>
        <v>0</v>
      </c>
      <c r="M32" s="359">
        <f t="shared" si="69"/>
        <v>181426880457.55429</v>
      </c>
      <c r="N32" s="359">
        <f t="shared" si="69"/>
        <v>140219923798.06824</v>
      </c>
      <c r="O32" s="359">
        <f t="shared" si="69"/>
        <v>141782694991.29758</v>
      </c>
      <c r="P32" s="359">
        <f t="shared" si="69"/>
        <v>143345466184.52689</v>
      </c>
      <c r="Q32" s="359">
        <f t="shared" si="69"/>
        <v>218716017590.69507</v>
      </c>
      <c r="R32" s="359">
        <f t="shared" si="69"/>
        <v>213401495321.5574</v>
      </c>
      <c r="S32" s="359">
        <f t="shared" si="69"/>
        <v>215813202332.41974</v>
      </c>
      <c r="T32" s="359">
        <f t="shared" si="69"/>
        <v>212430237383.28207</v>
      </c>
      <c r="U32" s="359">
        <f t="shared" si="69"/>
        <v>85044822831.874756</v>
      </c>
      <c r="V32" s="359">
        <f t="shared" si="69"/>
        <v>76570315169.507767</v>
      </c>
      <c r="W32" s="359">
        <f t="shared" si="69"/>
        <v>77058752387.140778</v>
      </c>
      <c r="X32" s="359">
        <f t="shared" si="69"/>
        <v>72834013444.773788</v>
      </c>
      <c r="Y32" s="359">
        <f t="shared" ref="Y32:AR32" si="70">SUM(Y33:Y41)</f>
        <v>117561046521.40746</v>
      </c>
      <c r="Z32" s="359">
        <f t="shared" si="70"/>
        <v>70631202080.03981</v>
      </c>
      <c r="AA32" s="359">
        <f t="shared" si="70"/>
        <v>70850367217.672821</v>
      </c>
      <c r="AB32" s="359">
        <f t="shared" ref="AB32:AE32" si="71">SUM(AB33:AB41)</f>
        <v>67164172435.305939</v>
      </c>
      <c r="AC32" s="359">
        <f t="shared" si="71"/>
        <v>11784944765.951286</v>
      </c>
      <c r="AD32" s="359">
        <f t="shared" si="71"/>
        <v>0</v>
      </c>
      <c r="AE32" s="359">
        <f t="shared" si="71"/>
        <v>0</v>
      </c>
      <c r="AF32" s="359">
        <f t="shared" si="70"/>
        <v>0</v>
      </c>
      <c r="AG32" s="359">
        <f t="shared" si="70"/>
        <v>9765060627.0485535</v>
      </c>
      <c r="AH32" s="359">
        <f t="shared" si="70"/>
        <v>34128183181.341812</v>
      </c>
      <c r="AI32" s="359">
        <f t="shared" si="70"/>
        <v>0</v>
      </c>
      <c r="AJ32" s="359">
        <f t="shared" ref="AJ32:AQ32" si="72">SUM(AJ33:AJ41)</f>
        <v>0</v>
      </c>
      <c r="AK32" s="359">
        <f t="shared" ref="AK32:AN32" si="73">SUM(AK33:AK41)</f>
        <v>0</v>
      </c>
      <c r="AL32" s="359">
        <f t="shared" si="73"/>
        <v>0</v>
      </c>
      <c r="AM32" s="359">
        <f t="shared" si="73"/>
        <v>0</v>
      </c>
      <c r="AN32" s="359">
        <f t="shared" si="73"/>
        <v>0</v>
      </c>
      <c r="AO32" s="359">
        <f t="shared" si="72"/>
        <v>0</v>
      </c>
      <c r="AP32" s="359">
        <f t="shared" si="72"/>
        <v>0</v>
      </c>
      <c r="AQ32" s="359">
        <f t="shared" si="72"/>
        <v>0</v>
      </c>
      <c r="AR32" s="359">
        <f t="shared" si="70"/>
        <v>0</v>
      </c>
    </row>
    <row r="33" spans="1:44" s="45" customFormat="1" ht="28">
      <c r="A33" s="377">
        <v>1</v>
      </c>
      <c r="B33" s="378" t="s">
        <v>198</v>
      </c>
      <c r="C33" s="54">
        <f t="shared" si="68"/>
        <v>1099091828205.2401</v>
      </c>
      <c r="D33" s="362">
        <f>+'3. TMDT'!K6</f>
        <v>0</v>
      </c>
      <c r="E33" s="362">
        <f>+'3. TMDT'!L6</f>
        <v>0</v>
      </c>
      <c r="F33" s="362">
        <f>+'3. TMDT'!M6</f>
        <v>0</v>
      </c>
      <c r="G33" s="362">
        <f>+'3. TMDT'!N6</f>
        <v>0</v>
      </c>
      <c r="H33" s="362">
        <f>+'3. TMDT'!O6</f>
        <v>0</v>
      </c>
      <c r="I33" s="362">
        <f>+'3. TMDT'!P6</f>
        <v>0</v>
      </c>
      <c r="J33" s="362">
        <f>+'3. TMDT'!Q6</f>
        <v>0</v>
      </c>
      <c r="K33" s="362">
        <f>+'3. TMDT'!R6</f>
        <v>0</v>
      </c>
      <c r="L33" s="362">
        <f>+'3. TMDT'!S6</f>
        <v>0</v>
      </c>
      <c r="M33" s="362">
        <f>+'3. TMDT'!T6</f>
        <v>137386478525.655</v>
      </c>
      <c r="N33" s="362">
        <f>+'3. TMDT'!U6</f>
        <v>137386478525.655</v>
      </c>
      <c r="O33" s="362">
        <f>+'3. TMDT'!V6</f>
        <v>137386478525.655</v>
      </c>
      <c r="P33" s="362">
        <f>+'3. TMDT'!W6</f>
        <v>137386478525.655</v>
      </c>
      <c r="Q33" s="362">
        <f>+'3. TMDT'!X6</f>
        <v>137386478525.655</v>
      </c>
      <c r="R33" s="362">
        <f>+'3. TMDT'!Y6</f>
        <v>137386478525.655</v>
      </c>
      <c r="S33" s="362">
        <f>+'3. TMDT'!Z6</f>
        <v>137386478525.655</v>
      </c>
      <c r="T33" s="362">
        <f>+'3. TMDT'!AA6</f>
        <v>137386478525.655</v>
      </c>
      <c r="U33" s="362">
        <f>+'3. TMDT'!AB6</f>
        <v>0</v>
      </c>
      <c r="V33" s="362">
        <f>+'3. TMDT'!AC6</f>
        <v>0</v>
      </c>
      <c r="W33" s="362">
        <f>+'3. TMDT'!AD6</f>
        <v>0</v>
      </c>
      <c r="X33" s="362">
        <f>+'3. TMDT'!AE6</f>
        <v>0</v>
      </c>
      <c r="Y33" s="362">
        <f>+'3. TMDT'!AF6</f>
        <v>0</v>
      </c>
      <c r="Z33" s="362">
        <f>+'3. TMDT'!AG6</f>
        <v>0</v>
      </c>
      <c r="AA33" s="362">
        <f>+'3. TMDT'!AH6</f>
        <v>0</v>
      </c>
      <c r="AB33" s="362">
        <f>+'3. TMDT'!AI6</f>
        <v>0</v>
      </c>
      <c r="AC33" s="362">
        <f>+'3. TMDT'!AJ6</f>
        <v>0</v>
      </c>
      <c r="AD33" s="362">
        <f>+'3. TMDT'!AK6</f>
        <v>0</v>
      </c>
      <c r="AE33" s="362">
        <f>+'3. TMDT'!AL6</f>
        <v>0</v>
      </c>
      <c r="AF33" s="362">
        <f>+'3. TMDT'!AM6</f>
        <v>0</v>
      </c>
      <c r="AG33" s="362">
        <f>+'3. TMDT'!AN6</f>
        <v>0</v>
      </c>
      <c r="AH33" s="362">
        <f>+'3. TMDT'!AO6</f>
        <v>0</v>
      </c>
      <c r="AI33" s="362">
        <f>+'3. TMDT'!AP6</f>
        <v>0</v>
      </c>
      <c r="AJ33" s="362">
        <f>+'3. TMDT'!AQ6</f>
        <v>0</v>
      </c>
      <c r="AK33" s="362">
        <f>+'3. TMDT'!AR6</f>
        <v>0</v>
      </c>
      <c r="AL33" s="362">
        <f>+'3. TMDT'!AS6</f>
        <v>0</v>
      </c>
      <c r="AM33" s="362">
        <f>+'3. TMDT'!AT6</f>
        <v>0</v>
      </c>
      <c r="AN33" s="362">
        <f>+'3. TMDT'!AU6</f>
        <v>0</v>
      </c>
      <c r="AO33" s="362">
        <f>+'3. TMDT'!AV6</f>
        <v>0</v>
      </c>
      <c r="AP33" s="362">
        <f>+'3. TMDT'!AW6</f>
        <v>0</v>
      </c>
      <c r="AQ33" s="362">
        <f>+'3. TMDT'!AX6</f>
        <v>0</v>
      </c>
      <c r="AR33" s="362">
        <f>+'3. TMDT'!AY6</f>
        <v>0</v>
      </c>
    </row>
    <row r="34" spans="1:44" s="45" customFormat="1">
      <c r="A34" s="377">
        <v>2</v>
      </c>
      <c r="B34" s="361" t="s">
        <v>84</v>
      </c>
      <c r="C34" s="54">
        <f t="shared" si="68"/>
        <v>45017369783.67189</v>
      </c>
      <c r="D34" s="362">
        <f>+'4. Vay'!E22</f>
        <v>0</v>
      </c>
      <c r="E34" s="362">
        <f>+'4. Vay'!F22</f>
        <v>0</v>
      </c>
      <c r="F34" s="362">
        <f>+'4. Vay'!G22</f>
        <v>0</v>
      </c>
      <c r="G34" s="362">
        <f>+'4. Vay'!H22</f>
        <v>0</v>
      </c>
      <c r="H34" s="362">
        <f>+'4. Vay'!I22</f>
        <v>0</v>
      </c>
      <c r="I34" s="362">
        <f>+'4. Vay'!J22</f>
        <v>0</v>
      </c>
      <c r="J34" s="362">
        <f>+'4. Vay'!K22</f>
        <v>0</v>
      </c>
      <c r="K34" s="362">
        <f>+'4. Vay'!L22</f>
        <v>0</v>
      </c>
      <c r="L34" s="362">
        <f>+'4. Vay'!M22</f>
        <v>0</v>
      </c>
      <c r="M34" s="362">
        <f>+'4. Vay'!N22</f>
        <v>1026029837.8992877</v>
      </c>
      <c r="N34" s="362">
        <f>+'4. Vay'!O22</f>
        <v>2833445272.413238</v>
      </c>
      <c r="O34" s="362">
        <f>+'4. Vay'!P22</f>
        <v>4396216465.6425638</v>
      </c>
      <c r="P34" s="362">
        <f>+'4. Vay'!Q22</f>
        <v>5958987658.8718891</v>
      </c>
      <c r="Q34" s="362">
        <f>+'4. Vay'!R22</f>
        <v>6980448100.9177208</v>
      </c>
      <c r="R34" s="362">
        <f>+'4. Vay'!S22</f>
        <v>7460597791.7800589</v>
      </c>
      <c r="S34" s="362">
        <f>+'4. Vay'!T22</f>
        <v>7940747482.6423979</v>
      </c>
      <c r="T34" s="362">
        <f>+'4. Vay'!U22</f>
        <v>8420897173.5047359</v>
      </c>
      <c r="U34" s="362">
        <f>+'4. Vay'!V22</f>
        <v>0</v>
      </c>
      <c r="V34" s="362">
        <f>+'4. Vay'!W22</f>
        <v>0</v>
      </c>
      <c r="W34" s="362">
        <f>+'4. Vay'!X22</f>
        <v>0</v>
      </c>
      <c r="X34" s="362">
        <f>+'4. Vay'!Y22</f>
        <v>0</v>
      </c>
      <c r="Y34" s="362">
        <f>+'4. Vay'!Z22</f>
        <v>0</v>
      </c>
      <c r="Z34" s="362">
        <f>+'4. Vay'!AA22</f>
        <v>0</v>
      </c>
      <c r="AA34" s="362">
        <f>+'4. Vay'!AB22</f>
        <v>0</v>
      </c>
      <c r="AB34" s="362">
        <f>+'4. Vay'!AC22</f>
        <v>0</v>
      </c>
      <c r="AC34" s="362">
        <f>+'4. Vay'!AD22</f>
        <v>0</v>
      </c>
      <c r="AD34" s="362">
        <f>+'4. Vay'!AE22</f>
        <v>0</v>
      </c>
      <c r="AE34" s="362">
        <f>+'4. Vay'!AF22</f>
        <v>0</v>
      </c>
      <c r="AF34" s="362">
        <f>+'4. Vay'!AG22</f>
        <v>0</v>
      </c>
      <c r="AG34" s="362">
        <f>+'4. Vay'!AH22</f>
        <v>0</v>
      </c>
      <c r="AH34" s="362">
        <f>+'4. Vay'!AI22</f>
        <v>0</v>
      </c>
      <c r="AI34" s="362">
        <f>+'4. Vay'!AJ22</f>
        <v>0</v>
      </c>
      <c r="AJ34" s="362">
        <f>+'4. Vay'!AK22</f>
        <v>0</v>
      </c>
      <c r="AK34" s="362">
        <f>+'4. Vay'!AL22</f>
        <v>0</v>
      </c>
      <c r="AL34" s="362">
        <f>+'4. Vay'!AM22</f>
        <v>0</v>
      </c>
      <c r="AM34" s="362">
        <f>+'4. Vay'!AN22</f>
        <v>0</v>
      </c>
      <c r="AN34" s="362">
        <f>+'4. Vay'!AO22</f>
        <v>0</v>
      </c>
      <c r="AO34" s="362">
        <f>+'4. Vay'!AP22</f>
        <v>0</v>
      </c>
      <c r="AP34" s="362">
        <f>+'4. Vay'!AQ22</f>
        <v>0</v>
      </c>
      <c r="AQ34" s="362">
        <f>+'4. Vay'!AR22</f>
        <v>0</v>
      </c>
      <c r="AR34" s="362">
        <f>+'4. Vay'!AS22</f>
        <v>0</v>
      </c>
    </row>
    <row r="35" spans="1:44" s="45" customFormat="1">
      <c r="A35" s="377">
        <v>3</v>
      </c>
      <c r="B35" s="361" t="s">
        <v>98</v>
      </c>
      <c r="C35" s="54">
        <f t="shared" si="68"/>
        <v>34643888075.743629</v>
      </c>
      <c r="D35" s="362">
        <f>+'4. Vay'!E23</f>
        <v>0</v>
      </c>
      <c r="E35" s="362">
        <f>+'4. Vay'!F23</f>
        <v>0</v>
      </c>
      <c r="F35" s="362">
        <f>+'4. Vay'!G23</f>
        <v>0</v>
      </c>
      <c r="G35" s="362">
        <f>+'4. Vay'!H23</f>
        <v>0</v>
      </c>
      <c r="H35" s="362">
        <f>+'4. Vay'!I23</f>
        <v>0</v>
      </c>
      <c r="I35" s="362">
        <f>+'4. Vay'!J23</f>
        <v>0</v>
      </c>
      <c r="J35" s="362">
        <f>+'4. Vay'!K23</f>
        <v>0</v>
      </c>
      <c r="K35" s="362">
        <f>+'4. Vay'!L23</f>
        <v>0</v>
      </c>
      <c r="L35" s="362">
        <f>+'4. Vay'!M23</f>
        <v>0</v>
      </c>
      <c r="M35" s="362">
        <f>+'4. Vay'!N23</f>
        <v>0</v>
      </c>
      <c r="N35" s="362">
        <f>+'4. Vay'!O23</f>
        <v>0</v>
      </c>
      <c r="O35" s="362">
        <f>+'4. Vay'!P23</f>
        <v>0</v>
      </c>
      <c r="P35" s="362">
        <f>+'4. Vay'!Q23</f>
        <v>0</v>
      </c>
      <c r="Q35" s="362">
        <f>+'4. Vay'!R23</f>
        <v>0</v>
      </c>
      <c r="R35" s="362">
        <f>+'4. Vay'!S23</f>
        <v>0</v>
      </c>
      <c r="S35" s="362">
        <f>+'4. Vay'!T23</f>
        <v>0</v>
      </c>
      <c r="T35" s="362">
        <f>+'4. Vay'!U23</f>
        <v>0</v>
      </c>
      <c r="U35" s="362">
        <f>+'4. Vay'!V23</f>
        <v>8119661267.7524109</v>
      </c>
      <c r="V35" s="362">
        <f>+'4. Vay'!W23</f>
        <v>7037039765.3854237</v>
      </c>
      <c r="W35" s="362">
        <f>+'4. Vay'!X23</f>
        <v>5954418263.0184364</v>
      </c>
      <c r="X35" s="362">
        <f>+'4. Vay'!Y23</f>
        <v>4871796760.6514482</v>
      </c>
      <c r="Y35" s="362">
        <f>+'4. Vay'!Z23</f>
        <v>3789175258.2844596</v>
      </c>
      <c r="Z35" s="362">
        <f>+'4. Vay'!AA23</f>
        <v>2706553755.9174719</v>
      </c>
      <c r="AA35" s="362">
        <f>+'4. Vay'!AB23</f>
        <v>1623932253.5504837</v>
      </c>
      <c r="AB35" s="362">
        <f>+'4. Vay'!AC23</f>
        <v>541310751.18349493</v>
      </c>
      <c r="AC35" s="362">
        <f>+'4. Vay'!AD23</f>
        <v>0</v>
      </c>
      <c r="AD35" s="362">
        <f>+'4. Vay'!AE23</f>
        <v>0</v>
      </c>
      <c r="AE35" s="362">
        <f>+'4. Vay'!AF23</f>
        <v>0</v>
      </c>
      <c r="AF35" s="362">
        <f>+'4. Vay'!AG23</f>
        <v>0</v>
      </c>
      <c r="AG35" s="362">
        <f>+'4. Vay'!AH23</f>
        <v>0</v>
      </c>
      <c r="AH35" s="362">
        <f>+'4. Vay'!AI23</f>
        <v>0</v>
      </c>
      <c r="AI35" s="362">
        <f>+'4. Vay'!AJ23</f>
        <v>0</v>
      </c>
      <c r="AJ35" s="362">
        <f>+'4. Vay'!AK23</f>
        <v>0</v>
      </c>
      <c r="AK35" s="362">
        <f>+'4. Vay'!AL23</f>
        <v>0</v>
      </c>
      <c r="AL35" s="362">
        <f>+'4. Vay'!AM23</f>
        <v>0</v>
      </c>
      <c r="AM35" s="362">
        <f>+'4. Vay'!AN23</f>
        <v>0</v>
      </c>
      <c r="AN35" s="362">
        <f>+'4. Vay'!AO23</f>
        <v>0</v>
      </c>
      <c r="AO35" s="362">
        <f>+'4. Vay'!AP23</f>
        <v>0</v>
      </c>
      <c r="AP35" s="362">
        <f>+'4. Vay'!AQ23</f>
        <v>0</v>
      </c>
      <c r="AQ35" s="362">
        <f>+'4. Vay'!AR23</f>
        <v>0</v>
      </c>
      <c r="AR35" s="362">
        <f>+'4. Vay'!AS23</f>
        <v>0</v>
      </c>
    </row>
    <row r="36" spans="1:44" s="45" customFormat="1">
      <c r="A36" s="377">
        <v>4</v>
      </c>
      <c r="B36" s="361" t="s">
        <v>78</v>
      </c>
      <c r="C36" s="54">
        <f t="shared" si="68"/>
        <v>43014372094</v>
      </c>
      <c r="D36" s="362">
        <f>+'3. TMDT'!K10</f>
        <v>0</v>
      </c>
      <c r="E36" s="362">
        <f>+'3. TMDT'!L10</f>
        <v>0</v>
      </c>
      <c r="F36" s="362">
        <f>+'3. TMDT'!M10</f>
        <v>0</v>
      </c>
      <c r="G36" s="362">
        <f>+'3. TMDT'!N10</f>
        <v>0</v>
      </c>
      <c r="H36" s="362">
        <f>+'3. TMDT'!O10</f>
        <v>0</v>
      </c>
      <c r="I36" s="362">
        <f>+'3. TMDT'!P10</f>
        <v>0</v>
      </c>
      <c r="J36" s="362">
        <f>+'3. TMDT'!Q10</f>
        <v>0</v>
      </c>
      <c r="K36" s="362">
        <f>+'3. TMDT'!R10</f>
        <v>0</v>
      </c>
      <c r="L36" s="362">
        <f>+'3. TMDT'!S10</f>
        <v>0</v>
      </c>
      <c r="M36" s="362">
        <f>+'3. TMDT'!T10</f>
        <v>43014372094</v>
      </c>
      <c r="N36" s="362">
        <f>+'3. TMDT'!U10</f>
        <v>0</v>
      </c>
      <c r="O36" s="362">
        <f>+'3. TMDT'!V10</f>
        <v>0</v>
      </c>
      <c r="P36" s="362">
        <f>+'3. TMDT'!W10</f>
        <v>0</v>
      </c>
      <c r="Q36" s="362">
        <f>+'3. TMDT'!X10</f>
        <v>0</v>
      </c>
      <c r="R36" s="362">
        <f>+'3. TMDT'!Y10</f>
        <v>0</v>
      </c>
      <c r="S36" s="362">
        <f>+'3. TMDT'!Z10</f>
        <v>0</v>
      </c>
      <c r="T36" s="362">
        <f>+'3. TMDT'!AA10</f>
        <v>0</v>
      </c>
      <c r="U36" s="362">
        <f>+'3. TMDT'!AB10</f>
        <v>0</v>
      </c>
      <c r="V36" s="362">
        <f>+'3. TMDT'!AC10</f>
        <v>0</v>
      </c>
      <c r="W36" s="362">
        <f>+'3. TMDT'!AD10</f>
        <v>0</v>
      </c>
      <c r="X36" s="362">
        <f>+'3. TMDT'!AE10</f>
        <v>0</v>
      </c>
      <c r="Y36" s="362">
        <f>+'3. TMDT'!AF10</f>
        <v>0</v>
      </c>
      <c r="Z36" s="362">
        <f>+'3. TMDT'!AG10</f>
        <v>0</v>
      </c>
      <c r="AA36" s="362">
        <f>+'3. TMDT'!AH10</f>
        <v>0</v>
      </c>
      <c r="AB36" s="362">
        <f>+'3. TMDT'!AI10</f>
        <v>0</v>
      </c>
      <c r="AC36" s="362">
        <f>+'3. TMDT'!AJ10</f>
        <v>0</v>
      </c>
      <c r="AD36" s="362">
        <f>+'3. TMDT'!AK10</f>
        <v>0</v>
      </c>
      <c r="AE36" s="362">
        <f>+'3. TMDT'!AL10</f>
        <v>0</v>
      </c>
      <c r="AF36" s="362">
        <f>+'3. TMDT'!AM10</f>
        <v>0</v>
      </c>
      <c r="AG36" s="362">
        <f>+'3. TMDT'!AN10</f>
        <v>0</v>
      </c>
      <c r="AH36" s="362">
        <f>+'3. TMDT'!AO10</f>
        <v>0</v>
      </c>
      <c r="AI36" s="362">
        <f>+'3. TMDT'!AP10</f>
        <v>0</v>
      </c>
      <c r="AJ36" s="362">
        <f>+'3. TMDT'!AQ10</f>
        <v>0</v>
      </c>
      <c r="AK36" s="362">
        <f>+'3. TMDT'!AR10</f>
        <v>0</v>
      </c>
      <c r="AL36" s="362">
        <f>+'3. TMDT'!AS10</f>
        <v>0</v>
      </c>
      <c r="AM36" s="362">
        <f>+'3. TMDT'!AT10</f>
        <v>0</v>
      </c>
      <c r="AN36" s="362">
        <f>+'3. TMDT'!AU10</f>
        <v>0</v>
      </c>
      <c r="AO36" s="362">
        <f>+'3. TMDT'!AV10</f>
        <v>0</v>
      </c>
      <c r="AP36" s="362">
        <f>+'3. TMDT'!AW10</f>
        <v>0</v>
      </c>
      <c r="AQ36" s="362">
        <f>+'3. TMDT'!AX10</f>
        <v>0</v>
      </c>
      <c r="AR36" s="362">
        <f>+'3. TMDT'!AY10</f>
        <v>0</v>
      </c>
    </row>
    <row r="37" spans="1:44" s="45" customFormat="1">
      <c r="A37" s="377">
        <v>5</v>
      </c>
      <c r="B37" s="361" t="str">
        <f>B10</f>
        <v xml:space="preserve">Chi phí bán hàng </v>
      </c>
      <c r="C37" s="54">
        <f t="shared" si="68"/>
        <v>30718788400</v>
      </c>
      <c r="D37" s="363">
        <f>D10</f>
        <v>0</v>
      </c>
      <c r="E37" s="363">
        <f t="shared" ref="E37:AR37" si="74">E10</f>
        <v>0</v>
      </c>
      <c r="F37" s="363">
        <f t="shared" si="74"/>
        <v>0</v>
      </c>
      <c r="G37" s="363">
        <f t="shared" si="74"/>
        <v>0</v>
      </c>
      <c r="H37" s="363">
        <f t="shared" si="74"/>
        <v>0</v>
      </c>
      <c r="I37" s="363">
        <f t="shared" si="74"/>
        <v>0</v>
      </c>
      <c r="J37" s="363">
        <f t="shared" si="74"/>
        <v>0</v>
      </c>
      <c r="K37" s="363">
        <f t="shared" si="74"/>
        <v>0</v>
      </c>
      <c r="L37" s="363">
        <f t="shared" si="74"/>
        <v>0</v>
      </c>
      <c r="M37" s="363">
        <f t="shared" si="74"/>
        <v>0</v>
      </c>
      <c r="N37" s="363">
        <f t="shared" si="74"/>
        <v>0</v>
      </c>
      <c r="O37" s="363">
        <f t="shared" si="74"/>
        <v>0</v>
      </c>
      <c r="P37" s="363">
        <f t="shared" si="74"/>
        <v>0</v>
      </c>
      <c r="Q37" s="363">
        <f t="shared" si="74"/>
        <v>3863114639.9999995</v>
      </c>
      <c r="R37" s="363">
        <f t="shared" si="74"/>
        <v>965778660</v>
      </c>
      <c r="S37" s="363">
        <f t="shared" si="74"/>
        <v>1931557320</v>
      </c>
      <c r="T37" s="363">
        <f t="shared" si="74"/>
        <v>0</v>
      </c>
      <c r="U37" s="363">
        <f t="shared" si="74"/>
        <v>5151149940</v>
      </c>
      <c r="V37" s="363">
        <f t="shared" si="74"/>
        <v>1455206860</v>
      </c>
      <c r="W37" s="363">
        <f t="shared" si="74"/>
        <v>2240736220</v>
      </c>
      <c r="X37" s="363">
        <f t="shared" si="74"/>
        <v>669677500</v>
      </c>
      <c r="Y37" s="363">
        <f t="shared" si="74"/>
        <v>8179619260</v>
      </c>
      <c r="Z37" s="363">
        <f t="shared" si="74"/>
        <v>650893319.99999988</v>
      </c>
      <c r="AA37" s="363">
        <f t="shared" si="74"/>
        <v>1301786639.9999998</v>
      </c>
      <c r="AB37" s="363">
        <f t="shared" si="74"/>
        <v>0</v>
      </c>
      <c r="AC37" s="363">
        <f t="shared" si="74"/>
        <v>2356588080</v>
      </c>
      <c r="AD37" s="363">
        <f t="shared" si="74"/>
        <v>0</v>
      </c>
      <c r="AE37" s="363">
        <f t="shared" si="74"/>
        <v>0</v>
      </c>
      <c r="AF37" s="363">
        <f t="shared" si="74"/>
        <v>0</v>
      </c>
      <c r="AG37" s="363">
        <f t="shared" si="74"/>
        <v>1952679959.9999998</v>
      </c>
      <c r="AH37" s="363">
        <f t="shared" si="74"/>
        <v>0</v>
      </c>
      <c r="AI37" s="363">
        <f t="shared" si="74"/>
        <v>0</v>
      </c>
      <c r="AJ37" s="363">
        <f t="shared" si="74"/>
        <v>0</v>
      </c>
      <c r="AK37" s="363">
        <f t="shared" si="74"/>
        <v>0</v>
      </c>
      <c r="AL37" s="363">
        <f t="shared" si="74"/>
        <v>0</v>
      </c>
      <c r="AM37" s="363">
        <f t="shared" si="74"/>
        <v>0</v>
      </c>
      <c r="AN37" s="363">
        <f t="shared" si="74"/>
        <v>0</v>
      </c>
      <c r="AO37" s="363">
        <f t="shared" si="74"/>
        <v>0</v>
      </c>
      <c r="AP37" s="363">
        <f t="shared" si="74"/>
        <v>0</v>
      </c>
      <c r="AQ37" s="363">
        <f t="shared" si="74"/>
        <v>0</v>
      </c>
      <c r="AR37" s="363">
        <f t="shared" si="74"/>
        <v>0</v>
      </c>
    </row>
    <row r="38" spans="1:44" s="45" customFormat="1">
      <c r="A38" s="377">
        <v>6</v>
      </c>
      <c r="B38" s="361" t="str">
        <f>B11</f>
        <v>Chi phí quản lý doanh nghiệp</v>
      </c>
      <c r="C38" s="54">
        <f t="shared" si="68"/>
        <v>30718788400</v>
      </c>
      <c r="D38" s="363">
        <f t="shared" ref="D38:X38" si="75">D11</f>
        <v>0</v>
      </c>
      <c r="E38" s="363">
        <f t="shared" si="75"/>
        <v>0</v>
      </c>
      <c r="F38" s="363">
        <f t="shared" si="75"/>
        <v>0</v>
      </c>
      <c r="G38" s="363">
        <f t="shared" si="75"/>
        <v>0</v>
      </c>
      <c r="H38" s="363">
        <f t="shared" si="75"/>
        <v>0</v>
      </c>
      <c r="I38" s="363">
        <f t="shared" si="75"/>
        <v>0</v>
      </c>
      <c r="J38" s="363">
        <f t="shared" si="75"/>
        <v>0</v>
      </c>
      <c r="K38" s="363">
        <f t="shared" si="75"/>
        <v>0</v>
      </c>
      <c r="L38" s="363">
        <f t="shared" si="75"/>
        <v>0</v>
      </c>
      <c r="M38" s="363">
        <f t="shared" si="75"/>
        <v>0</v>
      </c>
      <c r="N38" s="363">
        <f t="shared" si="75"/>
        <v>0</v>
      </c>
      <c r="O38" s="363">
        <f t="shared" si="75"/>
        <v>0</v>
      </c>
      <c r="P38" s="363">
        <f t="shared" si="75"/>
        <v>0</v>
      </c>
      <c r="Q38" s="363">
        <f t="shared" si="75"/>
        <v>3863114639.9999995</v>
      </c>
      <c r="R38" s="363">
        <f t="shared" si="75"/>
        <v>965778660</v>
      </c>
      <c r="S38" s="363">
        <f t="shared" si="75"/>
        <v>1931557320</v>
      </c>
      <c r="T38" s="363">
        <f t="shared" si="75"/>
        <v>0</v>
      </c>
      <c r="U38" s="363">
        <f t="shared" si="75"/>
        <v>5151149940</v>
      </c>
      <c r="V38" s="363">
        <f t="shared" si="75"/>
        <v>1455206860</v>
      </c>
      <c r="W38" s="363">
        <f t="shared" si="75"/>
        <v>2240736220</v>
      </c>
      <c r="X38" s="363">
        <f t="shared" si="75"/>
        <v>669677500</v>
      </c>
      <c r="Y38" s="363">
        <f t="shared" ref="Y38:AR38" si="76">Y11</f>
        <v>8179619260</v>
      </c>
      <c r="Z38" s="363">
        <f t="shared" si="76"/>
        <v>650893319.99999988</v>
      </c>
      <c r="AA38" s="363">
        <f t="shared" si="76"/>
        <v>1301786639.9999998</v>
      </c>
      <c r="AB38" s="363">
        <f t="shared" ref="AB38:AE38" si="77">AB11</f>
        <v>0</v>
      </c>
      <c r="AC38" s="363">
        <f t="shared" si="77"/>
        <v>2356588080</v>
      </c>
      <c r="AD38" s="363">
        <f t="shared" si="77"/>
        <v>0</v>
      </c>
      <c r="AE38" s="363">
        <f t="shared" si="77"/>
        <v>0</v>
      </c>
      <c r="AF38" s="363">
        <f t="shared" si="76"/>
        <v>0</v>
      </c>
      <c r="AG38" s="363">
        <f t="shared" si="76"/>
        <v>1952679959.9999998</v>
      </c>
      <c r="AH38" s="363">
        <f t="shared" si="76"/>
        <v>0</v>
      </c>
      <c r="AI38" s="363">
        <f t="shared" si="76"/>
        <v>0</v>
      </c>
      <c r="AJ38" s="363">
        <f t="shared" ref="AJ38:AQ38" si="78">AJ11</f>
        <v>0</v>
      </c>
      <c r="AK38" s="363">
        <f t="shared" ref="AK38:AN38" si="79">AK11</f>
        <v>0</v>
      </c>
      <c r="AL38" s="363">
        <f t="shared" si="79"/>
        <v>0</v>
      </c>
      <c r="AM38" s="363">
        <f t="shared" si="79"/>
        <v>0</v>
      </c>
      <c r="AN38" s="363">
        <f t="shared" si="79"/>
        <v>0</v>
      </c>
      <c r="AO38" s="363">
        <f t="shared" si="78"/>
        <v>0</v>
      </c>
      <c r="AP38" s="363">
        <f t="shared" si="78"/>
        <v>0</v>
      </c>
      <c r="AQ38" s="363">
        <f t="shared" si="78"/>
        <v>0</v>
      </c>
      <c r="AR38" s="363">
        <f t="shared" si="76"/>
        <v>0</v>
      </c>
    </row>
    <row r="39" spans="1:44" s="45" customFormat="1">
      <c r="A39" s="377">
        <v>7</v>
      </c>
      <c r="B39" s="361" t="s">
        <v>199</v>
      </c>
      <c r="C39" s="54">
        <f t="shared" si="68"/>
        <v>799474340209.46802</v>
      </c>
      <c r="D39" s="363">
        <f>'4. Vay'!E10</f>
        <v>0</v>
      </c>
      <c r="E39" s="363">
        <f>'4. Vay'!F10</f>
        <v>0</v>
      </c>
      <c r="F39" s="363">
        <f>'4. Vay'!G10</f>
        <v>0</v>
      </c>
      <c r="G39" s="363">
        <f>'4. Vay'!H10</f>
        <v>0</v>
      </c>
      <c r="H39" s="363">
        <f>'4. Vay'!I10</f>
        <v>0</v>
      </c>
      <c r="I39" s="363">
        <f>'4. Vay'!J10</f>
        <v>0</v>
      </c>
      <c r="J39" s="363">
        <f>'4. Vay'!K10</f>
        <v>0</v>
      </c>
      <c r="K39" s="363">
        <f>'4. Vay'!L10</f>
        <v>0</v>
      </c>
      <c r="L39" s="363">
        <f>'4. Vay'!M10</f>
        <v>0</v>
      </c>
      <c r="M39" s="363">
        <f>'4. Vay'!N10</f>
        <v>0</v>
      </c>
      <c r="N39" s="363">
        <f>'4. Vay'!O10</f>
        <v>0</v>
      </c>
      <c r="O39" s="363">
        <f>'4. Vay'!P10</f>
        <v>0</v>
      </c>
      <c r="P39" s="363">
        <f>'4. Vay'!Q10</f>
        <v>0</v>
      </c>
      <c r="Q39" s="363">
        <f>'4. Vay'!R10</f>
        <v>66622861684.122337</v>
      </c>
      <c r="R39" s="363">
        <f>'4. Vay'!S10</f>
        <v>66622861684.122337</v>
      </c>
      <c r="S39" s="363">
        <f>'4. Vay'!T10</f>
        <v>66622861684.122337</v>
      </c>
      <c r="T39" s="363">
        <f>'4. Vay'!U10</f>
        <v>66622861684.122337</v>
      </c>
      <c r="U39" s="363">
        <f>'4. Vay'!V10</f>
        <v>66622861684.122337</v>
      </c>
      <c r="V39" s="363">
        <f>'4. Vay'!W10</f>
        <v>66622861684.122337</v>
      </c>
      <c r="W39" s="363">
        <f>'4. Vay'!X10</f>
        <v>66622861684.122337</v>
      </c>
      <c r="X39" s="363">
        <f>'4. Vay'!Y10</f>
        <v>66622861684.122337</v>
      </c>
      <c r="Y39" s="363">
        <f>'4. Vay'!Z10</f>
        <v>66622861684.122337</v>
      </c>
      <c r="Z39" s="363">
        <f>'4. Vay'!AA10</f>
        <v>66622861684.122337</v>
      </c>
      <c r="AA39" s="363">
        <f>'4. Vay'!AB10</f>
        <v>66622861684.122337</v>
      </c>
      <c r="AB39" s="363">
        <f>'4. Vay'!AC10</f>
        <v>66622861684.122444</v>
      </c>
      <c r="AC39" s="363">
        <f>'4. Vay'!AD10</f>
        <v>0</v>
      </c>
      <c r="AD39" s="363">
        <f>'4. Vay'!AE10</f>
        <v>0</v>
      </c>
      <c r="AE39" s="363">
        <f>'4. Vay'!AF10</f>
        <v>0</v>
      </c>
      <c r="AF39" s="363">
        <f>'4. Vay'!AG10</f>
        <v>0</v>
      </c>
      <c r="AG39" s="363">
        <f>'4. Vay'!AH10</f>
        <v>0</v>
      </c>
      <c r="AH39" s="363">
        <f>'4. Vay'!AI10</f>
        <v>0</v>
      </c>
      <c r="AI39" s="363">
        <f>'4. Vay'!AJ10</f>
        <v>0</v>
      </c>
      <c r="AJ39" s="363">
        <f>'4. Vay'!AK10</f>
        <v>0</v>
      </c>
      <c r="AK39" s="363">
        <f>'4. Vay'!AL10</f>
        <v>0</v>
      </c>
      <c r="AL39" s="363">
        <f>'4. Vay'!AM10</f>
        <v>0</v>
      </c>
      <c r="AM39" s="363">
        <f>'4. Vay'!AN10</f>
        <v>0</v>
      </c>
      <c r="AN39" s="363">
        <f>'4. Vay'!AO10</f>
        <v>0</v>
      </c>
      <c r="AO39" s="363">
        <f>'4. Vay'!AP10</f>
        <v>0</v>
      </c>
      <c r="AP39" s="363">
        <f>'4. Vay'!AQ10</f>
        <v>0</v>
      </c>
      <c r="AQ39" s="363">
        <f>'4. Vay'!AR10</f>
        <v>0</v>
      </c>
      <c r="AR39" s="363">
        <f>'4. Vay'!AS10</f>
        <v>0</v>
      </c>
    </row>
    <row r="40" spans="1:44" s="45" customFormat="1">
      <c r="A40" s="377">
        <v>8</v>
      </c>
      <c r="B40" s="361" t="s">
        <v>180</v>
      </c>
      <c r="C40" s="54">
        <f t="shared" si="68"/>
        <v>43721240372.000496</v>
      </c>
      <c r="D40" s="363">
        <f>+'7. P&amp;L TOÀN DỰ ÁN'!EN23</f>
        <v>0</v>
      </c>
      <c r="E40" s="363">
        <f>+'7. P&amp;L TOÀN DỰ ÁN'!EO23</f>
        <v>0</v>
      </c>
      <c r="F40" s="363">
        <f>+'7. P&amp;L TOÀN DỰ ÁN'!EP23</f>
        <v>0</v>
      </c>
      <c r="G40" s="363">
        <f>+'7. P&amp;L TOÀN DỰ ÁN'!EQ23</f>
        <v>0</v>
      </c>
      <c r="H40" s="363">
        <f>+'7. P&amp;L TOÀN DỰ ÁN'!ER23</f>
        <v>0</v>
      </c>
      <c r="I40" s="363">
        <f>+'7. P&amp;L TOÀN DỰ ÁN'!ES23</f>
        <v>0</v>
      </c>
      <c r="J40" s="363">
        <f>+'7. P&amp;L TOÀN DỰ ÁN'!ET23</f>
        <v>0</v>
      </c>
      <c r="K40" s="363">
        <f>+'7. P&amp;L TOÀN DỰ ÁN'!EU23</f>
        <v>0</v>
      </c>
      <c r="L40" s="363">
        <f>+'7. P&amp;L TOÀN DỰ ÁN'!EV23</f>
        <v>0</v>
      </c>
      <c r="M40" s="363">
        <f>+'7. P&amp;L TOÀN DỰ ÁN'!EW23</f>
        <v>0</v>
      </c>
      <c r="N40" s="363">
        <f>+'7. P&amp;L TOÀN DỰ ÁN'!EX23</f>
        <v>0</v>
      </c>
      <c r="O40" s="363">
        <f>+'7. P&amp;L TOÀN DỰ ÁN'!EY23</f>
        <v>0</v>
      </c>
      <c r="P40" s="363">
        <f>+'7. P&amp;L TOÀN DỰ ÁN'!EZ23</f>
        <v>0</v>
      </c>
      <c r="Q40" s="363">
        <f>+'7. P&amp;L TOÀN DỰ ÁN'!FA23</f>
        <v>0</v>
      </c>
      <c r="R40" s="363">
        <f>+'7. P&amp;L TOÀN DỰ ÁN'!FB23</f>
        <v>0</v>
      </c>
      <c r="S40" s="363">
        <f>+'7. P&amp;L TOÀN DỰ ÁN'!FC23</f>
        <v>0</v>
      </c>
      <c r="T40" s="363">
        <f>+'7. P&amp;L TOÀN DỰ ÁN'!FD23</f>
        <v>0</v>
      </c>
      <c r="U40" s="363">
        <f>+'7. P&amp;L TOÀN DỰ ÁN'!FE23</f>
        <v>0</v>
      </c>
      <c r="V40" s="363">
        <f>+'7. P&amp;L TOÀN DỰ ÁN'!FF23</f>
        <v>0</v>
      </c>
      <c r="W40" s="363">
        <f>+'7. P&amp;L TOÀN DỰ ÁN'!FG23</f>
        <v>0</v>
      </c>
      <c r="X40" s="363">
        <f>+'7. P&amp;L TOÀN DỰ ÁN'!FH23</f>
        <v>0</v>
      </c>
      <c r="Y40" s="363">
        <f>+'7. P&amp;L TOÀN DỰ ÁN'!FI23</f>
        <v>30789771059.00066</v>
      </c>
      <c r="Z40" s="363">
        <f>+'7. P&amp;L TOÀN DỰ ÁN'!FJ23</f>
        <v>0</v>
      </c>
      <c r="AA40" s="363">
        <f>+'7. P&amp;L TOÀN DỰ ÁN'!FK23</f>
        <v>0</v>
      </c>
      <c r="AB40" s="363">
        <f>+'7. P&amp;L TOÀN DỰ ÁN'!FL23</f>
        <v>0</v>
      </c>
      <c r="AC40" s="363">
        <f>+'7. P&amp;L TOÀN DỰ ÁN'!FM23</f>
        <v>7071768605.9512854</v>
      </c>
      <c r="AD40" s="363">
        <f>+'7. P&amp;L TOÀN DỰ ÁN'!FN23</f>
        <v>0</v>
      </c>
      <c r="AE40" s="363">
        <f>+'7. P&amp;L TOÀN DỰ ÁN'!FO23</f>
        <v>0</v>
      </c>
      <c r="AF40" s="363">
        <f>+'7. P&amp;L TOÀN DỰ ÁN'!FP23</f>
        <v>0</v>
      </c>
      <c r="AG40" s="363">
        <f>+'7. P&amp;L TOÀN DỰ ÁN'!FQ23</f>
        <v>5859700707.0485544</v>
      </c>
      <c r="AH40" s="363">
        <f>+'7. P&amp;L TOÀN DỰ ÁN'!FR23</f>
        <v>0</v>
      </c>
      <c r="AI40" s="363">
        <f>+'7. P&amp;L TOÀN DỰ ÁN'!FS23</f>
        <v>0</v>
      </c>
      <c r="AJ40" s="363">
        <f>+'7. P&amp;L TOÀN DỰ ÁN'!FT23</f>
        <v>0</v>
      </c>
      <c r="AK40" s="363">
        <f>+'7. P&amp;L TOÀN DỰ ÁN'!FU23</f>
        <v>0</v>
      </c>
      <c r="AL40" s="363">
        <f>+'7. P&amp;L TOÀN DỰ ÁN'!FV23</f>
        <v>0</v>
      </c>
      <c r="AM40" s="363">
        <f>+'7. P&amp;L TOÀN DỰ ÁN'!FW23</f>
        <v>0</v>
      </c>
      <c r="AN40" s="363">
        <f>+'7. P&amp;L TOÀN DỰ ÁN'!FX23</f>
        <v>0</v>
      </c>
      <c r="AO40" s="363">
        <f>+'7. P&amp;L TOÀN DỰ ÁN'!FY23</f>
        <v>0</v>
      </c>
      <c r="AP40" s="363">
        <f>+'7. P&amp;L TOÀN DỰ ÁN'!FZ23</f>
        <v>0</v>
      </c>
      <c r="AQ40" s="363">
        <f>+'7. P&amp;L TOÀN DỰ ÁN'!GA23</f>
        <v>0</v>
      </c>
      <c r="AR40" s="363">
        <f>+'7. P&amp;L TOÀN DỰ ÁN'!GB23</f>
        <v>0</v>
      </c>
    </row>
    <row r="41" spans="1:44" s="45" customFormat="1">
      <c r="A41" s="377">
        <v>9</v>
      </c>
      <c r="B41" s="361" t="s">
        <v>181</v>
      </c>
      <c r="C41" s="54">
        <f t="shared" si="68"/>
        <v>34128183181.341812</v>
      </c>
      <c r="D41" s="364">
        <f>D13</f>
        <v>0</v>
      </c>
      <c r="E41" s="364">
        <f t="shared" ref="E41:AR41" si="80">E13</f>
        <v>0</v>
      </c>
      <c r="F41" s="364">
        <f t="shared" si="80"/>
        <v>0</v>
      </c>
      <c r="G41" s="364">
        <f t="shared" si="80"/>
        <v>0</v>
      </c>
      <c r="H41" s="364">
        <f t="shared" si="80"/>
        <v>0</v>
      </c>
      <c r="I41" s="364">
        <f t="shared" si="80"/>
        <v>0</v>
      </c>
      <c r="J41" s="364">
        <f t="shared" si="80"/>
        <v>0</v>
      </c>
      <c r="K41" s="364">
        <f t="shared" si="80"/>
        <v>0</v>
      </c>
      <c r="L41" s="364">
        <f t="shared" si="80"/>
        <v>0</v>
      </c>
      <c r="M41" s="364">
        <f t="shared" si="80"/>
        <v>0</v>
      </c>
      <c r="N41" s="364">
        <f t="shared" si="80"/>
        <v>0</v>
      </c>
      <c r="O41" s="364">
        <f t="shared" si="80"/>
        <v>0</v>
      </c>
      <c r="P41" s="364">
        <f t="shared" si="80"/>
        <v>0</v>
      </c>
      <c r="Q41" s="364">
        <f t="shared" si="80"/>
        <v>0</v>
      </c>
      <c r="R41" s="364">
        <f t="shared" si="80"/>
        <v>0</v>
      </c>
      <c r="S41" s="364">
        <f t="shared" si="80"/>
        <v>0</v>
      </c>
      <c r="T41" s="364">
        <f t="shared" si="80"/>
        <v>0</v>
      </c>
      <c r="U41" s="364">
        <f t="shared" si="80"/>
        <v>0</v>
      </c>
      <c r="V41" s="364">
        <f t="shared" si="80"/>
        <v>0</v>
      </c>
      <c r="W41" s="364">
        <f t="shared" si="80"/>
        <v>0</v>
      </c>
      <c r="X41" s="364">
        <f t="shared" si="80"/>
        <v>0</v>
      </c>
      <c r="Y41" s="364">
        <f t="shared" si="80"/>
        <v>0</v>
      </c>
      <c r="Z41" s="364">
        <f t="shared" si="80"/>
        <v>0</v>
      </c>
      <c r="AA41" s="364">
        <f t="shared" si="80"/>
        <v>0</v>
      </c>
      <c r="AB41" s="364">
        <f t="shared" ref="AB41:AE41" si="81">AB13</f>
        <v>0</v>
      </c>
      <c r="AC41" s="364">
        <f t="shared" si="81"/>
        <v>0</v>
      </c>
      <c r="AD41" s="364">
        <f t="shared" si="81"/>
        <v>0</v>
      </c>
      <c r="AE41" s="364">
        <f t="shared" si="81"/>
        <v>0</v>
      </c>
      <c r="AF41" s="364">
        <f t="shared" si="80"/>
        <v>0</v>
      </c>
      <c r="AG41" s="364">
        <f t="shared" si="80"/>
        <v>0</v>
      </c>
      <c r="AH41" s="364">
        <f t="shared" si="80"/>
        <v>34128183181.341812</v>
      </c>
      <c r="AI41" s="364">
        <f t="shared" si="80"/>
        <v>0</v>
      </c>
      <c r="AJ41" s="364">
        <f t="shared" ref="AJ41:AQ41" si="82">AJ13</f>
        <v>0</v>
      </c>
      <c r="AK41" s="364">
        <f t="shared" ref="AK41:AN41" si="83">AK13</f>
        <v>0</v>
      </c>
      <c r="AL41" s="364">
        <f t="shared" si="83"/>
        <v>0</v>
      </c>
      <c r="AM41" s="364">
        <f t="shared" si="83"/>
        <v>0</v>
      </c>
      <c r="AN41" s="364">
        <f t="shared" si="83"/>
        <v>0</v>
      </c>
      <c r="AO41" s="364">
        <f t="shared" si="82"/>
        <v>0</v>
      </c>
      <c r="AP41" s="364">
        <f t="shared" si="82"/>
        <v>0</v>
      </c>
      <c r="AQ41" s="364">
        <f t="shared" si="82"/>
        <v>0</v>
      </c>
      <c r="AR41" s="364">
        <f t="shared" si="80"/>
        <v>0</v>
      </c>
    </row>
    <row r="42" spans="1:44" s="46" customFormat="1">
      <c r="A42" s="379"/>
      <c r="B42" s="366" t="s">
        <v>182</v>
      </c>
      <c r="C42" s="212">
        <f t="shared" si="68"/>
        <v>139630856363.63635</v>
      </c>
      <c r="D42" s="367">
        <f>D14</f>
        <v>0</v>
      </c>
      <c r="E42" s="367">
        <f t="shared" ref="E42:AR42" si="84">E14</f>
        <v>0</v>
      </c>
      <c r="F42" s="367">
        <f t="shared" si="84"/>
        <v>0</v>
      </c>
      <c r="G42" s="367">
        <f t="shared" si="84"/>
        <v>0</v>
      </c>
      <c r="H42" s="367">
        <f t="shared" si="84"/>
        <v>0</v>
      </c>
      <c r="I42" s="367">
        <f t="shared" si="84"/>
        <v>0</v>
      </c>
      <c r="J42" s="367">
        <f t="shared" si="84"/>
        <v>0</v>
      </c>
      <c r="K42" s="367">
        <f t="shared" si="84"/>
        <v>0</v>
      </c>
      <c r="L42" s="367">
        <f t="shared" si="84"/>
        <v>0</v>
      </c>
      <c r="M42" s="367">
        <f t="shared" si="84"/>
        <v>0</v>
      </c>
      <c r="N42" s="367">
        <f t="shared" si="84"/>
        <v>0</v>
      </c>
      <c r="O42" s="367">
        <f t="shared" si="84"/>
        <v>0</v>
      </c>
      <c r="P42" s="367">
        <f t="shared" si="84"/>
        <v>0</v>
      </c>
      <c r="Q42" s="367">
        <f t="shared" si="84"/>
        <v>17559611999.999996</v>
      </c>
      <c r="R42" s="367">
        <f t="shared" si="84"/>
        <v>4389903000</v>
      </c>
      <c r="S42" s="367">
        <f t="shared" si="84"/>
        <v>8779806000</v>
      </c>
      <c r="T42" s="367">
        <f t="shared" si="84"/>
        <v>0</v>
      </c>
      <c r="U42" s="367">
        <f t="shared" si="84"/>
        <v>23414317909.090908</v>
      </c>
      <c r="V42" s="367">
        <f t="shared" si="84"/>
        <v>6614576636.363636</v>
      </c>
      <c r="W42" s="367">
        <f t="shared" si="84"/>
        <v>10185164636.363636</v>
      </c>
      <c r="X42" s="367">
        <f t="shared" si="84"/>
        <v>3043988636.363636</v>
      </c>
      <c r="Y42" s="367">
        <f t="shared" si="84"/>
        <v>37180087545.454544</v>
      </c>
      <c r="Z42" s="367">
        <f t="shared" si="84"/>
        <v>2958605999.9999995</v>
      </c>
      <c r="AA42" s="367">
        <f t="shared" si="84"/>
        <v>5917211999.999999</v>
      </c>
      <c r="AB42" s="367">
        <f t="shared" si="84"/>
        <v>0</v>
      </c>
      <c r="AC42" s="367">
        <f t="shared" si="84"/>
        <v>10711764000</v>
      </c>
      <c r="AD42" s="367">
        <f t="shared" si="84"/>
        <v>0</v>
      </c>
      <c r="AE42" s="367">
        <f t="shared" si="84"/>
        <v>0</v>
      </c>
      <c r="AF42" s="367">
        <f t="shared" si="84"/>
        <v>0</v>
      </c>
      <c r="AG42" s="367">
        <f t="shared" si="84"/>
        <v>8875817999.9999981</v>
      </c>
      <c r="AH42" s="367">
        <f t="shared" si="84"/>
        <v>0</v>
      </c>
      <c r="AI42" s="367">
        <f t="shared" si="84"/>
        <v>0</v>
      </c>
      <c r="AJ42" s="367">
        <f t="shared" si="84"/>
        <v>0</v>
      </c>
      <c r="AK42" s="367">
        <f t="shared" si="84"/>
        <v>0</v>
      </c>
      <c r="AL42" s="367">
        <f t="shared" si="84"/>
        <v>0</v>
      </c>
      <c r="AM42" s="367">
        <f t="shared" si="84"/>
        <v>0</v>
      </c>
      <c r="AN42" s="367">
        <f t="shared" si="84"/>
        <v>0</v>
      </c>
      <c r="AO42" s="367">
        <f t="shared" si="84"/>
        <v>0</v>
      </c>
      <c r="AP42" s="367">
        <f t="shared" si="84"/>
        <v>0</v>
      </c>
      <c r="AQ42" s="367">
        <f t="shared" si="84"/>
        <v>0</v>
      </c>
      <c r="AR42" s="367">
        <f t="shared" si="84"/>
        <v>0</v>
      </c>
    </row>
    <row r="43" spans="1:44" s="46" customFormat="1">
      <c r="A43" s="379"/>
      <c r="B43" s="366" t="s">
        <v>183</v>
      </c>
      <c r="C43" s="368">
        <f t="shared" si="68"/>
        <v>105502673182.29453</v>
      </c>
      <c r="D43" s="367">
        <f t="shared" ref="D43:AR43" si="85">D15</f>
        <v>0</v>
      </c>
      <c r="E43" s="367">
        <f t="shared" si="85"/>
        <v>0</v>
      </c>
      <c r="F43" s="367">
        <f t="shared" si="85"/>
        <v>0</v>
      </c>
      <c r="G43" s="367">
        <f t="shared" si="85"/>
        <v>0</v>
      </c>
      <c r="H43" s="367">
        <f t="shared" si="85"/>
        <v>0</v>
      </c>
      <c r="I43" s="367">
        <f t="shared" si="85"/>
        <v>0</v>
      </c>
      <c r="J43" s="367">
        <f t="shared" si="85"/>
        <v>0</v>
      </c>
      <c r="K43" s="367">
        <f t="shared" si="85"/>
        <v>0</v>
      </c>
      <c r="L43" s="367">
        <f t="shared" si="85"/>
        <v>0</v>
      </c>
      <c r="M43" s="367">
        <f t="shared" si="85"/>
        <v>12489679865.968636</v>
      </c>
      <c r="N43" s="367">
        <f t="shared" si="85"/>
        <v>12489679865.968636</v>
      </c>
      <c r="O43" s="367">
        <f t="shared" si="85"/>
        <v>12489679865.968636</v>
      </c>
      <c r="P43" s="367">
        <f t="shared" si="85"/>
        <v>12489679865.968636</v>
      </c>
      <c r="Q43" s="367">
        <f t="shared" si="85"/>
        <v>13192064345.968636</v>
      </c>
      <c r="R43" s="367">
        <f t="shared" si="85"/>
        <v>12665275985.968636</v>
      </c>
      <c r="S43" s="367">
        <f t="shared" si="85"/>
        <v>12840872105.968636</v>
      </c>
      <c r="T43" s="367">
        <f t="shared" si="85"/>
        <v>12489679865.968636</v>
      </c>
      <c r="U43" s="367">
        <f t="shared" si="85"/>
        <v>936572716.36363626</v>
      </c>
      <c r="V43" s="367">
        <f t="shared" si="85"/>
        <v>264583065.45454547</v>
      </c>
      <c r="W43" s="367">
        <f t="shared" si="85"/>
        <v>407406585.45454544</v>
      </c>
      <c r="X43" s="367">
        <f t="shared" si="85"/>
        <v>121759545.45454545</v>
      </c>
      <c r="Y43" s="367">
        <f t="shared" si="85"/>
        <v>1487203501.8181818</v>
      </c>
      <c r="Z43" s="367">
        <f t="shared" si="85"/>
        <v>118344239.99999999</v>
      </c>
      <c r="AA43" s="367">
        <f t="shared" si="85"/>
        <v>236688479.99999997</v>
      </c>
      <c r="AB43" s="367">
        <f t="shared" si="85"/>
        <v>0</v>
      </c>
      <c r="AC43" s="367">
        <f t="shared" si="85"/>
        <v>428470560</v>
      </c>
      <c r="AD43" s="367">
        <f t="shared" si="85"/>
        <v>0</v>
      </c>
      <c r="AE43" s="367">
        <f t="shared" si="85"/>
        <v>0</v>
      </c>
      <c r="AF43" s="367">
        <f t="shared" si="85"/>
        <v>0</v>
      </c>
      <c r="AG43" s="367">
        <f t="shared" si="85"/>
        <v>355032719.99999994</v>
      </c>
      <c r="AH43" s="367">
        <f t="shared" si="85"/>
        <v>0</v>
      </c>
      <c r="AI43" s="367">
        <f t="shared" si="85"/>
        <v>0</v>
      </c>
      <c r="AJ43" s="367">
        <f t="shared" si="85"/>
        <v>0</v>
      </c>
      <c r="AK43" s="367">
        <f t="shared" si="85"/>
        <v>0</v>
      </c>
      <c r="AL43" s="367">
        <f t="shared" si="85"/>
        <v>0</v>
      </c>
      <c r="AM43" s="367">
        <f t="shared" si="85"/>
        <v>0</v>
      </c>
      <c r="AN43" s="367">
        <f t="shared" si="85"/>
        <v>0</v>
      </c>
      <c r="AO43" s="367">
        <f t="shared" si="85"/>
        <v>0</v>
      </c>
      <c r="AP43" s="367">
        <f t="shared" si="85"/>
        <v>0</v>
      </c>
      <c r="AQ43" s="367">
        <f t="shared" si="85"/>
        <v>0</v>
      </c>
      <c r="AR43" s="367">
        <f t="shared" si="85"/>
        <v>0</v>
      </c>
    </row>
    <row r="44" spans="1:44" s="46" customFormat="1">
      <c r="A44" s="379"/>
      <c r="B44" s="366" t="s">
        <v>184</v>
      </c>
      <c r="C44" s="368">
        <f t="shared" si="68"/>
        <v>34128183181.341812</v>
      </c>
      <c r="D44" s="367">
        <f t="shared" ref="D44:AR44" si="86">D16</f>
        <v>0</v>
      </c>
      <c r="E44" s="367">
        <f t="shared" si="86"/>
        <v>0</v>
      </c>
      <c r="F44" s="367">
        <f t="shared" si="86"/>
        <v>0</v>
      </c>
      <c r="G44" s="367">
        <f t="shared" si="86"/>
        <v>0</v>
      </c>
      <c r="H44" s="367">
        <f t="shared" si="86"/>
        <v>0</v>
      </c>
      <c r="I44" s="367">
        <f t="shared" si="86"/>
        <v>0</v>
      </c>
      <c r="J44" s="367">
        <f t="shared" si="86"/>
        <v>0</v>
      </c>
      <c r="K44" s="367">
        <f t="shared" si="86"/>
        <v>0</v>
      </c>
      <c r="L44" s="367">
        <f t="shared" si="86"/>
        <v>0</v>
      </c>
      <c r="M44" s="367">
        <f t="shared" si="86"/>
        <v>-12489679865.968636</v>
      </c>
      <c r="N44" s="367">
        <f t="shared" si="86"/>
        <v>-12489679865.968636</v>
      </c>
      <c r="O44" s="367">
        <f t="shared" si="86"/>
        <v>-12489679865.968636</v>
      </c>
      <c r="P44" s="367">
        <f t="shared" si="86"/>
        <v>-12489679865.968636</v>
      </c>
      <c r="Q44" s="367">
        <f t="shared" si="86"/>
        <v>4367547654.0313606</v>
      </c>
      <c r="R44" s="367">
        <f t="shared" si="86"/>
        <v>-8275372985.9686356</v>
      </c>
      <c r="S44" s="367">
        <f t="shared" si="86"/>
        <v>-4061066105.9686356</v>
      </c>
      <c r="T44" s="367">
        <f t="shared" si="86"/>
        <v>-12489679865.968636</v>
      </c>
      <c r="U44" s="367">
        <f t="shared" si="86"/>
        <v>22477745192.727272</v>
      </c>
      <c r="V44" s="367">
        <f t="shared" si="86"/>
        <v>6349993570.909091</v>
      </c>
      <c r="W44" s="367">
        <f t="shared" si="86"/>
        <v>9777758050.90909</v>
      </c>
      <c r="X44" s="367">
        <f t="shared" si="86"/>
        <v>2922229090.9090905</v>
      </c>
      <c r="Y44" s="367">
        <f t="shared" si="86"/>
        <v>35692884043.63636</v>
      </c>
      <c r="Z44" s="367">
        <f t="shared" si="86"/>
        <v>2840261759.9999995</v>
      </c>
      <c r="AA44" s="367">
        <f t="shared" si="86"/>
        <v>5680523519.999999</v>
      </c>
      <c r="AB44" s="367">
        <f t="shared" si="86"/>
        <v>0</v>
      </c>
      <c r="AC44" s="367">
        <f t="shared" si="86"/>
        <v>10283293440</v>
      </c>
      <c r="AD44" s="367">
        <f t="shared" si="86"/>
        <v>0</v>
      </c>
      <c r="AE44" s="367">
        <f t="shared" si="86"/>
        <v>0</v>
      </c>
      <c r="AF44" s="367">
        <f t="shared" si="86"/>
        <v>0</v>
      </c>
      <c r="AG44" s="367">
        <f t="shared" si="86"/>
        <v>8520785279.9999981</v>
      </c>
      <c r="AH44" s="367">
        <f t="shared" si="86"/>
        <v>0</v>
      </c>
      <c r="AI44" s="367">
        <f t="shared" si="86"/>
        <v>0</v>
      </c>
      <c r="AJ44" s="367">
        <f t="shared" si="86"/>
        <v>0</v>
      </c>
      <c r="AK44" s="367">
        <f t="shared" si="86"/>
        <v>0</v>
      </c>
      <c r="AL44" s="367">
        <f t="shared" si="86"/>
        <v>0</v>
      </c>
      <c r="AM44" s="367">
        <f t="shared" si="86"/>
        <v>0</v>
      </c>
      <c r="AN44" s="367">
        <f t="shared" si="86"/>
        <v>0</v>
      </c>
      <c r="AO44" s="367">
        <f t="shared" si="86"/>
        <v>0</v>
      </c>
      <c r="AP44" s="367">
        <f t="shared" si="86"/>
        <v>0</v>
      </c>
      <c r="AQ44" s="367">
        <f t="shared" si="86"/>
        <v>0</v>
      </c>
      <c r="AR44" s="367">
        <f t="shared" si="86"/>
        <v>0</v>
      </c>
    </row>
    <row r="45" spans="1:44" s="45" customFormat="1">
      <c r="A45" s="370" t="s">
        <v>24</v>
      </c>
      <c r="B45" s="370" t="s">
        <v>185</v>
      </c>
      <c r="C45" s="371">
        <f>C29-C32</f>
        <v>174884961488.00195</v>
      </c>
      <c r="D45" s="372">
        <f>D29-D32</f>
        <v>0</v>
      </c>
      <c r="E45" s="372">
        <f t="shared" ref="E45:AR45" si="87">E29-E32</f>
        <v>0</v>
      </c>
      <c r="F45" s="372">
        <f t="shared" si="87"/>
        <v>0</v>
      </c>
      <c r="G45" s="372">
        <f t="shared" si="87"/>
        <v>0</v>
      </c>
      <c r="H45" s="372">
        <f t="shared" si="87"/>
        <v>0</v>
      </c>
      <c r="I45" s="372">
        <f t="shared" si="87"/>
        <v>0</v>
      </c>
      <c r="J45" s="372">
        <f t="shared" si="87"/>
        <v>0</v>
      </c>
      <c r="K45" s="372">
        <f t="shared" si="87"/>
        <v>0</v>
      </c>
      <c r="L45" s="372">
        <f t="shared" si="87"/>
        <v>0</v>
      </c>
      <c r="M45" s="372">
        <f t="shared" si="87"/>
        <v>-55146285023.795807</v>
      </c>
      <c r="N45" s="372">
        <f t="shared" si="87"/>
        <v>-44049388830.109741</v>
      </c>
      <c r="O45" s="372">
        <f t="shared" si="87"/>
        <v>-45612160023.339081</v>
      </c>
      <c r="P45" s="372">
        <f t="shared" si="87"/>
        <v>-47174931216.56839</v>
      </c>
      <c r="Q45" s="372">
        <f t="shared" si="87"/>
        <v>70610249377.263428</v>
      </c>
      <c r="R45" s="372">
        <f t="shared" si="87"/>
        <v>-68942027353.598907</v>
      </c>
      <c r="S45" s="372">
        <f t="shared" si="87"/>
        <v>-23064801364.461243</v>
      </c>
      <c r="T45" s="372">
        <f t="shared" si="87"/>
        <v>-116259702415.32358</v>
      </c>
      <c r="U45" s="372">
        <f t="shared" si="87"/>
        <v>172512674168.12524</v>
      </c>
      <c r="V45" s="372">
        <f t="shared" si="87"/>
        <v>-3809972169.5077667</v>
      </c>
      <c r="W45" s="372">
        <f t="shared" si="87"/>
        <v>34978058612.859222</v>
      </c>
      <c r="X45" s="372">
        <f t="shared" si="87"/>
        <v>-39350138444.773788</v>
      </c>
      <c r="Y45" s="372">
        <f t="shared" si="87"/>
        <v>291419916478.59253</v>
      </c>
      <c r="Z45" s="372">
        <f t="shared" si="87"/>
        <v>-38086536080.03981</v>
      </c>
      <c r="AA45" s="372">
        <f t="shared" si="87"/>
        <v>-5761035217.6728287</v>
      </c>
      <c r="AB45" s="372">
        <f t="shared" ref="AB45:AE45" si="88">AB29-AB32</f>
        <v>-67164172435.305939</v>
      </c>
      <c r="AC45" s="372">
        <f t="shared" si="88"/>
        <v>106044459234.04871</v>
      </c>
      <c r="AD45" s="372">
        <f t="shared" si="88"/>
        <v>0</v>
      </c>
      <c r="AE45" s="372">
        <f t="shared" si="88"/>
        <v>0</v>
      </c>
      <c r="AF45" s="372">
        <f t="shared" si="87"/>
        <v>0</v>
      </c>
      <c r="AG45" s="372">
        <f t="shared" si="87"/>
        <v>87868937372.951431</v>
      </c>
      <c r="AH45" s="372">
        <f t="shared" si="87"/>
        <v>-34128183181.341812</v>
      </c>
      <c r="AI45" s="372">
        <f t="shared" si="87"/>
        <v>0</v>
      </c>
      <c r="AJ45" s="372">
        <f t="shared" ref="AJ45:AQ45" si="89">AJ29-AJ32</f>
        <v>0</v>
      </c>
      <c r="AK45" s="372">
        <f t="shared" ref="AK45:AN45" si="90">AK29-AK32</f>
        <v>0</v>
      </c>
      <c r="AL45" s="372">
        <f t="shared" si="90"/>
        <v>0</v>
      </c>
      <c r="AM45" s="372">
        <f t="shared" si="90"/>
        <v>0</v>
      </c>
      <c r="AN45" s="372">
        <f t="shared" si="90"/>
        <v>0</v>
      </c>
      <c r="AO45" s="372">
        <f t="shared" si="89"/>
        <v>0</v>
      </c>
      <c r="AP45" s="372">
        <f t="shared" si="89"/>
        <v>0</v>
      </c>
      <c r="AQ45" s="372">
        <f t="shared" si="89"/>
        <v>0</v>
      </c>
      <c r="AR45" s="372">
        <f t="shared" si="87"/>
        <v>0</v>
      </c>
    </row>
    <row r="46" spans="1:44" s="45" customFormat="1">
      <c r="A46" s="370" t="s">
        <v>36</v>
      </c>
      <c r="B46" s="370" t="s">
        <v>186</v>
      </c>
      <c r="C46" s="371">
        <f>AR46</f>
        <v>174884961488.00189</v>
      </c>
      <c r="D46" s="371">
        <f>D45</f>
        <v>0</v>
      </c>
      <c r="E46" s="371">
        <f>D46+E45</f>
        <v>0</v>
      </c>
      <c r="F46" s="371">
        <f t="shared" ref="F46:AR46" si="91">E46+F45</f>
        <v>0</v>
      </c>
      <c r="G46" s="371">
        <f t="shared" si="91"/>
        <v>0</v>
      </c>
      <c r="H46" s="371">
        <f t="shared" si="91"/>
        <v>0</v>
      </c>
      <c r="I46" s="371">
        <f t="shared" si="91"/>
        <v>0</v>
      </c>
      <c r="J46" s="371">
        <f t="shared" si="91"/>
        <v>0</v>
      </c>
      <c r="K46" s="371">
        <f t="shared" si="91"/>
        <v>0</v>
      </c>
      <c r="L46" s="371">
        <f t="shared" si="91"/>
        <v>0</v>
      </c>
      <c r="M46" s="371">
        <f t="shared" si="91"/>
        <v>-55146285023.795807</v>
      </c>
      <c r="N46" s="371">
        <f t="shared" si="91"/>
        <v>-99195673853.905548</v>
      </c>
      <c r="O46" s="371">
        <f t="shared" si="91"/>
        <v>-144807833877.24463</v>
      </c>
      <c r="P46" s="371">
        <f t="shared" si="91"/>
        <v>-191982765093.81302</v>
      </c>
      <c r="Q46" s="371">
        <f t="shared" si="91"/>
        <v>-121372515716.54959</v>
      </c>
      <c r="R46" s="371">
        <f t="shared" si="91"/>
        <v>-190314543070.1485</v>
      </c>
      <c r="S46" s="371">
        <f t="shared" si="91"/>
        <v>-213379344434.60974</v>
      </c>
      <c r="T46" s="371">
        <f t="shared" si="91"/>
        <v>-329639046849.93335</v>
      </c>
      <c r="U46" s="371">
        <f t="shared" si="91"/>
        <v>-157126372681.80811</v>
      </c>
      <c r="V46" s="371">
        <f t="shared" si="91"/>
        <v>-160936344851.31586</v>
      </c>
      <c r="W46" s="371">
        <f t="shared" si="91"/>
        <v>-125958286238.45663</v>
      </c>
      <c r="X46" s="371">
        <f t="shared" si="91"/>
        <v>-165308424683.23041</v>
      </c>
      <c r="Y46" s="371">
        <f t="shared" si="91"/>
        <v>126111491795.36212</v>
      </c>
      <c r="Z46" s="371">
        <f t="shared" si="91"/>
        <v>88024955715.322311</v>
      </c>
      <c r="AA46" s="371">
        <f t="shared" si="91"/>
        <v>82263920497.649475</v>
      </c>
      <c r="AB46" s="371">
        <f t="shared" si="91"/>
        <v>15099748062.343536</v>
      </c>
      <c r="AC46" s="371">
        <f t="shared" si="91"/>
        <v>121144207296.39224</v>
      </c>
      <c r="AD46" s="371">
        <f t="shared" si="91"/>
        <v>121144207296.39224</v>
      </c>
      <c r="AE46" s="371">
        <f t="shared" si="91"/>
        <v>121144207296.39224</v>
      </c>
      <c r="AF46" s="371">
        <f t="shared" si="91"/>
        <v>121144207296.39224</v>
      </c>
      <c r="AG46" s="371">
        <f t="shared" si="91"/>
        <v>209013144669.34369</v>
      </c>
      <c r="AH46" s="371">
        <f t="shared" si="91"/>
        <v>174884961488.00189</v>
      </c>
      <c r="AI46" s="371">
        <f t="shared" si="91"/>
        <v>174884961488.00189</v>
      </c>
      <c r="AJ46" s="371">
        <f t="shared" si="91"/>
        <v>174884961488.00189</v>
      </c>
      <c r="AK46" s="371">
        <f t="shared" si="91"/>
        <v>174884961488.00189</v>
      </c>
      <c r="AL46" s="371">
        <f t="shared" si="91"/>
        <v>174884961488.00189</v>
      </c>
      <c r="AM46" s="371">
        <f t="shared" si="91"/>
        <v>174884961488.00189</v>
      </c>
      <c r="AN46" s="371">
        <f t="shared" si="91"/>
        <v>174884961488.00189</v>
      </c>
      <c r="AO46" s="371">
        <f t="shared" si="91"/>
        <v>174884961488.00189</v>
      </c>
      <c r="AP46" s="371">
        <f t="shared" si="91"/>
        <v>174884961488.00189</v>
      </c>
      <c r="AQ46" s="371">
        <f t="shared" si="91"/>
        <v>174884961488.00189</v>
      </c>
      <c r="AR46" s="371">
        <f t="shared" si="91"/>
        <v>174884961488.00189</v>
      </c>
    </row>
    <row r="47" spans="1:44" s="45" customFormat="1">
      <c r="A47" s="222"/>
      <c r="B47" s="223"/>
      <c r="C47" s="224"/>
      <c r="D47" s="221"/>
      <c r="E47" s="221"/>
      <c r="F47" s="221"/>
      <c r="G47" s="221"/>
      <c r="H47" s="221"/>
      <c r="I47" s="221"/>
      <c r="J47" s="221"/>
      <c r="K47" s="221"/>
      <c r="L47" s="221"/>
      <c r="M47" s="221"/>
      <c r="N47" s="221"/>
      <c r="O47" s="221"/>
      <c r="P47" s="221"/>
      <c r="Q47" s="221"/>
      <c r="R47" s="221"/>
      <c r="S47" s="221"/>
      <c r="T47" s="221"/>
      <c r="U47" s="221"/>
      <c r="V47" s="221"/>
      <c r="W47" s="221"/>
      <c r="X47" s="221"/>
      <c r="Y47" s="221"/>
      <c r="Z47" s="221"/>
      <c r="AA47" s="221"/>
      <c r="AB47" s="221"/>
      <c r="AC47" s="221"/>
      <c r="AD47" s="221"/>
      <c r="AE47" s="221"/>
      <c r="AF47" s="221"/>
      <c r="AG47" s="221"/>
      <c r="AH47" s="221"/>
      <c r="AI47" s="221"/>
      <c r="AJ47" s="221"/>
      <c r="AK47" s="221"/>
      <c r="AL47" s="221"/>
      <c r="AM47" s="221"/>
      <c r="AN47" s="221"/>
      <c r="AO47" s="221"/>
      <c r="AP47" s="221"/>
      <c r="AQ47" s="221"/>
      <c r="AR47" s="221"/>
    </row>
    <row r="48" spans="1:44">
      <c r="A48" s="639" t="s">
        <v>187</v>
      </c>
      <c r="B48" s="639"/>
      <c r="C48" s="582">
        <f>I49+NPV('1. Tổng hợp'!E30,J49:Q49)</f>
        <v>16125998381.937307</v>
      </c>
      <c r="D48" s="582"/>
      <c r="F48" s="583" t="s">
        <v>188</v>
      </c>
      <c r="G48" s="584">
        <v>2023</v>
      </c>
      <c r="H48" s="584">
        <v>2024</v>
      </c>
      <c r="I48" s="584">
        <f t="shared" ref="I48" si="92">H48+1</f>
        <v>2025</v>
      </c>
      <c r="J48" s="584">
        <f t="shared" ref="J48" si="93">I48+1</f>
        <v>2026</v>
      </c>
      <c r="K48" s="584">
        <f t="shared" ref="K48" si="94">J48+1</f>
        <v>2027</v>
      </c>
      <c r="L48" s="584">
        <f t="shared" ref="L48" si="95">K48+1</f>
        <v>2028</v>
      </c>
      <c r="M48" s="584">
        <f t="shared" ref="M48:Q48" si="96">L48+1</f>
        <v>2029</v>
      </c>
      <c r="N48" s="584">
        <f t="shared" si="96"/>
        <v>2030</v>
      </c>
      <c r="O48" s="584">
        <f t="shared" si="96"/>
        <v>2031</v>
      </c>
      <c r="P48" s="584">
        <f t="shared" si="96"/>
        <v>2032</v>
      </c>
      <c r="Q48" s="584">
        <f t="shared" si="96"/>
        <v>2033</v>
      </c>
    </row>
    <row r="49" spans="1:17">
      <c r="A49" s="639" t="s">
        <v>173</v>
      </c>
      <c r="B49" s="639"/>
      <c r="C49" s="585">
        <f>IRR(I50:Q50)</f>
        <v>0.17607408222806331</v>
      </c>
      <c r="D49" s="582"/>
      <c r="F49" s="586" t="s">
        <v>190</v>
      </c>
      <c r="G49" s="587">
        <f>SUMIFS($D$45:$AR$45,$D$27:$AR$27,G48)</f>
        <v>0</v>
      </c>
      <c r="H49" s="587">
        <f t="shared" ref="H49:Q49" si="97">SUMIFS($D$45:$AR$45,$D$27:$AR$27,H48)</f>
        <v>0</v>
      </c>
      <c r="I49" s="587">
        <f t="shared" si="97"/>
        <v>0</v>
      </c>
      <c r="J49" s="587">
        <f t="shared" si="97"/>
        <v>-191982765093.81302</v>
      </c>
      <c r="K49" s="587">
        <f t="shared" si="97"/>
        <v>-137656281756.1203</v>
      </c>
      <c r="L49" s="587">
        <f t="shared" si="97"/>
        <v>164330622166.70294</v>
      </c>
      <c r="M49" s="587">
        <f t="shared" si="97"/>
        <v>180408172745.57397</v>
      </c>
      <c r="N49" s="587">
        <f t="shared" si="97"/>
        <v>106044459234.04871</v>
      </c>
      <c r="O49" s="587">
        <f t="shared" si="97"/>
        <v>53740754191.609619</v>
      </c>
      <c r="P49" s="587">
        <f t="shared" si="97"/>
        <v>0</v>
      </c>
      <c r="Q49" s="587">
        <f t="shared" si="97"/>
        <v>0</v>
      </c>
    </row>
    <row r="50" spans="1:17">
      <c r="A50" s="639" t="s">
        <v>174</v>
      </c>
      <c r="B50" s="639"/>
      <c r="C50" s="578">
        <f>COUNTIFS(I51:Q51,"&lt;0")</f>
        <v>3</v>
      </c>
      <c r="D50" s="412" cm="1">
        <f t="array" ref="D50">12-ABS(INDEX($I$50:$Q$51,2,C50+1)/INDEX($I$50:$Q$51,1,C50+1))*12+1</f>
        <v>0.92859742120110411</v>
      </c>
      <c r="F50" s="586" t="s">
        <v>191</v>
      </c>
      <c r="G50" s="587">
        <f t="shared" ref="G50:M50" si="98">G49/10^6</f>
        <v>0</v>
      </c>
      <c r="H50" s="587">
        <f t="shared" si="98"/>
        <v>0</v>
      </c>
      <c r="I50" s="587">
        <f t="shared" si="98"/>
        <v>0</v>
      </c>
      <c r="J50" s="587">
        <f t="shared" si="98"/>
        <v>-191982.76509381301</v>
      </c>
      <c r="K50" s="587">
        <f t="shared" si="98"/>
        <v>-137656.2817561203</v>
      </c>
      <c r="L50" s="587">
        <f t="shared" si="98"/>
        <v>164330.62216670293</v>
      </c>
      <c r="M50" s="587">
        <f t="shared" si="98"/>
        <v>180408.17274557397</v>
      </c>
      <c r="N50" s="587">
        <f t="shared" ref="N50:O50" si="99">N49/10^6</f>
        <v>106044.4592340487</v>
      </c>
      <c r="O50" s="587">
        <f t="shared" si="99"/>
        <v>53740.754191609616</v>
      </c>
      <c r="P50" s="587">
        <f t="shared" ref="P50:Q50" si="100">P49/10^6</f>
        <v>0</v>
      </c>
      <c r="Q50" s="587">
        <f t="shared" si="100"/>
        <v>0</v>
      </c>
    </row>
    <row r="51" spans="1:17">
      <c r="F51" s="586" t="s">
        <v>193</v>
      </c>
      <c r="G51" s="587">
        <f>SUM($G$50:G50)</f>
        <v>0</v>
      </c>
      <c r="H51" s="587">
        <f>SUM($G$50:H50)</f>
        <v>0</v>
      </c>
      <c r="I51" s="587">
        <f>SUM($G$50:I50)</f>
        <v>0</v>
      </c>
      <c r="J51" s="587">
        <f>SUM($G$50:J50)</f>
        <v>-191982.76509381301</v>
      </c>
      <c r="K51" s="587">
        <f>SUM($G$50:K50)</f>
        <v>-329639.04684993334</v>
      </c>
      <c r="L51" s="587">
        <f>SUM($G$50:L50)</f>
        <v>-165308.42468323041</v>
      </c>
      <c r="M51" s="587">
        <f>SUM($G$50:M50)</f>
        <v>15099.748062343569</v>
      </c>
      <c r="N51" s="587">
        <f>SUM($G$50:N50)</f>
        <v>121144.20729639227</v>
      </c>
      <c r="O51" s="587">
        <f>SUM($G$50:O50)</f>
        <v>174884.96148800189</v>
      </c>
      <c r="P51" s="587">
        <f>SUM($G$50:P50)</f>
        <v>174884.96148800189</v>
      </c>
      <c r="Q51" s="587">
        <f>SUM($G$50:Q50)</f>
        <v>174884.96148800189</v>
      </c>
    </row>
    <row r="52" spans="1:17">
      <c r="C52" s="461"/>
    </row>
  </sheetData>
  <mergeCells count="12">
    <mergeCell ref="A50:B50"/>
    <mergeCell ref="A22:B22"/>
    <mergeCell ref="A1:F1"/>
    <mergeCell ref="A2:F2"/>
    <mergeCell ref="A3:F3"/>
    <mergeCell ref="A20:B20"/>
    <mergeCell ref="A21:B21"/>
    <mergeCell ref="A26:B26"/>
    <mergeCell ref="A23:B23"/>
    <mergeCell ref="A24:B24"/>
    <mergeCell ref="A48:B48"/>
    <mergeCell ref="A49:B49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D65A5-0300-47C0-9CDF-D3CBED3645F2}">
  <dimension ref="A1:AR30"/>
  <sheetViews>
    <sheetView showGridLines="0" zoomScaleNormal="100" workbookViewId="0">
      <pane xSplit="3" ySplit="5" topLeftCell="D6" activePane="bottomRight" state="frozen"/>
      <selection pane="topRight" activeCell="E1" sqref="E1"/>
      <selection pane="bottomLeft" activeCell="A5" sqref="A5"/>
      <selection pane="bottomRight" activeCell="B11" sqref="B11"/>
    </sheetView>
  </sheetViews>
  <sheetFormatPr defaultColWidth="10.26953125" defaultRowHeight="14"/>
  <cols>
    <col min="1" max="1" width="5.7265625" style="424" customWidth="1"/>
    <col min="2" max="2" width="34.7265625" style="424" bestFit="1" customWidth="1"/>
    <col min="3" max="3" width="19.7265625" style="455" bestFit="1" customWidth="1"/>
    <col min="4" max="6" width="18.26953125" style="424" bestFit="1" customWidth="1"/>
    <col min="7" max="7" width="18" style="424" bestFit="1" customWidth="1"/>
    <col min="8" max="8" width="18.26953125" style="424" bestFit="1" customWidth="1"/>
    <col min="9" max="10" width="18.7265625" style="424" bestFit="1" customWidth="1"/>
    <col min="11" max="12" width="18.26953125" style="424" bestFit="1" customWidth="1"/>
    <col min="13" max="18" width="19.7265625" style="424" bestFit="1" customWidth="1"/>
    <col min="19" max="44" width="19.26953125" style="424" bestFit="1" customWidth="1"/>
    <col min="45" max="16384" width="10.26953125" style="424"/>
  </cols>
  <sheetData>
    <row r="1" spans="1:44" s="422" customFormat="1" ht="22.5">
      <c r="A1" s="620" t="s">
        <v>200</v>
      </c>
      <c r="B1" s="620"/>
      <c r="C1" s="620"/>
      <c r="D1" s="620"/>
    </row>
    <row r="2" spans="1:44" s="422" customFormat="1" ht="18" customHeight="1">
      <c r="A2" s="621"/>
      <c r="B2" s="621"/>
      <c r="C2" s="621"/>
      <c r="D2" s="621"/>
    </row>
    <row r="3" spans="1:44" s="422" customFormat="1" ht="18" customHeight="1">
      <c r="A3" s="621"/>
      <c r="B3" s="621"/>
      <c r="C3" s="621"/>
      <c r="D3" s="621"/>
      <c r="E3" s="423"/>
      <c r="F3" s="423"/>
    </row>
    <row r="4" spans="1:44" s="422" customFormat="1" ht="18" customHeight="1">
      <c r="A4" s="42"/>
      <c r="B4" s="42"/>
      <c r="C4" s="42"/>
      <c r="D4" s="42"/>
    </row>
    <row r="5" spans="1:44" ht="15">
      <c r="A5" s="393" t="s">
        <v>48</v>
      </c>
      <c r="B5" s="393" t="s">
        <v>196</v>
      </c>
      <c r="C5" s="590" t="s">
        <v>177</v>
      </c>
      <c r="D5" s="591">
        <f>'4. Vay'!E6</f>
        <v>45291</v>
      </c>
      <c r="E5" s="591">
        <f>'4. Vay'!F6</f>
        <v>45382</v>
      </c>
      <c r="F5" s="591">
        <f>'4. Vay'!G6</f>
        <v>45473</v>
      </c>
      <c r="G5" s="591">
        <f>'4. Vay'!H6</f>
        <v>45565</v>
      </c>
      <c r="H5" s="591">
        <f>'4. Vay'!I6</f>
        <v>45657</v>
      </c>
      <c r="I5" s="591">
        <f>'4. Vay'!J6</f>
        <v>45747</v>
      </c>
      <c r="J5" s="591">
        <f>'4. Vay'!K6</f>
        <v>45838</v>
      </c>
      <c r="K5" s="591">
        <f>'4. Vay'!L6</f>
        <v>45930</v>
      </c>
      <c r="L5" s="591">
        <f>'4. Vay'!M6</f>
        <v>46022</v>
      </c>
      <c r="M5" s="591">
        <f>'4. Vay'!N6</f>
        <v>46112</v>
      </c>
      <c r="N5" s="591">
        <f>'4. Vay'!O6</f>
        <v>46203</v>
      </c>
      <c r="O5" s="591">
        <f>'4. Vay'!P6</f>
        <v>46295</v>
      </c>
      <c r="P5" s="591">
        <f>'4. Vay'!Q6</f>
        <v>46387</v>
      </c>
      <c r="Q5" s="591">
        <f>'4. Vay'!R6</f>
        <v>46477</v>
      </c>
      <c r="R5" s="591">
        <f>'4. Vay'!S6</f>
        <v>46568</v>
      </c>
      <c r="S5" s="591">
        <f>'4. Vay'!T6</f>
        <v>46660</v>
      </c>
      <c r="T5" s="591">
        <f>'4. Vay'!U6</f>
        <v>46752</v>
      </c>
      <c r="U5" s="591">
        <f>'4. Vay'!V6</f>
        <v>46843</v>
      </c>
      <c r="V5" s="591">
        <f>'4. Vay'!W6</f>
        <v>46934</v>
      </c>
      <c r="W5" s="591">
        <f>'4. Vay'!X6</f>
        <v>47026</v>
      </c>
      <c r="X5" s="591">
        <f>'4. Vay'!Y6</f>
        <v>47118</v>
      </c>
      <c r="Y5" s="591">
        <f>'4. Vay'!Z6</f>
        <v>47208</v>
      </c>
      <c r="Z5" s="591">
        <f>'4. Vay'!AA6</f>
        <v>47299</v>
      </c>
      <c r="AA5" s="591">
        <f>'4. Vay'!AB6</f>
        <v>47391</v>
      </c>
      <c r="AB5" s="591">
        <f>'4. Vay'!AC6</f>
        <v>47483</v>
      </c>
      <c r="AC5" s="591">
        <f>'4. Vay'!AD6</f>
        <v>47573</v>
      </c>
      <c r="AD5" s="591">
        <f>'4. Vay'!AE6</f>
        <v>47664</v>
      </c>
      <c r="AE5" s="591">
        <f>'4. Vay'!AF6</f>
        <v>47756</v>
      </c>
      <c r="AF5" s="591">
        <f>'4. Vay'!AG6</f>
        <v>47848</v>
      </c>
      <c r="AG5" s="591">
        <f>'4. Vay'!AH6</f>
        <v>47938</v>
      </c>
      <c r="AH5" s="591">
        <f>'4. Vay'!AI6</f>
        <v>48029</v>
      </c>
      <c r="AI5" s="591">
        <f>'4. Vay'!AJ6</f>
        <v>48121</v>
      </c>
      <c r="AJ5" s="591">
        <f>'4. Vay'!AK6</f>
        <v>48213</v>
      </c>
      <c r="AK5" s="591">
        <f>'4. Vay'!AL6</f>
        <v>48304</v>
      </c>
      <c r="AL5" s="591">
        <f>'4. Vay'!AM6</f>
        <v>48395</v>
      </c>
      <c r="AM5" s="591">
        <f>'4. Vay'!AN6</f>
        <v>48487</v>
      </c>
      <c r="AN5" s="591">
        <f>'4. Vay'!AO6</f>
        <v>48579</v>
      </c>
      <c r="AO5" s="591">
        <f>'4. Vay'!AP6</f>
        <v>48669</v>
      </c>
      <c r="AP5" s="591">
        <f>'4. Vay'!AQ6</f>
        <v>48760</v>
      </c>
      <c r="AQ5" s="591">
        <f>'4. Vay'!AR6</f>
        <v>48852</v>
      </c>
      <c r="AR5" s="591">
        <f>'4. Vay'!AS6</f>
        <v>48944</v>
      </c>
    </row>
    <row r="6" spans="1:44" s="428" customFormat="1">
      <c r="A6" s="425" t="s">
        <v>1</v>
      </c>
      <c r="B6" s="426" t="s">
        <v>197</v>
      </c>
      <c r="C6" s="427">
        <f>SUM(C7:C9)</f>
        <v>2584413760209.4678</v>
      </c>
      <c r="D6" s="427">
        <f>SUM(D7:D9)</f>
        <v>0</v>
      </c>
      <c r="E6" s="427">
        <f t="shared" ref="E6:AR6" si="0">SUM(E7:E9)</f>
        <v>0</v>
      </c>
      <c r="F6" s="427">
        <f t="shared" si="0"/>
        <v>0</v>
      </c>
      <c r="G6" s="427">
        <f t="shared" si="0"/>
        <v>0</v>
      </c>
      <c r="H6" s="427">
        <f t="shared" si="0"/>
        <v>0</v>
      </c>
      <c r="I6" s="427">
        <f t="shared" si="0"/>
        <v>0</v>
      </c>
      <c r="J6" s="427">
        <f t="shared" si="0"/>
        <v>0</v>
      </c>
      <c r="K6" s="427">
        <f t="shared" si="0"/>
        <v>0</v>
      </c>
      <c r="L6" s="427">
        <f t="shared" si="0"/>
        <v>0</v>
      </c>
      <c r="M6" s="427">
        <f t="shared" si="0"/>
        <v>182280595433.75848</v>
      </c>
      <c r="N6" s="427">
        <f t="shared" si="0"/>
        <v>141170534967.9585</v>
      </c>
      <c r="O6" s="427">
        <f t="shared" si="0"/>
        <v>143170534967.9585</v>
      </c>
      <c r="P6" s="427">
        <f t="shared" si="0"/>
        <v>146170534967.9585</v>
      </c>
      <c r="Q6" s="427">
        <f t="shared" si="0"/>
        <v>289326266967.9585</v>
      </c>
      <c r="R6" s="427">
        <f t="shared" si="0"/>
        <v>162459467967.9585</v>
      </c>
      <c r="S6" s="427">
        <f t="shared" si="0"/>
        <v>225748400967.9585</v>
      </c>
      <c r="T6" s="427">
        <f t="shared" si="0"/>
        <v>96170534967.958496</v>
      </c>
      <c r="U6" s="427">
        <f t="shared" si="0"/>
        <v>257557497000</v>
      </c>
      <c r="V6" s="427">
        <f t="shared" si="0"/>
        <v>72760343000</v>
      </c>
      <c r="W6" s="427">
        <f t="shared" si="0"/>
        <v>112036811000</v>
      </c>
      <c r="X6" s="427">
        <f t="shared" si="0"/>
        <v>33483875000</v>
      </c>
      <c r="Y6" s="427">
        <f t="shared" ref="Y6:AQ6" si="1">SUM(Y7:Y9)</f>
        <v>408980963000</v>
      </c>
      <c r="Z6" s="427">
        <f t="shared" si="1"/>
        <v>32544665999.999996</v>
      </c>
      <c r="AA6" s="427">
        <f t="shared" si="1"/>
        <v>65089331999.999992</v>
      </c>
      <c r="AB6" s="427">
        <f t="shared" si="1"/>
        <v>0</v>
      </c>
      <c r="AC6" s="427">
        <f t="shared" si="1"/>
        <v>117829404000</v>
      </c>
      <c r="AD6" s="427">
        <f t="shared" si="1"/>
        <v>0</v>
      </c>
      <c r="AE6" s="427">
        <f t="shared" ref="AE6:AH6" si="2">SUM(AE7:AE9)</f>
        <v>0</v>
      </c>
      <c r="AF6" s="427">
        <f t="shared" si="2"/>
        <v>0</v>
      </c>
      <c r="AG6" s="427">
        <f t="shared" si="2"/>
        <v>97633997999.999985</v>
      </c>
      <c r="AH6" s="427">
        <f t="shared" si="2"/>
        <v>0</v>
      </c>
      <c r="AI6" s="427">
        <f t="shared" si="1"/>
        <v>0</v>
      </c>
      <c r="AJ6" s="427">
        <f t="shared" si="1"/>
        <v>0</v>
      </c>
      <c r="AK6" s="427">
        <f t="shared" si="1"/>
        <v>0</v>
      </c>
      <c r="AL6" s="427">
        <f t="shared" si="1"/>
        <v>0</v>
      </c>
      <c r="AM6" s="427">
        <f t="shared" ref="AM6:AP6" si="3">SUM(AM7:AM9)</f>
        <v>0</v>
      </c>
      <c r="AN6" s="427">
        <f t="shared" si="3"/>
        <v>0</v>
      </c>
      <c r="AO6" s="427">
        <f t="shared" si="3"/>
        <v>0</v>
      </c>
      <c r="AP6" s="427">
        <f t="shared" si="3"/>
        <v>0</v>
      </c>
      <c r="AQ6" s="427">
        <f t="shared" si="1"/>
        <v>0</v>
      </c>
      <c r="AR6" s="427">
        <f t="shared" si="0"/>
        <v>0</v>
      </c>
    </row>
    <row r="7" spans="1:44" s="428" customFormat="1">
      <c r="A7" s="429">
        <v>1</v>
      </c>
      <c r="B7" s="430" t="s">
        <v>178</v>
      </c>
      <c r="C7" s="431">
        <f t="shared" ref="C7:C22" si="4">SUM(D7:AR7)</f>
        <v>1535939420000</v>
      </c>
      <c r="D7" s="432">
        <f>+'5. KHBH'!FK12</f>
        <v>0</v>
      </c>
      <c r="E7" s="432">
        <f>+'5. KHBH'!FL12</f>
        <v>0</v>
      </c>
      <c r="F7" s="432">
        <f>+'5. KHBH'!FM12</f>
        <v>0</v>
      </c>
      <c r="G7" s="432">
        <f>+'5. KHBH'!FN12</f>
        <v>0</v>
      </c>
      <c r="H7" s="432">
        <f>+'5. KHBH'!FO12</f>
        <v>0</v>
      </c>
      <c r="I7" s="432">
        <f>+'5. KHBH'!FP12</f>
        <v>0</v>
      </c>
      <c r="J7" s="432">
        <f>+'5. KHBH'!FQ12</f>
        <v>0</v>
      </c>
      <c r="K7" s="432">
        <f>+'5. KHBH'!FR12</f>
        <v>0</v>
      </c>
      <c r="L7" s="432">
        <f>+'5. KHBH'!FS12</f>
        <v>0</v>
      </c>
      <c r="M7" s="432">
        <f>+'5. KHBH'!FT12</f>
        <v>0</v>
      </c>
      <c r="N7" s="432">
        <f>+'5. KHBH'!FU12</f>
        <v>0</v>
      </c>
      <c r="O7" s="432">
        <f>+'5. KHBH'!FV12</f>
        <v>0</v>
      </c>
      <c r="P7" s="432">
        <f>+'5. KHBH'!FW12</f>
        <v>0</v>
      </c>
      <c r="Q7" s="432">
        <f>+'5. KHBH'!FX12</f>
        <v>193155731999.99997</v>
      </c>
      <c r="R7" s="432">
        <f>+'5. KHBH'!FY12</f>
        <v>48288933000</v>
      </c>
      <c r="S7" s="432">
        <f>+'5. KHBH'!FZ12</f>
        <v>96577866000</v>
      </c>
      <c r="T7" s="432">
        <f>+'5. KHBH'!GA12</f>
        <v>0</v>
      </c>
      <c r="U7" s="432">
        <f>+'5. KHBH'!GB12</f>
        <v>257557497000</v>
      </c>
      <c r="V7" s="432">
        <f>+'5. KHBH'!GC12</f>
        <v>72760343000</v>
      </c>
      <c r="W7" s="432">
        <f>+'5. KHBH'!GD12</f>
        <v>112036811000</v>
      </c>
      <c r="X7" s="432">
        <f>+'5. KHBH'!GE12</f>
        <v>33483875000</v>
      </c>
      <c r="Y7" s="432">
        <f>+'5. KHBH'!GF12</f>
        <v>408980963000</v>
      </c>
      <c r="Z7" s="432">
        <f>+'5. KHBH'!GG12</f>
        <v>32544665999.999996</v>
      </c>
      <c r="AA7" s="432">
        <f>+'5. KHBH'!GH12</f>
        <v>65089331999.999992</v>
      </c>
      <c r="AB7" s="432">
        <f>+'5. KHBH'!GI12</f>
        <v>0</v>
      </c>
      <c r="AC7" s="432">
        <f>+'5. KHBH'!GJ12</f>
        <v>117829404000</v>
      </c>
      <c r="AD7" s="432">
        <f>+'5. KHBH'!GK12</f>
        <v>0</v>
      </c>
      <c r="AE7" s="432">
        <f>+'5. KHBH'!GL12</f>
        <v>0</v>
      </c>
      <c r="AF7" s="432">
        <f>+'5. KHBH'!GM12</f>
        <v>0</v>
      </c>
      <c r="AG7" s="432">
        <f>+'5. KHBH'!GN12</f>
        <v>97633997999.999985</v>
      </c>
      <c r="AH7" s="432">
        <f>+'5. KHBH'!GO12</f>
        <v>0</v>
      </c>
      <c r="AI7" s="432">
        <f>+'5. KHBH'!GP12</f>
        <v>0</v>
      </c>
      <c r="AJ7" s="432">
        <f>+'5. KHBH'!GQ12</f>
        <v>0</v>
      </c>
      <c r="AK7" s="432">
        <f>+'5. KHBH'!GR12</f>
        <v>0</v>
      </c>
      <c r="AL7" s="432">
        <f>+'5. KHBH'!GS12</f>
        <v>0</v>
      </c>
      <c r="AM7" s="432">
        <f>+'5. KHBH'!GT12</f>
        <v>0</v>
      </c>
      <c r="AN7" s="432">
        <f>+'5. KHBH'!GU12</f>
        <v>0</v>
      </c>
      <c r="AO7" s="432">
        <f>+'5. KHBH'!GV12</f>
        <v>0</v>
      </c>
      <c r="AP7" s="432">
        <f>+'5. KHBH'!GW12</f>
        <v>0</v>
      </c>
      <c r="AQ7" s="432">
        <f>+'5. KHBH'!GX12</f>
        <v>0</v>
      </c>
      <c r="AR7" s="432">
        <f>+'5. KHBH'!GY12</f>
        <v>0</v>
      </c>
    </row>
    <row r="8" spans="1:44" s="428" customFormat="1">
      <c r="A8" s="433">
        <v>2</v>
      </c>
      <c r="B8" s="434" t="s">
        <v>41</v>
      </c>
      <c r="C8" s="431">
        <f t="shared" si="4"/>
        <v>799474340209.46802</v>
      </c>
      <c r="D8" s="435">
        <f>'4. Vay'!E9</f>
        <v>0</v>
      </c>
      <c r="E8" s="435">
        <f>'4. Vay'!F9</f>
        <v>0</v>
      </c>
      <c r="F8" s="435">
        <f>'4. Vay'!G9</f>
        <v>0</v>
      </c>
      <c r="G8" s="435">
        <f>'4. Vay'!H9</f>
        <v>0</v>
      </c>
      <c r="H8" s="435">
        <f>'4. Vay'!I9</f>
        <v>0</v>
      </c>
      <c r="I8" s="435">
        <f>'4. Vay'!J9</f>
        <v>0</v>
      </c>
      <c r="J8" s="435">
        <f>'4. Vay'!K9</f>
        <v>0</v>
      </c>
      <c r="K8" s="435">
        <f>'4. Vay'!L9</f>
        <v>0</v>
      </c>
      <c r="L8" s="435">
        <f>'4. Vay'!M9</f>
        <v>0</v>
      </c>
      <c r="M8" s="435">
        <f>'4. Vay'!N9</f>
        <v>126280595433.75848</v>
      </c>
      <c r="N8" s="435">
        <f>'4. Vay'!O9</f>
        <v>96170534967.958496</v>
      </c>
      <c r="O8" s="435">
        <f>'4. Vay'!P9</f>
        <v>96170534967.958496</v>
      </c>
      <c r="P8" s="435">
        <f>'4. Vay'!Q9</f>
        <v>96170534967.958496</v>
      </c>
      <c r="Q8" s="435">
        <f>'4. Vay'!R9</f>
        <v>96170534967.958496</v>
      </c>
      <c r="R8" s="435">
        <f>'4. Vay'!S9</f>
        <v>96170534967.958496</v>
      </c>
      <c r="S8" s="435">
        <f>'4. Vay'!T9</f>
        <v>96170534967.958496</v>
      </c>
      <c r="T8" s="435">
        <f>'4. Vay'!U9</f>
        <v>96170534967.958496</v>
      </c>
      <c r="U8" s="435">
        <f>'4. Vay'!V9</f>
        <v>0</v>
      </c>
      <c r="V8" s="435">
        <f>'4. Vay'!W9</f>
        <v>0</v>
      </c>
      <c r="W8" s="435">
        <f>'4. Vay'!X9</f>
        <v>0</v>
      </c>
      <c r="X8" s="435">
        <f>'4. Vay'!Y9</f>
        <v>0</v>
      </c>
      <c r="Y8" s="435">
        <f>'4. Vay'!Z9</f>
        <v>0</v>
      </c>
      <c r="Z8" s="435">
        <f>'4. Vay'!AA9</f>
        <v>0</v>
      </c>
      <c r="AA8" s="435">
        <f>'4. Vay'!AB9</f>
        <v>0</v>
      </c>
      <c r="AB8" s="435">
        <f>'4. Vay'!AC9</f>
        <v>0</v>
      </c>
      <c r="AC8" s="435">
        <f>'4. Vay'!AD9</f>
        <v>0</v>
      </c>
      <c r="AD8" s="435">
        <f>'4. Vay'!AE9</f>
        <v>0</v>
      </c>
      <c r="AE8" s="435">
        <f>'4. Vay'!AF9</f>
        <v>0</v>
      </c>
      <c r="AF8" s="435">
        <f>'4. Vay'!AG9</f>
        <v>0</v>
      </c>
      <c r="AG8" s="435">
        <f>'4. Vay'!AH9</f>
        <v>0</v>
      </c>
      <c r="AH8" s="435">
        <f>'4. Vay'!AI9</f>
        <v>0</v>
      </c>
      <c r="AI8" s="435">
        <f>'4. Vay'!AJ9</f>
        <v>0</v>
      </c>
      <c r="AJ8" s="435">
        <f>'4. Vay'!AK9</f>
        <v>0</v>
      </c>
      <c r="AK8" s="435">
        <f>'4. Vay'!AL9</f>
        <v>0</v>
      </c>
      <c r="AL8" s="435">
        <f>'4. Vay'!AM9</f>
        <v>0</v>
      </c>
      <c r="AM8" s="435">
        <f>'4. Vay'!AN9</f>
        <v>0</v>
      </c>
      <c r="AN8" s="435">
        <f>'4. Vay'!AO9</f>
        <v>0</v>
      </c>
      <c r="AO8" s="435">
        <f>'4. Vay'!AP9</f>
        <v>0</v>
      </c>
      <c r="AP8" s="435">
        <f>'4. Vay'!AQ9</f>
        <v>0</v>
      </c>
      <c r="AQ8" s="435">
        <f>'4. Vay'!AR9</f>
        <v>0</v>
      </c>
      <c r="AR8" s="435">
        <f>'4. Vay'!AS9</f>
        <v>0</v>
      </c>
    </row>
    <row r="9" spans="1:44" s="428" customFormat="1">
      <c r="A9" s="433">
        <v>3</v>
      </c>
      <c r="B9" s="434" t="s">
        <v>201</v>
      </c>
      <c r="C9" s="431">
        <f t="shared" si="4"/>
        <v>249000000000</v>
      </c>
      <c r="D9" s="435">
        <v>0</v>
      </c>
      <c r="E9" s="435"/>
      <c r="F9" s="435">
        <v>0</v>
      </c>
      <c r="G9" s="435"/>
      <c r="H9" s="435"/>
      <c r="I9" s="435"/>
      <c r="J9" s="435"/>
      <c r="K9" s="435"/>
      <c r="L9" s="435"/>
      <c r="M9" s="435">
        <f>56*10^9</f>
        <v>56000000000</v>
      </c>
      <c r="N9" s="435">
        <f>45*10^9</f>
        <v>45000000000</v>
      </c>
      <c r="O9" s="435">
        <f>47*10^9</f>
        <v>47000000000</v>
      </c>
      <c r="P9" s="435">
        <f>50*10^9</f>
        <v>50000000000</v>
      </c>
      <c r="Q9" s="435"/>
      <c r="R9" s="435">
        <f>18*10^9</f>
        <v>18000000000</v>
      </c>
      <c r="S9" s="435">
        <f>33*10^9</f>
        <v>33000000000</v>
      </c>
      <c r="T9" s="435"/>
      <c r="U9" s="435"/>
      <c r="V9" s="435"/>
      <c r="W9" s="435"/>
      <c r="X9" s="435"/>
      <c r="Y9" s="435"/>
      <c r="Z9" s="435"/>
      <c r="AA9" s="435"/>
      <c r="AB9" s="435"/>
      <c r="AC9" s="435"/>
      <c r="AD9" s="435"/>
      <c r="AE9" s="435"/>
      <c r="AF9" s="435"/>
      <c r="AG9" s="435"/>
      <c r="AH9" s="435"/>
      <c r="AI9" s="435"/>
      <c r="AJ9" s="435"/>
      <c r="AK9" s="435"/>
      <c r="AL9" s="435"/>
      <c r="AM9" s="435"/>
      <c r="AN9" s="435"/>
      <c r="AO9" s="435"/>
      <c r="AP9" s="435"/>
      <c r="AQ9" s="435"/>
      <c r="AR9" s="435"/>
    </row>
    <row r="10" spans="1:44" s="428" customFormat="1">
      <c r="A10" s="436" t="s">
        <v>18</v>
      </c>
      <c r="B10" s="437" t="s">
        <v>179</v>
      </c>
      <c r="C10" s="438">
        <f t="shared" si="4"/>
        <v>2266295294758.3315</v>
      </c>
      <c r="D10" s="439">
        <f t="shared" ref="D10:AR10" si="5">SUM(D11:D19)</f>
        <v>0</v>
      </c>
      <c r="E10" s="439">
        <f t="shared" si="5"/>
        <v>0</v>
      </c>
      <c r="F10" s="439">
        <f t="shared" si="5"/>
        <v>0</v>
      </c>
      <c r="G10" s="439">
        <f t="shared" si="5"/>
        <v>0</v>
      </c>
      <c r="H10" s="439">
        <f t="shared" si="5"/>
        <v>0</v>
      </c>
      <c r="I10" s="439">
        <f t="shared" si="5"/>
        <v>0</v>
      </c>
      <c r="J10" s="439">
        <f t="shared" si="5"/>
        <v>0</v>
      </c>
      <c r="K10" s="439">
        <f t="shared" si="5"/>
        <v>0</v>
      </c>
      <c r="L10" s="439">
        <f t="shared" si="5"/>
        <v>0</v>
      </c>
      <c r="M10" s="439">
        <f t="shared" si="5"/>
        <v>181426880457.55429</v>
      </c>
      <c r="N10" s="439">
        <f t="shared" si="5"/>
        <v>140219923798.06824</v>
      </c>
      <c r="O10" s="439">
        <f t="shared" si="5"/>
        <v>141782694991.29758</v>
      </c>
      <c r="P10" s="439">
        <f>SUM(P11:P19)</f>
        <v>143345466184.52689</v>
      </c>
      <c r="Q10" s="439">
        <f t="shared" si="5"/>
        <v>218716017590.69507</v>
      </c>
      <c r="R10" s="439">
        <f t="shared" si="5"/>
        <v>213401495321.5574</v>
      </c>
      <c r="S10" s="439">
        <f t="shared" si="5"/>
        <v>215813202332.41974</v>
      </c>
      <c r="T10" s="439">
        <f t="shared" si="5"/>
        <v>212430237383.28207</v>
      </c>
      <c r="U10" s="439">
        <f t="shared" si="5"/>
        <v>85044822831.874756</v>
      </c>
      <c r="V10" s="439">
        <f t="shared" si="5"/>
        <v>76570315169.507767</v>
      </c>
      <c r="W10" s="439">
        <f t="shared" si="5"/>
        <v>77058752387.140778</v>
      </c>
      <c r="X10" s="439">
        <f t="shared" si="5"/>
        <v>72834013444.773788</v>
      </c>
      <c r="Y10" s="439">
        <f t="shared" ref="Y10:AQ10" si="6">SUM(Y11:Y19)</f>
        <v>120808911028.50841</v>
      </c>
      <c r="Z10" s="439">
        <f t="shared" si="6"/>
        <v>73879066587.140778</v>
      </c>
      <c r="AA10" s="439">
        <f t="shared" si="6"/>
        <v>74098231724.773788</v>
      </c>
      <c r="AB10" s="439">
        <f t="shared" si="6"/>
        <v>74742522951.874847</v>
      </c>
      <c r="AC10" s="439">
        <f t="shared" si="6"/>
        <v>18821984531.336708</v>
      </c>
      <c r="AD10" s="439">
        <f t="shared" si="6"/>
        <v>5954418263.0184364</v>
      </c>
      <c r="AE10" s="439">
        <f t="shared" ref="AE10:AH10" si="7">SUM(AE11:AE19)</f>
        <v>4396216465.6425638</v>
      </c>
      <c r="AF10" s="439">
        <f t="shared" si="7"/>
        <v>1026029837.8992877</v>
      </c>
      <c r="AG10" s="439">
        <f t="shared" si="7"/>
        <v>12598505899.461792</v>
      </c>
      <c r="AH10" s="439">
        <f t="shared" si="7"/>
        <v>38524399646.984375</v>
      </c>
      <c r="AI10" s="439">
        <f t="shared" si="6"/>
        <v>7940747482.6423979</v>
      </c>
      <c r="AJ10" s="439">
        <f t="shared" si="6"/>
        <v>6980448100.9177208</v>
      </c>
      <c r="AK10" s="439">
        <f t="shared" si="6"/>
        <v>7460597791.7800589</v>
      </c>
      <c r="AL10" s="439">
        <f t="shared" si="6"/>
        <v>7940747482.6423979</v>
      </c>
      <c r="AM10" s="439">
        <f t="shared" ref="AM10:AP10" si="8">SUM(AM11:AM19)</f>
        <v>5954418263.0184364</v>
      </c>
      <c r="AN10" s="439">
        <f t="shared" si="8"/>
        <v>8119661267.7524109</v>
      </c>
      <c r="AO10" s="439">
        <f t="shared" si="8"/>
        <v>7037039765.3854237</v>
      </c>
      <c r="AP10" s="439">
        <f t="shared" si="8"/>
        <v>5954418263.0184364</v>
      </c>
      <c r="AQ10" s="439">
        <f t="shared" si="6"/>
        <v>1623932253.5504837</v>
      </c>
      <c r="AR10" s="439">
        <f t="shared" si="5"/>
        <v>3789175258.2844596</v>
      </c>
    </row>
    <row r="11" spans="1:44" s="443" customFormat="1" ht="28">
      <c r="A11" s="440">
        <v>1</v>
      </c>
      <c r="B11" s="441" t="s">
        <v>198</v>
      </c>
      <c r="C11" s="431">
        <f t="shared" si="4"/>
        <v>1099091828205.2401</v>
      </c>
      <c r="D11" s="442">
        <f>+'3. TMDT'!K6</f>
        <v>0</v>
      </c>
      <c r="E11" s="442">
        <f>+'3. TMDT'!L6</f>
        <v>0</v>
      </c>
      <c r="F11" s="442">
        <f>+'3. TMDT'!M6</f>
        <v>0</v>
      </c>
      <c r="G11" s="442">
        <f>+'3. TMDT'!N6</f>
        <v>0</v>
      </c>
      <c r="H11" s="442">
        <f>+'3. TMDT'!O6</f>
        <v>0</v>
      </c>
      <c r="I11" s="442">
        <f>+'3. TMDT'!P6</f>
        <v>0</v>
      </c>
      <c r="J11" s="442">
        <f>+'3. TMDT'!Q6</f>
        <v>0</v>
      </c>
      <c r="K11" s="442">
        <f>+'3. TMDT'!R6</f>
        <v>0</v>
      </c>
      <c r="L11" s="442">
        <f>+'3. TMDT'!S6</f>
        <v>0</v>
      </c>
      <c r="M11" s="442">
        <f>+'3. TMDT'!T6</f>
        <v>137386478525.655</v>
      </c>
      <c r="N11" s="442">
        <f>+'3. TMDT'!U6</f>
        <v>137386478525.655</v>
      </c>
      <c r="O11" s="442">
        <f>+'3. TMDT'!V6</f>
        <v>137386478525.655</v>
      </c>
      <c r="P11" s="442">
        <f>+'3. TMDT'!W6</f>
        <v>137386478525.655</v>
      </c>
      <c r="Q11" s="442">
        <f>+'3. TMDT'!X6</f>
        <v>137386478525.655</v>
      </c>
      <c r="R11" s="442">
        <f>+'3. TMDT'!Y6</f>
        <v>137386478525.655</v>
      </c>
      <c r="S11" s="442">
        <f>+'3. TMDT'!Z6</f>
        <v>137386478525.655</v>
      </c>
      <c r="T11" s="442">
        <f>+'3. TMDT'!AA6</f>
        <v>137386478525.655</v>
      </c>
      <c r="U11" s="442">
        <f>+'3. TMDT'!AB6</f>
        <v>0</v>
      </c>
      <c r="V11" s="442">
        <f>+'3. TMDT'!AC6</f>
        <v>0</v>
      </c>
      <c r="W11" s="442">
        <f>+'3. TMDT'!AD6</f>
        <v>0</v>
      </c>
      <c r="X11" s="442">
        <f>+'3. TMDT'!AE6</f>
        <v>0</v>
      </c>
      <c r="Y11" s="442">
        <f>+'3. TMDT'!AF6</f>
        <v>0</v>
      </c>
      <c r="Z11" s="442">
        <f>+'3. TMDT'!AG6</f>
        <v>0</v>
      </c>
      <c r="AA11" s="442">
        <f>+'3. TMDT'!AH6</f>
        <v>0</v>
      </c>
      <c r="AB11" s="442">
        <f>+'3. TMDT'!AI6</f>
        <v>0</v>
      </c>
      <c r="AC11" s="442">
        <f>+'3. TMDT'!AJ6</f>
        <v>0</v>
      </c>
      <c r="AD11" s="442">
        <f>+'3. TMDT'!AK6</f>
        <v>0</v>
      </c>
      <c r="AE11" s="442">
        <f>+'3. TMDT'!AL6</f>
        <v>0</v>
      </c>
      <c r="AF11" s="442">
        <f>+'3. TMDT'!AM6</f>
        <v>0</v>
      </c>
      <c r="AG11" s="442">
        <f>+'3. TMDT'!AN6</f>
        <v>0</v>
      </c>
      <c r="AH11" s="442">
        <f>+'3. TMDT'!AO6</f>
        <v>0</v>
      </c>
      <c r="AI11" s="442">
        <f>+'3. TMDT'!AP6</f>
        <v>0</v>
      </c>
      <c r="AJ11" s="442">
        <f>+'3. TMDT'!AQ6</f>
        <v>0</v>
      </c>
      <c r="AK11" s="442">
        <f>+'3. TMDT'!AR6</f>
        <v>0</v>
      </c>
      <c r="AL11" s="442">
        <f>+'3. TMDT'!AS6</f>
        <v>0</v>
      </c>
      <c r="AM11" s="442">
        <f>+'3. TMDT'!AT6</f>
        <v>0</v>
      </c>
      <c r="AN11" s="442">
        <f>+'3. TMDT'!AU6</f>
        <v>0</v>
      </c>
      <c r="AO11" s="442">
        <f>+'3. TMDT'!AV6</f>
        <v>0</v>
      </c>
      <c r="AP11" s="442">
        <f>+'3. TMDT'!AW6</f>
        <v>0</v>
      </c>
      <c r="AQ11" s="442">
        <f>+'3. TMDT'!AX6</f>
        <v>0</v>
      </c>
      <c r="AR11" s="442">
        <f>+'3. TMDT'!AY6</f>
        <v>0</v>
      </c>
    </row>
    <row r="12" spans="1:44" s="443" customFormat="1">
      <c r="A12" s="440">
        <v>2</v>
      </c>
      <c r="B12" s="444" t="str">
        <f>'[1]4. Vay'!B22</f>
        <v>Lãi vay trong giai đoạn xây dựng</v>
      </c>
      <c r="C12" s="431">
        <f t="shared" si="4"/>
        <v>87991818683.252106</v>
      </c>
      <c r="D12" s="442">
        <f>+'4. Vay'!E22</f>
        <v>0</v>
      </c>
      <c r="E12" s="442">
        <f>+'4. Vay'!F22</f>
        <v>0</v>
      </c>
      <c r="F12" s="442">
        <f>+'4. Vay'!G22</f>
        <v>0</v>
      </c>
      <c r="G12" s="442">
        <f>+'4. Vay'!H22</f>
        <v>0</v>
      </c>
      <c r="H12" s="442">
        <f>+'4. Vay'!I22</f>
        <v>0</v>
      </c>
      <c r="I12" s="442">
        <f>+'4. Vay'!J22</f>
        <v>0</v>
      </c>
      <c r="J12" s="442">
        <f>+'4. Vay'!K22</f>
        <v>0</v>
      </c>
      <c r="K12" s="442">
        <f>+'4. Vay'!L22</f>
        <v>0</v>
      </c>
      <c r="L12" s="442">
        <f>+'4. Vay'!M22</f>
        <v>0</v>
      </c>
      <c r="M12" s="442">
        <f>+'4. Vay'!N22</f>
        <v>1026029837.8992877</v>
      </c>
      <c r="N12" s="442">
        <f>+'4. Vay'!O22</f>
        <v>2833445272.413238</v>
      </c>
      <c r="O12" s="442">
        <f>+'4. Vay'!P22</f>
        <v>4396216465.6425638</v>
      </c>
      <c r="P12" s="442">
        <f>+'4. Vay'!Q22</f>
        <v>5958987658.8718891</v>
      </c>
      <c r="Q12" s="442">
        <f>+'4. Vay'!R22</f>
        <v>6980448100.9177208</v>
      </c>
      <c r="R12" s="442">
        <f>+'4. Vay'!S22</f>
        <v>7460597791.7800589</v>
      </c>
      <c r="S12" s="442">
        <f>+'4. Vay'!T22</f>
        <v>7940747482.6423979</v>
      </c>
      <c r="T12" s="442">
        <f>+'4. Vay'!U22</f>
        <v>8420897173.5047359</v>
      </c>
      <c r="U12" s="442">
        <f>+'4. Vay'!V22</f>
        <v>0</v>
      </c>
      <c r="V12" s="442">
        <f>+'4. Vay'!W22</f>
        <v>0</v>
      </c>
      <c r="W12" s="442">
        <f>+'4. Vay'!X22</f>
        <v>0</v>
      </c>
      <c r="X12" s="442">
        <f>+'4. Vay'!Y22</f>
        <v>0</v>
      </c>
      <c r="Y12" s="442">
        <f>+'4. Vay'!W22</f>
        <v>0</v>
      </c>
      <c r="Z12" s="442">
        <f>+'4. Vay'!X22</f>
        <v>0</v>
      </c>
      <c r="AA12" s="442">
        <f>+'4. Vay'!Y22</f>
        <v>0</v>
      </c>
      <c r="AB12" s="442">
        <f>+'4. Vay'!V22</f>
        <v>0</v>
      </c>
      <c r="AC12" s="442">
        <f>+'4. Vay'!W22</f>
        <v>0</v>
      </c>
      <c r="AD12" s="442">
        <f>+'4. Vay'!X22</f>
        <v>0</v>
      </c>
      <c r="AE12" s="442">
        <f>+'4. Vay'!P22</f>
        <v>4396216465.6425638</v>
      </c>
      <c r="AF12" s="442">
        <f>+'4. Vay'!N22</f>
        <v>1026029837.8992877</v>
      </c>
      <c r="AG12" s="442">
        <f>+'4. Vay'!O22</f>
        <v>2833445272.413238</v>
      </c>
      <c r="AH12" s="442">
        <f>+'4. Vay'!P22</f>
        <v>4396216465.6425638</v>
      </c>
      <c r="AI12" s="442">
        <f>+'4. Vay'!T22</f>
        <v>7940747482.6423979</v>
      </c>
      <c r="AJ12" s="442">
        <f>+'4. Vay'!R22</f>
        <v>6980448100.9177208</v>
      </c>
      <c r="AK12" s="442">
        <f>+'4. Vay'!S22</f>
        <v>7460597791.7800589</v>
      </c>
      <c r="AL12" s="442">
        <f>+'4. Vay'!T22</f>
        <v>7940747482.6423979</v>
      </c>
      <c r="AM12" s="442">
        <f>+'4. Vay'!X22</f>
        <v>0</v>
      </c>
      <c r="AN12" s="442">
        <f>+'4. Vay'!V22</f>
        <v>0</v>
      </c>
      <c r="AO12" s="442">
        <f>+'4. Vay'!W22</f>
        <v>0</v>
      </c>
      <c r="AP12" s="442">
        <f>+'4. Vay'!X22</f>
        <v>0</v>
      </c>
      <c r="AQ12" s="442">
        <f>+'4. Vay'!AB22</f>
        <v>0</v>
      </c>
      <c r="AR12" s="442">
        <f>+'4. Vay'!Z22</f>
        <v>0</v>
      </c>
    </row>
    <row r="13" spans="1:44" s="443" customFormat="1">
      <c r="A13" s="440">
        <v>3</v>
      </c>
      <c r="B13" s="444" t="str">
        <f>'[1]4. Vay'!B23</f>
        <v>Lãi vay trong kỳ</v>
      </c>
      <c r="C13" s="431">
        <f t="shared" si="4"/>
        <v>97435935213.028931</v>
      </c>
      <c r="D13" s="442">
        <f>+'4. Vay'!E23</f>
        <v>0</v>
      </c>
      <c r="E13" s="442">
        <f>+'4. Vay'!F23</f>
        <v>0</v>
      </c>
      <c r="F13" s="442">
        <f>+'4. Vay'!G23</f>
        <v>0</v>
      </c>
      <c r="G13" s="442">
        <f>+'4. Vay'!H23</f>
        <v>0</v>
      </c>
      <c r="H13" s="442">
        <f>+'4. Vay'!I23</f>
        <v>0</v>
      </c>
      <c r="I13" s="442">
        <f>+'4. Vay'!J23</f>
        <v>0</v>
      </c>
      <c r="J13" s="442">
        <f>+'4. Vay'!K23</f>
        <v>0</v>
      </c>
      <c r="K13" s="442">
        <f>+'4. Vay'!L23</f>
        <v>0</v>
      </c>
      <c r="L13" s="442">
        <f>+'4. Vay'!M23</f>
        <v>0</v>
      </c>
      <c r="M13" s="442">
        <f>+'4. Vay'!N23</f>
        <v>0</v>
      </c>
      <c r="N13" s="442">
        <f>+'4. Vay'!O23</f>
        <v>0</v>
      </c>
      <c r="O13" s="442">
        <f>+'4. Vay'!P23</f>
        <v>0</v>
      </c>
      <c r="P13" s="442">
        <f>+'4. Vay'!Q23</f>
        <v>0</v>
      </c>
      <c r="Q13" s="442">
        <f>+'4. Vay'!R23</f>
        <v>0</v>
      </c>
      <c r="R13" s="442">
        <f>+'4. Vay'!S23</f>
        <v>0</v>
      </c>
      <c r="S13" s="442">
        <f>+'4. Vay'!T23</f>
        <v>0</v>
      </c>
      <c r="T13" s="442">
        <f>+'4. Vay'!U23</f>
        <v>0</v>
      </c>
      <c r="U13" s="442">
        <f>+'4. Vay'!V23</f>
        <v>8119661267.7524109</v>
      </c>
      <c r="V13" s="442">
        <f>+'4. Vay'!W23</f>
        <v>7037039765.3854237</v>
      </c>
      <c r="W13" s="442">
        <f>+'4. Vay'!X23</f>
        <v>5954418263.0184364</v>
      </c>
      <c r="X13" s="442">
        <f>+'4. Vay'!Y23</f>
        <v>4871796760.6514482</v>
      </c>
      <c r="Y13" s="442">
        <f>+'4. Vay'!W23</f>
        <v>7037039765.3854237</v>
      </c>
      <c r="Z13" s="442">
        <f>+'4. Vay'!X23</f>
        <v>5954418263.0184364</v>
      </c>
      <c r="AA13" s="442">
        <f>+'4. Vay'!Y23</f>
        <v>4871796760.6514482</v>
      </c>
      <c r="AB13" s="442">
        <f>+'4. Vay'!V23</f>
        <v>8119661267.7524109</v>
      </c>
      <c r="AC13" s="442">
        <f>+'4. Vay'!W23</f>
        <v>7037039765.3854237</v>
      </c>
      <c r="AD13" s="442">
        <f>+'4. Vay'!X23</f>
        <v>5954418263.0184364</v>
      </c>
      <c r="AE13" s="442">
        <f>+'4. Vay'!P23</f>
        <v>0</v>
      </c>
      <c r="AF13" s="442">
        <f>+'4. Vay'!N23</f>
        <v>0</v>
      </c>
      <c r="AG13" s="442">
        <f>+'4. Vay'!O23</f>
        <v>0</v>
      </c>
      <c r="AH13" s="442">
        <f>+'4. Vay'!P23</f>
        <v>0</v>
      </c>
      <c r="AI13" s="442">
        <f>+'4. Vay'!T23</f>
        <v>0</v>
      </c>
      <c r="AJ13" s="442">
        <f>+'4. Vay'!R23</f>
        <v>0</v>
      </c>
      <c r="AK13" s="442">
        <f>+'4. Vay'!S23</f>
        <v>0</v>
      </c>
      <c r="AL13" s="442">
        <f>+'4. Vay'!T23</f>
        <v>0</v>
      </c>
      <c r="AM13" s="442">
        <f>+'4. Vay'!X23</f>
        <v>5954418263.0184364</v>
      </c>
      <c r="AN13" s="442">
        <f>+'4. Vay'!V23</f>
        <v>8119661267.7524109</v>
      </c>
      <c r="AO13" s="442">
        <f>+'4. Vay'!W23</f>
        <v>7037039765.3854237</v>
      </c>
      <c r="AP13" s="442">
        <f>+'4. Vay'!X23</f>
        <v>5954418263.0184364</v>
      </c>
      <c r="AQ13" s="442">
        <f>+'4. Vay'!AB23</f>
        <v>1623932253.5504837</v>
      </c>
      <c r="AR13" s="442">
        <f>+'4. Vay'!Z23</f>
        <v>3789175258.2844596</v>
      </c>
    </row>
    <row r="14" spans="1:44" s="443" customFormat="1">
      <c r="A14" s="440">
        <v>4</v>
      </c>
      <c r="B14" s="444" t="str">
        <f>+'[1]3. TMDT'!B12</f>
        <v>Chi phí GPMB và tiền sử dụng đất</v>
      </c>
      <c r="C14" s="431">
        <f t="shared" si="4"/>
        <v>43014372094</v>
      </c>
      <c r="D14" s="442">
        <f>+'3. TMDT'!K10</f>
        <v>0</v>
      </c>
      <c r="E14" s="442">
        <f>+'3. TMDT'!L10</f>
        <v>0</v>
      </c>
      <c r="F14" s="442">
        <f>+'3. TMDT'!M10</f>
        <v>0</v>
      </c>
      <c r="G14" s="442">
        <f>+'3. TMDT'!N10</f>
        <v>0</v>
      </c>
      <c r="H14" s="442">
        <f>+'3. TMDT'!O10</f>
        <v>0</v>
      </c>
      <c r="I14" s="442">
        <f>+'3. TMDT'!P10</f>
        <v>0</v>
      </c>
      <c r="J14" s="442">
        <f>+'3. TMDT'!Q10</f>
        <v>0</v>
      </c>
      <c r="K14" s="442">
        <f>+'3. TMDT'!R10</f>
        <v>0</v>
      </c>
      <c r="L14" s="442">
        <f>+'3. TMDT'!S10</f>
        <v>0</v>
      </c>
      <c r="M14" s="442">
        <f>+'3. TMDT'!T10</f>
        <v>43014372094</v>
      </c>
      <c r="N14" s="442">
        <f>+'3. TMDT'!U10</f>
        <v>0</v>
      </c>
      <c r="O14" s="442">
        <f>+'3. TMDT'!V10</f>
        <v>0</v>
      </c>
      <c r="P14" s="442">
        <f>+'3. TMDT'!W10</f>
        <v>0</v>
      </c>
      <c r="Q14" s="442">
        <f>+'3. TMDT'!X10</f>
        <v>0</v>
      </c>
      <c r="R14" s="442">
        <f>+'3. TMDT'!Y10</f>
        <v>0</v>
      </c>
      <c r="S14" s="442">
        <f>+'3. TMDT'!Z10</f>
        <v>0</v>
      </c>
      <c r="T14" s="442">
        <f>+'3. TMDT'!AA10</f>
        <v>0</v>
      </c>
      <c r="U14" s="442">
        <f>+'3. TMDT'!AB10</f>
        <v>0</v>
      </c>
      <c r="V14" s="442">
        <f>+'3. TMDT'!AC10</f>
        <v>0</v>
      </c>
      <c r="W14" s="442">
        <f>+'3. TMDT'!AD10</f>
        <v>0</v>
      </c>
      <c r="X14" s="442">
        <f>+'3. TMDT'!AE10</f>
        <v>0</v>
      </c>
      <c r="Y14" s="442">
        <f>+'3. TMDT'!AG10</f>
        <v>0</v>
      </c>
      <c r="Z14" s="442">
        <f>+'3. TMDT'!AH10</f>
        <v>0</v>
      </c>
      <c r="AA14" s="442">
        <f>+'3. TMDT'!AI10</f>
        <v>0</v>
      </c>
      <c r="AB14" s="442">
        <f>+'3. TMDT'!AF10</f>
        <v>0</v>
      </c>
      <c r="AC14" s="442">
        <f>+'3. TMDT'!AG10</f>
        <v>0</v>
      </c>
      <c r="AD14" s="442">
        <f>+'3. TMDT'!AH10</f>
        <v>0</v>
      </c>
      <c r="AE14" s="442">
        <f>+'3. TMDT'!W10</f>
        <v>0</v>
      </c>
      <c r="AF14" s="442">
        <f>+'3. TMDT'!AJ10</f>
        <v>0</v>
      </c>
      <c r="AG14" s="442">
        <f>+'3. TMDT'!AK10</f>
        <v>0</v>
      </c>
      <c r="AH14" s="442">
        <f>+'3. TMDT'!AL10</f>
        <v>0</v>
      </c>
      <c r="AI14" s="442">
        <f>+'3. TMDT'!AA10</f>
        <v>0</v>
      </c>
      <c r="AJ14" s="442">
        <f>+'3. TMDT'!AN10</f>
        <v>0</v>
      </c>
      <c r="AK14" s="442">
        <f>+'3. TMDT'!AO10</f>
        <v>0</v>
      </c>
      <c r="AL14" s="442">
        <f>+'3. TMDT'!AP10</f>
        <v>0</v>
      </c>
      <c r="AM14" s="442">
        <f>+'3. TMDT'!AE10</f>
        <v>0</v>
      </c>
      <c r="AN14" s="442">
        <f>+'3. TMDT'!AR10</f>
        <v>0</v>
      </c>
      <c r="AO14" s="442">
        <f>+'3. TMDT'!AS10</f>
        <v>0</v>
      </c>
      <c r="AP14" s="442">
        <f>+'3. TMDT'!AT10</f>
        <v>0</v>
      </c>
      <c r="AQ14" s="442">
        <f>+'3. TMDT'!AI10</f>
        <v>0</v>
      </c>
      <c r="AR14" s="442">
        <f>+'3. TMDT'!AV10</f>
        <v>0</v>
      </c>
    </row>
    <row r="15" spans="1:44" s="443" customFormat="1">
      <c r="A15" s="440">
        <v>5</v>
      </c>
      <c r="B15" s="444" t="str">
        <f>+'[1]8. Hiệu quả dự án và CĐT'!B10</f>
        <v xml:space="preserve">Chi phí bán hàng </v>
      </c>
      <c r="C15" s="431">
        <f t="shared" si="4"/>
        <v>30718788400</v>
      </c>
      <c r="D15" s="445">
        <f>'8. Hiệu quả dự án và CĐT'!D10</f>
        <v>0</v>
      </c>
      <c r="E15" s="445">
        <f>'8. Hiệu quả dự án và CĐT'!E10</f>
        <v>0</v>
      </c>
      <c r="F15" s="445">
        <f>'8. Hiệu quả dự án và CĐT'!F10</f>
        <v>0</v>
      </c>
      <c r="G15" s="445">
        <f>'8. Hiệu quả dự án và CĐT'!G10</f>
        <v>0</v>
      </c>
      <c r="H15" s="445">
        <f>'8. Hiệu quả dự án và CĐT'!H10</f>
        <v>0</v>
      </c>
      <c r="I15" s="445">
        <f>'8. Hiệu quả dự án và CĐT'!I10</f>
        <v>0</v>
      </c>
      <c r="J15" s="445">
        <f>'8. Hiệu quả dự án và CĐT'!J10</f>
        <v>0</v>
      </c>
      <c r="K15" s="445">
        <f>'8. Hiệu quả dự án và CĐT'!K10</f>
        <v>0</v>
      </c>
      <c r="L15" s="445">
        <f>'8. Hiệu quả dự án và CĐT'!L10</f>
        <v>0</v>
      </c>
      <c r="M15" s="445">
        <f>'8. Hiệu quả dự án và CĐT'!M10</f>
        <v>0</v>
      </c>
      <c r="N15" s="445">
        <f>'8. Hiệu quả dự án và CĐT'!N10</f>
        <v>0</v>
      </c>
      <c r="O15" s="445">
        <f>'8. Hiệu quả dự án và CĐT'!O10</f>
        <v>0</v>
      </c>
      <c r="P15" s="445">
        <f>'8. Hiệu quả dự án và CĐT'!P10</f>
        <v>0</v>
      </c>
      <c r="Q15" s="445">
        <f>'8. Hiệu quả dự án và CĐT'!Q10</f>
        <v>3863114639.9999995</v>
      </c>
      <c r="R15" s="445">
        <f>'8. Hiệu quả dự án và CĐT'!R10</f>
        <v>965778660</v>
      </c>
      <c r="S15" s="445">
        <f>'8. Hiệu quả dự án và CĐT'!S10</f>
        <v>1931557320</v>
      </c>
      <c r="T15" s="445">
        <f>'8. Hiệu quả dự án và CĐT'!T10</f>
        <v>0</v>
      </c>
      <c r="U15" s="445">
        <f>'8. Hiệu quả dự án và CĐT'!U10</f>
        <v>5151149940</v>
      </c>
      <c r="V15" s="445">
        <f>'8. Hiệu quả dự án và CĐT'!V10</f>
        <v>1455206860</v>
      </c>
      <c r="W15" s="445">
        <f>'8. Hiệu quả dự án và CĐT'!W10</f>
        <v>2240736220</v>
      </c>
      <c r="X15" s="445">
        <f>'8. Hiệu quả dự án và CĐT'!X10</f>
        <v>669677500</v>
      </c>
      <c r="Y15" s="445">
        <f>'8. Hiệu quả dự án và CĐT'!Y10</f>
        <v>8179619260</v>
      </c>
      <c r="Z15" s="445">
        <f>'8. Hiệu quả dự án và CĐT'!Z10</f>
        <v>650893319.99999988</v>
      </c>
      <c r="AA15" s="445">
        <f>'8. Hiệu quả dự án và CĐT'!AA10</f>
        <v>1301786639.9999998</v>
      </c>
      <c r="AB15" s="445">
        <f>'8. Hiệu quả dự án và CĐT'!AB10</f>
        <v>0</v>
      </c>
      <c r="AC15" s="445">
        <f>'8. Hiệu quả dự án và CĐT'!AC10</f>
        <v>2356588080</v>
      </c>
      <c r="AD15" s="445">
        <f>'8. Hiệu quả dự án và CĐT'!AD10</f>
        <v>0</v>
      </c>
      <c r="AE15" s="445">
        <f>'8. Hiệu quả dự án và CĐT'!AE10</f>
        <v>0</v>
      </c>
      <c r="AF15" s="445">
        <f>'8. Hiệu quả dự án và CĐT'!AF10</f>
        <v>0</v>
      </c>
      <c r="AG15" s="445">
        <f>'8. Hiệu quả dự án và CĐT'!AG10</f>
        <v>1952679959.9999998</v>
      </c>
      <c r="AH15" s="445">
        <f>'8. Hiệu quả dự án và CĐT'!AH10</f>
        <v>0</v>
      </c>
      <c r="AI15" s="445">
        <f>'8. Hiệu quả dự án và CĐT'!AI10</f>
        <v>0</v>
      </c>
      <c r="AJ15" s="445">
        <f>'8. Hiệu quả dự án và CĐT'!AJ10</f>
        <v>0</v>
      </c>
      <c r="AK15" s="445">
        <f>'8. Hiệu quả dự án và CĐT'!AK10</f>
        <v>0</v>
      </c>
      <c r="AL15" s="445">
        <f>'8. Hiệu quả dự án và CĐT'!AL10</f>
        <v>0</v>
      </c>
      <c r="AM15" s="445">
        <f>'8. Hiệu quả dự án và CĐT'!AM10</f>
        <v>0</v>
      </c>
      <c r="AN15" s="445">
        <f>'8. Hiệu quả dự án và CĐT'!AN10</f>
        <v>0</v>
      </c>
      <c r="AO15" s="445">
        <f>'8. Hiệu quả dự án và CĐT'!AO10</f>
        <v>0</v>
      </c>
      <c r="AP15" s="445">
        <f>'8. Hiệu quả dự án và CĐT'!AP10</f>
        <v>0</v>
      </c>
      <c r="AQ15" s="445">
        <f>'8. Hiệu quả dự án và CĐT'!AQ10</f>
        <v>0</v>
      </c>
      <c r="AR15" s="445">
        <f>'8. Hiệu quả dự án và CĐT'!AR10</f>
        <v>0</v>
      </c>
    </row>
    <row r="16" spans="1:44" s="443" customFormat="1">
      <c r="A16" s="440">
        <v>6</v>
      </c>
      <c r="B16" s="444" t="str">
        <f>'[1]8. Hiệu quả dự án và CĐT'!B11</f>
        <v>Chi phí quản lý doanh nghiệp</v>
      </c>
      <c r="C16" s="431">
        <f t="shared" si="4"/>
        <v>30718788400</v>
      </c>
      <c r="D16" s="445">
        <f>'8. Hiệu quả dự án và CĐT'!D11</f>
        <v>0</v>
      </c>
      <c r="E16" s="445">
        <f>'8. Hiệu quả dự án và CĐT'!E11</f>
        <v>0</v>
      </c>
      <c r="F16" s="445">
        <f>'8. Hiệu quả dự án và CĐT'!F11</f>
        <v>0</v>
      </c>
      <c r="G16" s="445">
        <f>'8. Hiệu quả dự án và CĐT'!G11</f>
        <v>0</v>
      </c>
      <c r="H16" s="445">
        <f>'8. Hiệu quả dự án và CĐT'!H11</f>
        <v>0</v>
      </c>
      <c r="I16" s="445">
        <f>'8. Hiệu quả dự án và CĐT'!I11</f>
        <v>0</v>
      </c>
      <c r="J16" s="445">
        <f>'8. Hiệu quả dự án và CĐT'!J11</f>
        <v>0</v>
      </c>
      <c r="K16" s="445">
        <f>'8. Hiệu quả dự án và CĐT'!K11</f>
        <v>0</v>
      </c>
      <c r="L16" s="445">
        <f>'8. Hiệu quả dự án và CĐT'!L11</f>
        <v>0</v>
      </c>
      <c r="M16" s="445">
        <f>'8. Hiệu quả dự án và CĐT'!M11</f>
        <v>0</v>
      </c>
      <c r="N16" s="445">
        <f>'8. Hiệu quả dự án và CĐT'!N11</f>
        <v>0</v>
      </c>
      <c r="O16" s="445">
        <f>'8. Hiệu quả dự án và CĐT'!O11</f>
        <v>0</v>
      </c>
      <c r="P16" s="445">
        <f>'8. Hiệu quả dự án và CĐT'!P11</f>
        <v>0</v>
      </c>
      <c r="Q16" s="445">
        <f>'8. Hiệu quả dự án và CĐT'!Q11</f>
        <v>3863114639.9999995</v>
      </c>
      <c r="R16" s="445">
        <f>'8. Hiệu quả dự án và CĐT'!R11</f>
        <v>965778660</v>
      </c>
      <c r="S16" s="445">
        <f>'8. Hiệu quả dự án và CĐT'!S11</f>
        <v>1931557320</v>
      </c>
      <c r="T16" s="445">
        <f>'8. Hiệu quả dự án và CĐT'!T11</f>
        <v>0</v>
      </c>
      <c r="U16" s="445">
        <f>'8. Hiệu quả dự án và CĐT'!U11</f>
        <v>5151149940</v>
      </c>
      <c r="V16" s="445">
        <f>'8. Hiệu quả dự án và CĐT'!V11</f>
        <v>1455206860</v>
      </c>
      <c r="W16" s="445">
        <f>'8. Hiệu quả dự án và CĐT'!W11</f>
        <v>2240736220</v>
      </c>
      <c r="X16" s="445">
        <f>'8. Hiệu quả dự án và CĐT'!X11</f>
        <v>669677500</v>
      </c>
      <c r="Y16" s="445">
        <f>'8. Hiệu quả dự án và CĐT'!Y11</f>
        <v>8179619260</v>
      </c>
      <c r="Z16" s="445">
        <f>'8. Hiệu quả dự án và CĐT'!Z11</f>
        <v>650893319.99999988</v>
      </c>
      <c r="AA16" s="445">
        <f>'8. Hiệu quả dự án và CĐT'!AA11</f>
        <v>1301786639.9999998</v>
      </c>
      <c r="AB16" s="445">
        <f>'8. Hiệu quả dự án và CĐT'!AB11</f>
        <v>0</v>
      </c>
      <c r="AC16" s="445">
        <f>'8. Hiệu quả dự án và CĐT'!AC11</f>
        <v>2356588080</v>
      </c>
      <c r="AD16" s="445">
        <f>'8. Hiệu quả dự án và CĐT'!AD11</f>
        <v>0</v>
      </c>
      <c r="AE16" s="445">
        <f>'8. Hiệu quả dự án và CĐT'!AE11</f>
        <v>0</v>
      </c>
      <c r="AF16" s="445">
        <f>'8. Hiệu quả dự án và CĐT'!AF11</f>
        <v>0</v>
      </c>
      <c r="AG16" s="445">
        <f>'8. Hiệu quả dự án và CĐT'!AG11</f>
        <v>1952679959.9999998</v>
      </c>
      <c r="AH16" s="445">
        <f>'8. Hiệu quả dự án và CĐT'!AH11</f>
        <v>0</v>
      </c>
      <c r="AI16" s="445">
        <f>'8. Hiệu quả dự án và CĐT'!AI11</f>
        <v>0</v>
      </c>
      <c r="AJ16" s="445">
        <f>'8. Hiệu quả dự án và CĐT'!AJ11</f>
        <v>0</v>
      </c>
      <c r="AK16" s="445">
        <f>'8. Hiệu quả dự án và CĐT'!AK11</f>
        <v>0</v>
      </c>
      <c r="AL16" s="445">
        <f>'8. Hiệu quả dự án và CĐT'!AL11</f>
        <v>0</v>
      </c>
      <c r="AM16" s="445">
        <f>'8. Hiệu quả dự án và CĐT'!AM11</f>
        <v>0</v>
      </c>
      <c r="AN16" s="445">
        <f>'8. Hiệu quả dự án và CĐT'!AN11</f>
        <v>0</v>
      </c>
      <c r="AO16" s="445">
        <f>'8. Hiệu quả dự án và CĐT'!AO11</f>
        <v>0</v>
      </c>
      <c r="AP16" s="445">
        <f>'8. Hiệu quả dự án và CĐT'!AP11</f>
        <v>0</v>
      </c>
      <c r="AQ16" s="445">
        <f>'8. Hiệu quả dự án và CĐT'!AQ11</f>
        <v>0</v>
      </c>
      <c r="AR16" s="445">
        <f>'8. Hiệu quả dự án và CĐT'!AR11</f>
        <v>0</v>
      </c>
    </row>
    <row r="17" spans="1:44" s="443" customFormat="1">
      <c r="A17" s="440">
        <v>7</v>
      </c>
      <c r="B17" s="444" t="s">
        <v>199</v>
      </c>
      <c r="C17" s="431">
        <f t="shared" si="4"/>
        <v>799474340209.46802</v>
      </c>
      <c r="D17" s="445">
        <f>'4. Vay'!E10</f>
        <v>0</v>
      </c>
      <c r="E17" s="445">
        <f>'4. Vay'!F10</f>
        <v>0</v>
      </c>
      <c r="F17" s="445">
        <f>'4. Vay'!G10</f>
        <v>0</v>
      </c>
      <c r="G17" s="445">
        <f>'4. Vay'!H10</f>
        <v>0</v>
      </c>
      <c r="H17" s="445">
        <f>'4. Vay'!I10</f>
        <v>0</v>
      </c>
      <c r="I17" s="445">
        <f>'4. Vay'!J10</f>
        <v>0</v>
      </c>
      <c r="J17" s="445">
        <f>'4. Vay'!K10</f>
        <v>0</v>
      </c>
      <c r="K17" s="445">
        <f>'4. Vay'!L10</f>
        <v>0</v>
      </c>
      <c r="L17" s="445">
        <f>'4. Vay'!M10</f>
        <v>0</v>
      </c>
      <c r="M17" s="445">
        <f>'4. Vay'!N10</f>
        <v>0</v>
      </c>
      <c r="N17" s="445">
        <f>'4. Vay'!O10</f>
        <v>0</v>
      </c>
      <c r="O17" s="445">
        <f>'4. Vay'!P10</f>
        <v>0</v>
      </c>
      <c r="P17" s="445">
        <f>'4. Vay'!Q10</f>
        <v>0</v>
      </c>
      <c r="Q17" s="445">
        <f>'4. Vay'!R10</f>
        <v>66622861684.122337</v>
      </c>
      <c r="R17" s="445">
        <f>'4. Vay'!S10</f>
        <v>66622861684.122337</v>
      </c>
      <c r="S17" s="445">
        <f>'4. Vay'!T10</f>
        <v>66622861684.122337</v>
      </c>
      <c r="T17" s="445">
        <f>'4. Vay'!U10</f>
        <v>66622861684.122337</v>
      </c>
      <c r="U17" s="445">
        <f>'4. Vay'!V10</f>
        <v>66622861684.122337</v>
      </c>
      <c r="V17" s="445">
        <f>'4. Vay'!W10</f>
        <v>66622861684.122337</v>
      </c>
      <c r="W17" s="445">
        <f>'4. Vay'!X10</f>
        <v>66622861684.122337</v>
      </c>
      <c r="X17" s="445">
        <f>'4. Vay'!Y10</f>
        <v>66622861684.122337</v>
      </c>
      <c r="Y17" s="445">
        <f>'4. Vay'!Z10</f>
        <v>66622861684.122337</v>
      </c>
      <c r="Z17" s="445">
        <f>'4. Vay'!AA10</f>
        <v>66622861684.122337</v>
      </c>
      <c r="AA17" s="445">
        <f>'4. Vay'!AB10</f>
        <v>66622861684.122337</v>
      </c>
      <c r="AB17" s="445">
        <f>'4. Vay'!AC10</f>
        <v>66622861684.122444</v>
      </c>
      <c r="AC17" s="445">
        <f>'4. Vay'!AD10</f>
        <v>0</v>
      </c>
      <c r="AD17" s="445">
        <f>'4. Vay'!AE10</f>
        <v>0</v>
      </c>
      <c r="AE17" s="445">
        <f>'4. Vay'!AF10</f>
        <v>0</v>
      </c>
      <c r="AF17" s="445">
        <f>'4. Vay'!AG10</f>
        <v>0</v>
      </c>
      <c r="AG17" s="445">
        <f>'4. Vay'!AH10</f>
        <v>0</v>
      </c>
      <c r="AH17" s="445">
        <f>'4. Vay'!AI10</f>
        <v>0</v>
      </c>
      <c r="AI17" s="445">
        <f>'4. Vay'!AJ10</f>
        <v>0</v>
      </c>
      <c r="AJ17" s="445">
        <f>'4. Vay'!AK10</f>
        <v>0</v>
      </c>
      <c r="AK17" s="445">
        <f>'4. Vay'!AL10</f>
        <v>0</v>
      </c>
      <c r="AL17" s="445">
        <f>'4. Vay'!AM10</f>
        <v>0</v>
      </c>
      <c r="AM17" s="445">
        <f>'4. Vay'!AN10</f>
        <v>0</v>
      </c>
      <c r="AN17" s="445">
        <f>'4. Vay'!AO10</f>
        <v>0</v>
      </c>
      <c r="AO17" s="445">
        <f>'4. Vay'!AP10</f>
        <v>0</v>
      </c>
      <c r="AP17" s="445">
        <f>'4. Vay'!AQ10</f>
        <v>0</v>
      </c>
      <c r="AQ17" s="445">
        <f>'4. Vay'!AR10</f>
        <v>0</v>
      </c>
      <c r="AR17" s="445">
        <f>'4. Vay'!AS10</f>
        <v>0</v>
      </c>
    </row>
    <row r="18" spans="1:44" s="443" customFormat="1">
      <c r="A18" s="440">
        <v>8</v>
      </c>
      <c r="B18" s="444" t="str">
        <f>'[1]8. Hiệu quả dự án và CĐT'!B12</f>
        <v>Thuế thu nhập doanh nghiệp</v>
      </c>
      <c r="C18" s="431">
        <f t="shared" si="4"/>
        <v>43721240372.000496</v>
      </c>
      <c r="D18" s="445">
        <f>'7. P&amp;L TOÀN DỰ ÁN'!EN23</f>
        <v>0</v>
      </c>
      <c r="E18" s="445">
        <f>'7. P&amp;L TOÀN DỰ ÁN'!EO23</f>
        <v>0</v>
      </c>
      <c r="F18" s="445">
        <f>'7. P&amp;L TOÀN DỰ ÁN'!EP23</f>
        <v>0</v>
      </c>
      <c r="G18" s="445">
        <f>'7. P&amp;L TOÀN DỰ ÁN'!EQ23</f>
        <v>0</v>
      </c>
      <c r="H18" s="445">
        <f>'7. P&amp;L TOÀN DỰ ÁN'!ER23</f>
        <v>0</v>
      </c>
      <c r="I18" s="445">
        <f>'7. P&amp;L TOÀN DỰ ÁN'!ES23</f>
        <v>0</v>
      </c>
      <c r="J18" s="445">
        <f>'7. P&amp;L TOÀN DỰ ÁN'!ET23</f>
        <v>0</v>
      </c>
      <c r="K18" s="445">
        <f>'7. P&amp;L TOÀN DỰ ÁN'!EU23</f>
        <v>0</v>
      </c>
      <c r="L18" s="445">
        <f>'7. P&amp;L TOÀN DỰ ÁN'!EV23</f>
        <v>0</v>
      </c>
      <c r="M18" s="445">
        <f>'7. P&amp;L TOÀN DỰ ÁN'!EW23</f>
        <v>0</v>
      </c>
      <c r="N18" s="445">
        <f>'7. P&amp;L TOÀN DỰ ÁN'!EX23</f>
        <v>0</v>
      </c>
      <c r="O18" s="445">
        <f>'7. P&amp;L TOÀN DỰ ÁN'!EY23</f>
        <v>0</v>
      </c>
      <c r="P18" s="445">
        <f>'7. P&amp;L TOÀN DỰ ÁN'!EZ23</f>
        <v>0</v>
      </c>
      <c r="Q18" s="445">
        <f>'7. P&amp;L TOÀN DỰ ÁN'!FA23</f>
        <v>0</v>
      </c>
      <c r="R18" s="445">
        <f>'7. P&amp;L TOÀN DỰ ÁN'!FB23</f>
        <v>0</v>
      </c>
      <c r="S18" s="445">
        <f>'7. P&amp;L TOÀN DỰ ÁN'!FC23</f>
        <v>0</v>
      </c>
      <c r="T18" s="445">
        <f>'7. P&amp;L TOÀN DỰ ÁN'!FD23</f>
        <v>0</v>
      </c>
      <c r="U18" s="445">
        <f>'7. P&amp;L TOÀN DỰ ÁN'!FE23</f>
        <v>0</v>
      </c>
      <c r="V18" s="445">
        <f>'7. P&amp;L TOÀN DỰ ÁN'!FF23</f>
        <v>0</v>
      </c>
      <c r="W18" s="445">
        <f>'7. P&amp;L TOÀN DỰ ÁN'!FG23</f>
        <v>0</v>
      </c>
      <c r="X18" s="445">
        <f>'7. P&amp;L TOÀN DỰ ÁN'!FH23</f>
        <v>0</v>
      </c>
      <c r="Y18" s="445">
        <f>'7. P&amp;L TOÀN DỰ ÁN'!FI23</f>
        <v>30789771059.00066</v>
      </c>
      <c r="Z18" s="445">
        <f>'7. P&amp;L TOÀN DỰ ÁN'!FJ23</f>
        <v>0</v>
      </c>
      <c r="AA18" s="445">
        <f>'7. P&amp;L TOÀN DỰ ÁN'!FK23</f>
        <v>0</v>
      </c>
      <c r="AB18" s="445">
        <f>'7. P&amp;L TOÀN DỰ ÁN'!FL23</f>
        <v>0</v>
      </c>
      <c r="AC18" s="445">
        <f>'7. P&amp;L TOÀN DỰ ÁN'!FM23</f>
        <v>7071768605.9512854</v>
      </c>
      <c r="AD18" s="445">
        <f>'7. P&amp;L TOÀN DỰ ÁN'!FN23</f>
        <v>0</v>
      </c>
      <c r="AE18" s="445">
        <f>'7. P&amp;L TOÀN DỰ ÁN'!FO23</f>
        <v>0</v>
      </c>
      <c r="AF18" s="445">
        <f>'7. P&amp;L TOÀN DỰ ÁN'!FP23</f>
        <v>0</v>
      </c>
      <c r="AG18" s="445">
        <f>'7. P&amp;L TOÀN DỰ ÁN'!FQ23</f>
        <v>5859700707.0485544</v>
      </c>
      <c r="AH18" s="445">
        <f>'7. P&amp;L TOÀN DỰ ÁN'!FR23</f>
        <v>0</v>
      </c>
      <c r="AI18" s="445">
        <f>'7. P&amp;L TOÀN DỰ ÁN'!FS23</f>
        <v>0</v>
      </c>
      <c r="AJ18" s="445">
        <f>'7. P&amp;L TOÀN DỰ ÁN'!FT23</f>
        <v>0</v>
      </c>
      <c r="AK18" s="445">
        <f>'7. P&amp;L TOÀN DỰ ÁN'!FU23</f>
        <v>0</v>
      </c>
      <c r="AL18" s="445">
        <f>'7. P&amp;L TOÀN DỰ ÁN'!FV23</f>
        <v>0</v>
      </c>
      <c r="AM18" s="445">
        <f>'7. P&amp;L TOÀN DỰ ÁN'!FW23</f>
        <v>0</v>
      </c>
      <c r="AN18" s="445">
        <f>'7. P&amp;L TOÀN DỰ ÁN'!FX23</f>
        <v>0</v>
      </c>
      <c r="AO18" s="445">
        <f>'7. P&amp;L TOÀN DỰ ÁN'!FY23</f>
        <v>0</v>
      </c>
      <c r="AP18" s="445">
        <f>'7. P&amp;L TOÀN DỰ ÁN'!FZ23</f>
        <v>0</v>
      </c>
      <c r="AQ18" s="445">
        <f>'7. P&amp;L TOÀN DỰ ÁN'!GA23</f>
        <v>0</v>
      </c>
      <c r="AR18" s="445">
        <f>'7. P&amp;L TOÀN DỰ ÁN'!GB23</f>
        <v>0</v>
      </c>
    </row>
    <row r="19" spans="1:44" s="443" customFormat="1">
      <c r="A19" s="440">
        <v>9</v>
      </c>
      <c r="B19" s="444" t="str">
        <f>'[1]8. Hiệu quả dự án và CĐT'!B13</f>
        <v>Thuế VAT phải nộp nhà nước</v>
      </c>
      <c r="C19" s="431">
        <f t="shared" si="4"/>
        <v>34128183181.341812</v>
      </c>
      <c r="D19" s="446">
        <f>'8. Hiệu quả dự án và CĐT'!D13</f>
        <v>0</v>
      </c>
      <c r="E19" s="446">
        <f>'8. Hiệu quả dự án và CĐT'!E13</f>
        <v>0</v>
      </c>
      <c r="F19" s="446">
        <f>'8. Hiệu quả dự án và CĐT'!F13</f>
        <v>0</v>
      </c>
      <c r="G19" s="446">
        <f>'8. Hiệu quả dự án và CĐT'!G13</f>
        <v>0</v>
      </c>
      <c r="H19" s="446">
        <f>'8. Hiệu quả dự án và CĐT'!H13</f>
        <v>0</v>
      </c>
      <c r="I19" s="446">
        <f>'8. Hiệu quả dự án và CĐT'!I13</f>
        <v>0</v>
      </c>
      <c r="J19" s="446">
        <f>'8. Hiệu quả dự án và CĐT'!J13</f>
        <v>0</v>
      </c>
      <c r="K19" s="446">
        <f>'8. Hiệu quả dự án và CĐT'!K13</f>
        <v>0</v>
      </c>
      <c r="L19" s="446">
        <f>'8. Hiệu quả dự án và CĐT'!L13</f>
        <v>0</v>
      </c>
      <c r="M19" s="446">
        <f>'8. Hiệu quả dự án và CĐT'!M13</f>
        <v>0</v>
      </c>
      <c r="N19" s="446">
        <f>'8. Hiệu quả dự án và CĐT'!N13</f>
        <v>0</v>
      </c>
      <c r="O19" s="446">
        <f>'8. Hiệu quả dự án và CĐT'!O13</f>
        <v>0</v>
      </c>
      <c r="P19" s="446">
        <f>'8. Hiệu quả dự án và CĐT'!P13</f>
        <v>0</v>
      </c>
      <c r="Q19" s="446">
        <f>'8. Hiệu quả dự án và CĐT'!Q13</f>
        <v>0</v>
      </c>
      <c r="R19" s="446">
        <f>'8. Hiệu quả dự án và CĐT'!R13</f>
        <v>0</v>
      </c>
      <c r="S19" s="446">
        <f>'8. Hiệu quả dự án và CĐT'!S13</f>
        <v>0</v>
      </c>
      <c r="T19" s="446">
        <f>'8. Hiệu quả dự án và CĐT'!T13</f>
        <v>0</v>
      </c>
      <c r="U19" s="446">
        <f>'8. Hiệu quả dự án và CĐT'!U13</f>
        <v>0</v>
      </c>
      <c r="V19" s="446">
        <f>'8. Hiệu quả dự án và CĐT'!V13</f>
        <v>0</v>
      </c>
      <c r="W19" s="446">
        <f>'8. Hiệu quả dự án và CĐT'!W13</f>
        <v>0</v>
      </c>
      <c r="X19" s="446">
        <f>'8. Hiệu quả dự án và CĐT'!X13</f>
        <v>0</v>
      </c>
      <c r="Y19" s="446">
        <f>'8. Hiệu quả dự án và CĐT'!Y13</f>
        <v>0</v>
      </c>
      <c r="Z19" s="446">
        <f>'8. Hiệu quả dự án và CĐT'!Z13</f>
        <v>0</v>
      </c>
      <c r="AA19" s="446">
        <f>'8. Hiệu quả dự án và CĐT'!AA13</f>
        <v>0</v>
      </c>
      <c r="AB19" s="446">
        <f>'8. Hiệu quả dự án và CĐT'!AB13</f>
        <v>0</v>
      </c>
      <c r="AC19" s="446">
        <f>'8. Hiệu quả dự án và CĐT'!AC13</f>
        <v>0</v>
      </c>
      <c r="AD19" s="446">
        <f>'8. Hiệu quả dự án và CĐT'!AD13</f>
        <v>0</v>
      </c>
      <c r="AE19" s="446">
        <f>'8. Hiệu quả dự án và CĐT'!AE13</f>
        <v>0</v>
      </c>
      <c r="AF19" s="446">
        <f>'8. Hiệu quả dự án và CĐT'!AF13</f>
        <v>0</v>
      </c>
      <c r="AG19" s="446">
        <f>'8. Hiệu quả dự án và CĐT'!AG13</f>
        <v>0</v>
      </c>
      <c r="AH19" s="446">
        <f>'8. Hiệu quả dự án và CĐT'!AH13</f>
        <v>34128183181.341812</v>
      </c>
      <c r="AI19" s="446">
        <f>'8. Hiệu quả dự án và CĐT'!AI13</f>
        <v>0</v>
      </c>
      <c r="AJ19" s="446">
        <f>'8. Hiệu quả dự án và CĐT'!AJ13</f>
        <v>0</v>
      </c>
      <c r="AK19" s="446">
        <f>'8. Hiệu quả dự án và CĐT'!AK13</f>
        <v>0</v>
      </c>
      <c r="AL19" s="446">
        <f>'8. Hiệu quả dự án và CĐT'!AL13</f>
        <v>0</v>
      </c>
      <c r="AM19" s="446">
        <f>'8. Hiệu quả dự án và CĐT'!AM13</f>
        <v>0</v>
      </c>
      <c r="AN19" s="446">
        <f>'8. Hiệu quả dự án và CĐT'!AN13</f>
        <v>0</v>
      </c>
      <c r="AO19" s="446">
        <f>'8. Hiệu quả dự án và CĐT'!AO13</f>
        <v>0</v>
      </c>
      <c r="AP19" s="446">
        <f>'8. Hiệu quả dự án và CĐT'!AP13</f>
        <v>0</v>
      </c>
      <c r="AQ19" s="446">
        <f>'8. Hiệu quả dự án và CĐT'!AQ13</f>
        <v>0</v>
      </c>
      <c r="AR19" s="446">
        <f>'8. Hiệu quả dự án và CĐT'!AR13</f>
        <v>0</v>
      </c>
    </row>
    <row r="20" spans="1:44" s="450" customFormat="1">
      <c r="A20" s="447"/>
      <c r="B20" s="448" t="s">
        <v>182</v>
      </c>
      <c r="C20" s="431">
        <f t="shared" si="4"/>
        <v>139630856363.63635</v>
      </c>
      <c r="D20" s="449">
        <f>'8. Hiệu quả dự án và CĐT'!D14</f>
        <v>0</v>
      </c>
      <c r="E20" s="449">
        <f>'8. Hiệu quả dự án và CĐT'!E14</f>
        <v>0</v>
      </c>
      <c r="F20" s="449">
        <f>'8. Hiệu quả dự án và CĐT'!F14</f>
        <v>0</v>
      </c>
      <c r="G20" s="449">
        <f>'8. Hiệu quả dự án và CĐT'!G14</f>
        <v>0</v>
      </c>
      <c r="H20" s="449">
        <f>'8. Hiệu quả dự án và CĐT'!H14</f>
        <v>0</v>
      </c>
      <c r="I20" s="449">
        <f>'8. Hiệu quả dự án và CĐT'!I14</f>
        <v>0</v>
      </c>
      <c r="J20" s="449">
        <f>'8. Hiệu quả dự án và CĐT'!J14</f>
        <v>0</v>
      </c>
      <c r="K20" s="449">
        <f>'8. Hiệu quả dự án và CĐT'!K14</f>
        <v>0</v>
      </c>
      <c r="L20" s="449">
        <f>'8. Hiệu quả dự án và CĐT'!L14</f>
        <v>0</v>
      </c>
      <c r="M20" s="449">
        <f>'8. Hiệu quả dự án và CĐT'!M14</f>
        <v>0</v>
      </c>
      <c r="N20" s="449">
        <f>'8. Hiệu quả dự án và CĐT'!N14</f>
        <v>0</v>
      </c>
      <c r="O20" s="449">
        <f>'8. Hiệu quả dự án và CĐT'!O14</f>
        <v>0</v>
      </c>
      <c r="P20" s="449">
        <f>'8. Hiệu quả dự án và CĐT'!P14</f>
        <v>0</v>
      </c>
      <c r="Q20" s="449">
        <f>'8. Hiệu quả dự án và CĐT'!Q14</f>
        <v>17559611999.999996</v>
      </c>
      <c r="R20" s="449">
        <f>'8. Hiệu quả dự án và CĐT'!R14</f>
        <v>4389903000</v>
      </c>
      <c r="S20" s="449">
        <f>'8. Hiệu quả dự án và CĐT'!S14</f>
        <v>8779806000</v>
      </c>
      <c r="T20" s="449">
        <f>'8. Hiệu quả dự án và CĐT'!T14</f>
        <v>0</v>
      </c>
      <c r="U20" s="449">
        <f>'8. Hiệu quả dự án và CĐT'!U14</f>
        <v>23414317909.090908</v>
      </c>
      <c r="V20" s="449">
        <f>'8. Hiệu quả dự án và CĐT'!V14</f>
        <v>6614576636.363636</v>
      </c>
      <c r="W20" s="449">
        <f>'8. Hiệu quả dự án và CĐT'!W14</f>
        <v>10185164636.363636</v>
      </c>
      <c r="X20" s="449">
        <f>'8. Hiệu quả dự án và CĐT'!X14</f>
        <v>3043988636.363636</v>
      </c>
      <c r="Y20" s="449">
        <f>'8. Hiệu quả dự án và CĐT'!Y14</f>
        <v>37180087545.454544</v>
      </c>
      <c r="Z20" s="449">
        <f>'8. Hiệu quả dự án và CĐT'!Z14</f>
        <v>2958605999.9999995</v>
      </c>
      <c r="AA20" s="449">
        <f>'8. Hiệu quả dự án và CĐT'!AA14</f>
        <v>5917211999.999999</v>
      </c>
      <c r="AB20" s="449">
        <f>'8. Hiệu quả dự án và CĐT'!AB14</f>
        <v>0</v>
      </c>
      <c r="AC20" s="449">
        <f>'8. Hiệu quả dự án và CĐT'!AC14</f>
        <v>10711764000</v>
      </c>
      <c r="AD20" s="449">
        <f>'8. Hiệu quả dự án và CĐT'!AD14</f>
        <v>0</v>
      </c>
      <c r="AE20" s="449">
        <f>'8. Hiệu quả dự án và CĐT'!AE14</f>
        <v>0</v>
      </c>
      <c r="AF20" s="449">
        <f>'8. Hiệu quả dự án và CĐT'!AF14</f>
        <v>0</v>
      </c>
      <c r="AG20" s="449">
        <f>'8. Hiệu quả dự án và CĐT'!AG14</f>
        <v>8875817999.9999981</v>
      </c>
      <c r="AH20" s="449">
        <f>'8. Hiệu quả dự án và CĐT'!AH14</f>
        <v>0</v>
      </c>
      <c r="AI20" s="449">
        <f>'8. Hiệu quả dự án và CĐT'!AI14</f>
        <v>0</v>
      </c>
      <c r="AJ20" s="449">
        <f>'8. Hiệu quả dự án và CĐT'!AJ14</f>
        <v>0</v>
      </c>
      <c r="AK20" s="449">
        <f>'8. Hiệu quả dự án và CĐT'!AK14</f>
        <v>0</v>
      </c>
      <c r="AL20" s="449">
        <f>'8. Hiệu quả dự án và CĐT'!AL14</f>
        <v>0</v>
      </c>
      <c r="AM20" s="449">
        <f>'8. Hiệu quả dự án và CĐT'!AM14</f>
        <v>0</v>
      </c>
      <c r="AN20" s="449">
        <f>'8. Hiệu quả dự án và CĐT'!AN14</f>
        <v>0</v>
      </c>
      <c r="AO20" s="449">
        <f>'8. Hiệu quả dự án và CĐT'!AO14</f>
        <v>0</v>
      </c>
      <c r="AP20" s="449">
        <f>'8. Hiệu quả dự án và CĐT'!AP14</f>
        <v>0</v>
      </c>
      <c r="AQ20" s="449">
        <f>'8. Hiệu quả dự án và CĐT'!AQ14</f>
        <v>0</v>
      </c>
      <c r="AR20" s="449">
        <f>'8. Hiệu quả dự án và CĐT'!AR14</f>
        <v>0</v>
      </c>
    </row>
    <row r="21" spans="1:44" s="450" customFormat="1">
      <c r="A21" s="447"/>
      <c r="B21" s="448" t="s">
        <v>183</v>
      </c>
      <c r="C21" s="451">
        <f t="shared" si="4"/>
        <v>105502673182.29453</v>
      </c>
      <c r="D21" s="449">
        <f>'8. Hiệu quả dự án và CĐT'!D15</f>
        <v>0</v>
      </c>
      <c r="E21" s="449">
        <f>'8. Hiệu quả dự án và CĐT'!E15</f>
        <v>0</v>
      </c>
      <c r="F21" s="449">
        <f>'8. Hiệu quả dự án và CĐT'!F15</f>
        <v>0</v>
      </c>
      <c r="G21" s="449">
        <f>'8. Hiệu quả dự án và CĐT'!G15</f>
        <v>0</v>
      </c>
      <c r="H21" s="449">
        <f>'8. Hiệu quả dự án và CĐT'!H15</f>
        <v>0</v>
      </c>
      <c r="I21" s="449">
        <f>'8. Hiệu quả dự án và CĐT'!I15</f>
        <v>0</v>
      </c>
      <c r="J21" s="449">
        <f>'8. Hiệu quả dự án và CĐT'!J15</f>
        <v>0</v>
      </c>
      <c r="K21" s="449">
        <f>'8. Hiệu quả dự án và CĐT'!K15</f>
        <v>0</v>
      </c>
      <c r="L21" s="449">
        <f>'8. Hiệu quả dự án và CĐT'!L15</f>
        <v>0</v>
      </c>
      <c r="M21" s="449">
        <f>'8. Hiệu quả dự án và CĐT'!M15</f>
        <v>12489679865.968636</v>
      </c>
      <c r="N21" s="449">
        <f>'8. Hiệu quả dự án và CĐT'!N15</f>
        <v>12489679865.968636</v>
      </c>
      <c r="O21" s="449">
        <f>'8. Hiệu quả dự án và CĐT'!O15</f>
        <v>12489679865.968636</v>
      </c>
      <c r="P21" s="449">
        <f>'8. Hiệu quả dự án và CĐT'!P15</f>
        <v>12489679865.968636</v>
      </c>
      <c r="Q21" s="449">
        <f>'8. Hiệu quả dự án và CĐT'!Q15</f>
        <v>13192064345.968636</v>
      </c>
      <c r="R21" s="449">
        <f>'8. Hiệu quả dự án và CĐT'!R15</f>
        <v>12665275985.968636</v>
      </c>
      <c r="S21" s="449">
        <f>'8. Hiệu quả dự án và CĐT'!S15</f>
        <v>12840872105.968636</v>
      </c>
      <c r="T21" s="449">
        <f>'8. Hiệu quả dự án và CĐT'!T15</f>
        <v>12489679865.968636</v>
      </c>
      <c r="U21" s="449">
        <f>'8. Hiệu quả dự án và CĐT'!U15</f>
        <v>936572716.36363626</v>
      </c>
      <c r="V21" s="449">
        <f>'8. Hiệu quả dự án và CĐT'!V15</f>
        <v>264583065.45454547</v>
      </c>
      <c r="W21" s="449">
        <f>'8. Hiệu quả dự án và CĐT'!W15</f>
        <v>407406585.45454544</v>
      </c>
      <c r="X21" s="449">
        <f>'8. Hiệu quả dự án và CĐT'!X15</f>
        <v>121759545.45454545</v>
      </c>
      <c r="Y21" s="449">
        <f>'8. Hiệu quả dự án và CĐT'!Y15</f>
        <v>1487203501.8181818</v>
      </c>
      <c r="Z21" s="449">
        <f>'8. Hiệu quả dự án và CĐT'!Z15</f>
        <v>118344239.99999999</v>
      </c>
      <c r="AA21" s="449">
        <f>'8. Hiệu quả dự án và CĐT'!AA15</f>
        <v>236688479.99999997</v>
      </c>
      <c r="AB21" s="449">
        <f>'8. Hiệu quả dự án và CĐT'!AB15</f>
        <v>0</v>
      </c>
      <c r="AC21" s="449">
        <f>'8. Hiệu quả dự án và CĐT'!AC15</f>
        <v>428470560</v>
      </c>
      <c r="AD21" s="449">
        <f>'8. Hiệu quả dự án và CĐT'!AD15</f>
        <v>0</v>
      </c>
      <c r="AE21" s="449">
        <f>'8. Hiệu quả dự án và CĐT'!AE15</f>
        <v>0</v>
      </c>
      <c r="AF21" s="449">
        <f>'8. Hiệu quả dự án và CĐT'!AF15</f>
        <v>0</v>
      </c>
      <c r="AG21" s="449">
        <f>'8. Hiệu quả dự án và CĐT'!AG15</f>
        <v>355032719.99999994</v>
      </c>
      <c r="AH21" s="449">
        <f>'8. Hiệu quả dự án và CĐT'!AH15</f>
        <v>0</v>
      </c>
      <c r="AI21" s="449">
        <f>'8. Hiệu quả dự án và CĐT'!AI15</f>
        <v>0</v>
      </c>
      <c r="AJ21" s="449">
        <f>'8. Hiệu quả dự án và CĐT'!AJ15</f>
        <v>0</v>
      </c>
      <c r="AK21" s="449">
        <f>'8. Hiệu quả dự án và CĐT'!AK15</f>
        <v>0</v>
      </c>
      <c r="AL21" s="449">
        <f>'8. Hiệu quả dự án và CĐT'!AL15</f>
        <v>0</v>
      </c>
      <c r="AM21" s="449">
        <f>'8. Hiệu quả dự án và CĐT'!AM15</f>
        <v>0</v>
      </c>
      <c r="AN21" s="449">
        <f>'8. Hiệu quả dự án và CĐT'!AN15</f>
        <v>0</v>
      </c>
      <c r="AO21" s="449">
        <f>'8. Hiệu quả dự án và CĐT'!AO15</f>
        <v>0</v>
      </c>
      <c r="AP21" s="449">
        <f>'8. Hiệu quả dự án và CĐT'!AP15</f>
        <v>0</v>
      </c>
      <c r="AQ21" s="449">
        <f>'8. Hiệu quả dự án và CĐT'!AQ15</f>
        <v>0</v>
      </c>
      <c r="AR21" s="449">
        <f>'8. Hiệu quả dự án và CĐT'!AR15</f>
        <v>0</v>
      </c>
    </row>
    <row r="22" spans="1:44" s="450" customFormat="1">
      <c r="A22" s="447"/>
      <c r="B22" s="448" t="s">
        <v>184</v>
      </c>
      <c r="C22" s="451">
        <f t="shared" si="4"/>
        <v>34128183181.341812</v>
      </c>
      <c r="D22" s="449">
        <f>D20-D21</f>
        <v>0</v>
      </c>
      <c r="E22" s="449">
        <f t="shared" ref="E22:AR22" si="9">E20-E21</f>
        <v>0</v>
      </c>
      <c r="F22" s="449">
        <f t="shared" si="9"/>
        <v>0</v>
      </c>
      <c r="G22" s="449">
        <f t="shared" si="9"/>
        <v>0</v>
      </c>
      <c r="H22" s="449">
        <f t="shared" si="9"/>
        <v>0</v>
      </c>
      <c r="I22" s="449">
        <f t="shared" si="9"/>
        <v>0</v>
      </c>
      <c r="J22" s="449">
        <f t="shared" si="9"/>
        <v>0</v>
      </c>
      <c r="K22" s="449">
        <f t="shared" si="9"/>
        <v>0</v>
      </c>
      <c r="L22" s="449">
        <f t="shared" si="9"/>
        <v>0</v>
      </c>
      <c r="M22" s="449">
        <f t="shared" si="9"/>
        <v>-12489679865.968636</v>
      </c>
      <c r="N22" s="449">
        <f t="shared" si="9"/>
        <v>-12489679865.968636</v>
      </c>
      <c r="O22" s="449">
        <f t="shared" si="9"/>
        <v>-12489679865.968636</v>
      </c>
      <c r="P22" s="449">
        <f t="shared" si="9"/>
        <v>-12489679865.968636</v>
      </c>
      <c r="Q22" s="449">
        <f t="shared" si="9"/>
        <v>4367547654.0313606</v>
      </c>
      <c r="R22" s="449">
        <f t="shared" si="9"/>
        <v>-8275372985.9686356</v>
      </c>
      <c r="S22" s="449">
        <f t="shared" si="9"/>
        <v>-4061066105.9686356</v>
      </c>
      <c r="T22" s="449">
        <f t="shared" si="9"/>
        <v>-12489679865.968636</v>
      </c>
      <c r="U22" s="449">
        <f t="shared" si="9"/>
        <v>22477745192.727272</v>
      </c>
      <c r="V22" s="449">
        <f t="shared" si="9"/>
        <v>6349993570.909091</v>
      </c>
      <c r="W22" s="449">
        <f t="shared" si="9"/>
        <v>9777758050.90909</v>
      </c>
      <c r="X22" s="449">
        <f t="shared" si="9"/>
        <v>2922229090.9090905</v>
      </c>
      <c r="Y22" s="449">
        <f t="shared" si="9"/>
        <v>35692884043.63636</v>
      </c>
      <c r="Z22" s="449">
        <f t="shared" si="9"/>
        <v>2840261759.9999995</v>
      </c>
      <c r="AA22" s="449">
        <f t="shared" si="9"/>
        <v>5680523519.999999</v>
      </c>
      <c r="AB22" s="449">
        <f t="shared" si="9"/>
        <v>0</v>
      </c>
      <c r="AC22" s="449">
        <f t="shared" si="9"/>
        <v>10283293440</v>
      </c>
      <c r="AD22" s="449">
        <f t="shared" si="9"/>
        <v>0</v>
      </c>
      <c r="AE22" s="449">
        <f t="shared" si="9"/>
        <v>0</v>
      </c>
      <c r="AF22" s="449">
        <f t="shared" si="9"/>
        <v>0</v>
      </c>
      <c r="AG22" s="449">
        <f t="shared" si="9"/>
        <v>8520785279.9999981</v>
      </c>
      <c r="AH22" s="449">
        <f t="shared" si="9"/>
        <v>0</v>
      </c>
      <c r="AI22" s="449">
        <f t="shared" si="9"/>
        <v>0</v>
      </c>
      <c r="AJ22" s="449">
        <f t="shared" si="9"/>
        <v>0</v>
      </c>
      <c r="AK22" s="449">
        <f t="shared" si="9"/>
        <v>0</v>
      </c>
      <c r="AL22" s="449">
        <f t="shared" si="9"/>
        <v>0</v>
      </c>
      <c r="AM22" s="449">
        <f t="shared" si="9"/>
        <v>0</v>
      </c>
      <c r="AN22" s="449">
        <f t="shared" si="9"/>
        <v>0</v>
      </c>
      <c r="AO22" s="449">
        <f t="shared" si="9"/>
        <v>0</v>
      </c>
      <c r="AP22" s="449">
        <f t="shared" si="9"/>
        <v>0</v>
      </c>
      <c r="AQ22" s="449">
        <f t="shared" si="9"/>
        <v>0</v>
      </c>
      <c r="AR22" s="449">
        <f t="shared" si="9"/>
        <v>0</v>
      </c>
    </row>
    <row r="23" spans="1:44" s="443" customFormat="1">
      <c r="A23" s="452" t="s">
        <v>24</v>
      </c>
      <c r="B23" s="452" t="s">
        <v>185</v>
      </c>
      <c r="C23" s="453">
        <f t="shared" ref="C23:AR23" si="10">C6-C10</f>
        <v>318118465451.13623</v>
      </c>
      <c r="D23" s="454">
        <f t="shared" si="10"/>
        <v>0</v>
      </c>
      <c r="E23" s="454">
        <f t="shared" si="10"/>
        <v>0</v>
      </c>
      <c r="F23" s="454">
        <f t="shared" si="10"/>
        <v>0</v>
      </c>
      <c r="G23" s="454">
        <f t="shared" si="10"/>
        <v>0</v>
      </c>
      <c r="H23" s="454">
        <f t="shared" si="10"/>
        <v>0</v>
      </c>
      <c r="I23" s="454">
        <f t="shared" si="10"/>
        <v>0</v>
      </c>
      <c r="J23" s="454">
        <f t="shared" si="10"/>
        <v>0</v>
      </c>
      <c r="K23" s="454">
        <f t="shared" si="10"/>
        <v>0</v>
      </c>
      <c r="L23" s="454">
        <f t="shared" si="10"/>
        <v>0</v>
      </c>
      <c r="M23" s="454">
        <f t="shared" si="10"/>
        <v>853714976.20419312</v>
      </c>
      <c r="N23" s="454">
        <f t="shared" si="10"/>
        <v>950611169.89025879</v>
      </c>
      <c r="O23" s="454">
        <f t="shared" si="10"/>
        <v>1387839976.6609192</v>
      </c>
      <c r="P23" s="454">
        <f t="shared" si="10"/>
        <v>2825068783.4316101</v>
      </c>
      <c r="Q23" s="454">
        <f t="shared" si="10"/>
        <v>70610249377.263428</v>
      </c>
      <c r="R23" s="454">
        <f t="shared" si="10"/>
        <v>-50942027353.598907</v>
      </c>
      <c r="S23" s="454">
        <f t="shared" si="10"/>
        <v>9935198635.5387573</v>
      </c>
      <c r="T23" s="454">
        <f t="shared" si="10"/>
        <v>-116259702415.32358</v>
      </c>
      <c r="U23" s="454">
        <f t="shared" si="10"/>
        <v>172512674168.12524</v>
      </c>
      <c r="V23" s="454">
        <f t="shared" si="10"/>
        <v>-3809972169.5077667</v>
      </c>
      <c r="W23" s="454">
        <f t="shared" si="10"/>
        <v>34978058612.859222</v>
      </c>
      <c r="X23" s="454">
        <f t="shared" si="10"/>
        <v>-39350138444.773788</v>
      </c>
      <c r="Y23" s="454">
        <f t="shared" si="10"/>
        <v>288172051971.49158</v>
      </c>
      <c r="Z23" s="454">
        <f t="shared" si="10"/>
        <v>-41334400587.140778</v>
      </c>
      <c r="AA23" s="454">
        <f t="shared" si="10"/>
        <v>-9008899724.7737961</v>
      </c>
      <c r="AB23" s="454">
        <f t="shared" si="10"/>
        <v>-74742522951.874847</v>
      </c>
      <c r="AC23" s="454">
        <f t="shared" si="10"/>
        <v>99007419468.6633</v>
      </c>
      <c r="AD23" s="454">
        <f t="shared" si="10"/>
        <v>-5954418263.0184364</v>
      </c>
      <c r="AE23" s="454">
        <f t="shared" ref="AE23:AH23" si="11">AE6-AE10</f>
        <v>-4396216465.6425638</v>
      </c>
      <c r="AF23" s="454">
        <f t="shared" si="11"/>
        <v>-1026029837.8992877</v>
      </c>
      <c r="AG23" s="454">
        <f t="shared" si="11"/>
        <v>85035492100.538193</v>
      </c>
      <c r="AH23" s="454">
        <f t="shared" si="11"/>
        <v>-38524399646.984375</v>
      </c>
      <c r="AI23" s="454">
        <f t="shared" si="10"/>
        <v>-7940747482.6423979</v>
      </c>
      <c r="AJ23" s="454">
        <f t="shared" si="10"/>
        <v>-6980448100.9177208</v>
      </c>
      <c r="AK23" s="454">
        <f t="shared" si="10"/>
        <v>-7460597791.7800589</v>
      </c>
      <c r="AL23" s="454">
        <f t="shared" si="10"/>
        <v>-7940747482.6423979</v>
      </c>
      <c r="AM23" s="454">
        <f t="shared" ref="AM23:AP23" si="12">AM6-AM10</f>
        <v>-5954418263.0184364</v>
      </c>
      <c r="AN23" s="454">
        <f t="shared" si="12"/>
        <v>-8119661267.7524109</v>
      </c>
      <c r="AO23" s="454">
        <f t="shared" si="12"/>
        <v>-7037039765.3854237</v>
      </c>
      <c r="AP23" s="454">
        <f t="shared" si="12"/>
        <v>-5954418263.0184364</v>
      </c>
      <c r="AQ23" s="454">
        <f t="shared" si="10"/>
        <v>-1623932253.5504837</v>
      </c>
      <c r="AR23" s="454">
        <f t="shared" si="10"/>
        <v>-3789175258.2844596</v>
      </c>
    </row>
    <row r="24" spans="1:44" s="443" customFormat="1">
      <c r="A24" s="452" t="s">
        <v>36</v>
      </c>
      <c r="B24" s="452" t="s">
        <v>186</v>
      </c>
      <c r="C24" s="453">
        <f>AR24</f>
        <v>318118465451.13629</v>
      </c>
      <c r="D24" s="453">
        <f>D23</f>
        <v>0</v>
      </c>
      <c r="E24" s="453">
        <f t="shared" ref="E24" si="13">D24+E23</f>
        <v>0</v>
      </c>
      <c r="F24" s="453">
        <f t="shared" ref="F24" si="14">E24+F23</f>
        <v>0</v>
      </c>
      <c r="G24" s="453">
        <f t="shared" ref="G24" si="15">F24+G23</f>
        <v>0</v>
      </c>
      <c r="H24" s="453">
        <f t="shared" ref="H24" si="16">G24+H23</f>
        <v>0</v>
      </c>
      <c r="I24" s="453">
        <f t="shared" ref="I24" si="17">H24+I23</f>
        <v>0</v>
      </c>
      <c r="J24" s="453">
        <f t="shared" ref="J24" si="18">I24+J23</f>
        <v>0</v>
      </c>
      <c r="K24" s="453">
        <f t="shared" ref="K24" si="19">J24+K23</f>
        <v>0</v>
      </c>
      <c r="L24" s="453">
        <f t="shared" ref="L24" si="20">K24+L23</f>
        <v>0</v>
      </c>
      <c r="M24" s="453">
        <f t="shared" ref="M24" si="21">L24+M23</f>
        <v>853714976.20419312</v>
      </c>
      <c r="N24" s="453">
        <f t="shared" ref="N24" si="22">M24+N23</f>
        <v>1804326146.0944519</v>
      </c>
      <c r="O24" s="453">
        <f t="shared" ref="O24" si="23">N24+O23</f>
        <v>3192166122.7553711</v>
      </c>
      <c r="P24" s="453">
        <f t="shared" ref="P24" si="24">O24+P23</f>
        <v>6017234906.1869812</v>
      </c>
      <c r="Q24" s="453">
        <f t="shared" ref="Q24" si="25">P24+Q23</f>
        <v>76627484283.450409</v>
      </c>
      <c r="R24" s="453">
        <f t="shared" ref="R24" si="26">Q24+R23</f>
        <v>25685456929.851501</v>
      </c>
      <c r="S24" s="453">
        <f t="shared" ref="S24" si="27">R24+S23</f>
        <v>35620655565.390259</v>
      </c>
      <c r="T24" s="453">
        <f t="shared" ref="T24" si="28">S24+T23</f>
        <v>-80639046849.933319</v>
      </c>
      <c r="U24" s="453">
        <f t="shared" ref="U24" si="29">T24+U23</f>
        <v>91873627318.191925</v>
      </c>
      <c r="V24" s="453">
        <f t="shared" ref="V24" si="30">U24+V23</f>
        <v>88063655148.684158</v>
      </c>
      <c r="W24" s="453">
        <f t="shared" ref="W24" si="31">V24+W23</f>
        <v>123041713761.54338</v>
      </c>
      <c r="X24" s="453">
        <f t="shared" ref="X24" si="32">W24+X23</f>
        <v>83691575316.769592</v>
      </c>
      <c r="Y24" s="453">
        <f t="shared" ref="Y24" si="33">X24+Y23</f>
        <v>371863627288.26117</v>
      </c>
      <c r="Z24" s="453">
        <f t="shared" ref="Z24" si="34">Y24+Z23</f>
        <v>330529226701.12036</v>
      </c>
      <c r="AA24" s="453">
        <f t="shared" ref="AA24" si="35">Z24+AA23</f>
        <v>321520326976.34656</v>
      </c>
      <c r="AB24" s="453">
        <f t="shared" ref="AB24" si="36">AA24+AB23</f>
        <v>246777804024.47171</v>
      </c>
      <c r="AC24" s="453">
        <f t="shared" ref="AC24" si="37">AB24+AC23</f>
        <v>345785223493.13501</v>
      </c>
      <c r="AD24" s="453">
        <f t="shared" ref="AD24" si="38">AC24+AD23</f>
        <v>339830805230.11658</v>
      </c>
      <c r="AE24" s="453">
        <f t="shared" ref="AE24" si="39">AD24+AE23</f>
        <v>335434588764.474</v>
      </c>
      <c r="AF24" s="453">
        <f t="shared" ref="AF24" si="40">AE24+AF23</f>
        <v>334408558926.57471</v>
      </c>
      <c r="AG24" s="453">
        <f t="shared" ref="AG24" si="41">AF24+AG23</f>
        <v>419444051027.11292</v>
      </c>
      <c r="AH24" s="453">
        <f t="shared" ref="AH24" si="42">AG24+AH23</f>
        <v>380919651380.12854</v>
      </c>
      <c r="AI24" s="453">
        <f t="shared" ref="AI24" si="43">AH24+AI23</f>
        <v>372978903897.48615</v>
      </c>
      <c r="AJ24" s="453">
        <f t="shared" ref="AJ24" si="44">AI24+AJ23</f>
        <v>365998455796.56842</v>
      </c>
      <c r="AK24" s="453">
        <f t="shared" ref="AK24" si="45">AJ24+AK23</f>
        <v>358537858004.78839</v>
      </c>
      <c r="AL24" s="453">
        <f t="shared" ref="AL24" si="46">AK24+AL23</f>
        <v>350597110522.146</v>
      </c>
      <c r="AM24" s="453">
        <f t="shared" ref="AM24" si="47">AL24+AM23</f>
        <v>344642692259.12756</v>
      </c>
      <c r="AN24" s="453">
        <f t="shared" ref="AN24" si="48">AM24+AN23</f>
        <v>336523030991.37512</v>
      </c>
      <c r="AO24" s="453">
        <f t="shared" ref="AO24" si="49">AN24+AO23</f>
        <v>329485991225.98969</v>
      </c>
      <c r="AP24" s="453">
        <f t="shared" ref="AP24" si="50">AO24+AP23</f>
        <v>323531572962.97125</v>
      </c>
      <c r="AQ24" s="453">
        <f t="shared" ref="AQ24" si="51">AP24+AQ23</f>
        <v>321907640709.42078</v>
      </c>
      <c r="AR24" s="453">
        <f t="shared" ref="AR24" si="52">AQ24+AR23</f>
        <v>318118465451.13629</v>
      </c>
    </row>
    <row r="25" spans="1:44">
      <c r="C25" s="455">
        <f>+C23-C9</f>
        <v>69118465451.13623</v>
      </c>
      <c r="D25" s="455"/>
      <c r="E25" s="455"/>
      <c r="F25" s="455"/>
      <c r="G25" s="455"/>
      <c r="H25" s="455"/>
      <c r="I25" s="455"/>
      <c r="J25" s="455"/>
      <c r="K25" s="455"/>
      <c r="L25" s="455"/>
      <c r="M25" s="455"/>
      <c r="N25" s="455"/>
      <c r="O25" s="455"/>
      <c r="P25" s="455"/>
      <c r="Q25" s="455"/>
      <c r="R25" s="455"/>
      <c r="S25" s="455"/>
      <c r="T25" s="455"/>
      <c r="U25" s="455"/>
      <c r="V25" s="455"/>
      <c r="W25" s="455"/>
      <c r="X25" s="455"/>
      <c r="Y25" s="455"/>
      <c r="Z25" s="455"/>
      <c r="AA25" s="455"/>
      <c r="AB25" s="455"/>
      <c r="AC25" s="455"/>
      <c r="AD25" s="455"/>
      <c r="AE25" s="455"/>
      <c r="AF25" s="455"/>
      <c r="AG25" s="455"/>
      <c r="AH25" s="455"/>
      <c r="AI25" s="455"/>
      <c r="AJ25" s="455"/>
      <c r="AK25" s="455"/>
      <c r="AL25" s="455"/>
      <c r="AM25" s="455"/>
      <c r="AN25" s="455"/>
      <c r="AO25" s="455"/>
      <c r="AP25" s="455"/>
      <c r="AQ25" s="455"/>
      <c r="AR25" s="455"/>
    </row>
    <row r="26" spans="1:44">
      <c r="C26" s="424" t="s">
        <v>202</v>
      </c>
      <c r="D26" s="424">
        <f t="shared" ref="D26:X26" si="53">IF(D7&gt;0,MAX(D10-D9-D8,0),0)</f>
        <v>0</v>
      </c>
      <c r="E26" s="424">
        <f t="shared" si="53"/>
        <v>0</v>
      </c>
      <c r="F26" s="424">
        <f t="shared" si="53"/>
        <v>0</v>
      </c>
      <c r="G26" s="424">
        <f t="shared" si="53"/>
        <v>0</v>
      </c>
      <c r="H26" s="424">
        <f t="shared" si="53"/>
        <v>0</v>
      </c>
      <c r="I26" s="424">
        <f>IF(I7&gt;0,MAX(I10-I9-I8,0),0)</f>
        <v>0</v>
      </c>
      <c r="J26" s="424">
        <f t="shared" si="53"/>
        <v>0</v>
      </c>
      <c r="K26" s="424">
        <f t="shared" si="53"/>
        <v>0</v>
      </c>
      <c r="L26" s="424">
        <f t="shared" si="53"/>
        <v>0</v>
      </c>
      <c r="M26" s="424">
        <f t="shared" si="53"/>
        <v>0</v>
      </c>
      <c r="N26" s="424">
        <f t="shared" si="53"/>
        <v>0</v>
      </c>
      <c r="O26" s="424">
        <f t="shared" si="53"/>
        <v>0</v>
      </c>
      <c r="P26" s="424">
        <f t="shared" si="53"/>
        <v>0</v>
      </c>
      <c r="Q26" s="424">
        <f t="shared" si="53"/>
        <v>122545482622.73657</v>
      </c>
      <c r="R26" s="424">
        <f>IF(R7&gt;0,MAX(R10-R9-R8,0),0)</f>
        <v>99230960353.598907</v>
      </c>
      <c r="S26" s="424">
        <f t="shared" si="53"/>
        <v>86642667364.461243</v>
      </c>
      <c r="T26" s="424">
        <f t="shared" si="53"/>
        <v>0</v>
      </c>
      <c r="U26" s="424">
        <f t="shared" si="53"/>
        <v>85044822831.874756</v>
      </c>
      <c r="V26" s="424">
        <f t="shared" si="53"/>
        <v>76570315169.507767</v>
      </c>
      <c r="W26" s="424">
        <f t="shared" si="53"/>
        <v>77058752387.140778</v>
      </c>
      <c r="X26" s="424">
        <f t="shared" si="53"/>
        <v>72834013444.773788</v>
      </c>
      <c r="Y26" s="424">
        <f t="shared" ref="Y26:AA26" si="54">IF(Y7&gt;0,MAX(Y10-Y9-Y8,0),0)</f>
        <v>120808911028.50841</v>
      </c>
      <c r="Z26" s="424">
        <f t="shared" si="54"/>
        <v>73879066587.140778</v>
      </c>
      <c r="AA26" s="424">
        <f t="shared" si="54"/>
        <v>74098231724.773788</v>
      </c>
      <c r="AB26" s="424">
        <f t="shared" ref="AB26:AR26" si="55">IF(AB7&gt;0,MAX(AB10-AB9-AB8,0),0)</f>
        <v>0</v>
      </c>
      <c r="AC26" s="424">
        <f t="shared" si="55"/>
        <v>18821984531.336708</v>
      </c>
      <c r="AD26" s="424">
        <f t="shared" si="55"/>
        <v>0</v>
      </c>
      <c r="AE26" s="424">
        <f t="shared" ref="AE26:AH26" si="56">IF(AE7&gt;0,MAX(AE10-AE9-AE8,0),0)</f>
        <v>0</v>
      </c>
      <c r="AF26" s="424">
        <f t="shared" si="56"/>
        <v>0</v>
      </c>
      <c r="AG26" s="424">
        <f t="shared" si="56"/>
        <v>12598505899.461792</v>
      </c>
      <c r="AH26" s="424">
        <f t="shared" si="56"/>
        <v>0</v>
      </c>
      <c r="AI26" s="424">
        <f t="shared" si="55"/>
        <v>0</v>
      </c>
      <c r="AJ26" s="424">
        <f t="shared" si="55"/>
        <v>0</v>
      </c>
      <c r="AK26" s="424">
        <f t="shared" si="55"/>
        <v>0</v>
      </c>
      <c r="AL26" s="424">
        <f t="shared" si="55"/>
        <v>0</v>
      </c>
      <c r="AM26" s="424">
        <f t="shared" ref="AM26:AP26" si="57">IF(AM7&gt;0,MAX(AM10-AM9-AM8,0),0)</f>
        <v>0</v>
      </c>
      <c r="AN26" s="424">
        <f t="shared" si="57"/>
        <v>0</v>
      </c>
      <c r="AO26" s="424">
        <f t="shared" si="57"/>
        <v>0</v>
      </c>
      <c r="AP26" s="424">
        <f t="shared" si="57"/>
        <v>0</v>
      </c>
      <c r="AQ26" s="424">
        <f t="shared" si="55"/>
        <v>0</v>
      </c>
      <c r="AR26" s="424">
        <f t="shared" si="55"/>
        <v>0</v>
      </c>
    </row>
    <row r="28" spans="1:44">
      <c r="D28" s="456">
        <v>2023</v>
      </c>
      <c r="E28" s="456">
        <v>2024</v>
      </c>
      <c r="F28" s="456">
        <v>2025</v>
      </c>
      <c r="G28" s="456">
        <v>2026</v>
      </c>
      <c r="H28" s="456">
        <v>2027</v>
      </c>
      <c r="I28" s="456">
        <v>2028</v>
      </c>
      <c r="J28" s="456">
        <v>2029</v>
      </c>
    </row>
    <row r="29" spans="1:44">
      <c r="D29" s="424">
        <f>D23</f>
        <v>0</v>
      </c>
      <c r="E29" s="424">
        <f>SUM(E23:H23)</f>
        <v>0</v>
      </c>
      <c r="F29" s="424">
        <f>SUM(I23:L23)</f>
        <v>0</v>
      </c>
      <c r="G29" s="424">
        <f>SUM(M23:P23)</f>
        <v>6017234906.1869812</v>
      </c>
      <c r="H29" s="424">
        <f>SUM(Q23:T23)</f>
        <v>-86656281756.1203</v>
      </c>
      <c r="I29" s="424">
        <f>SUM(U23:X23)</f>
        <v>164330622166.70294</v>
      </c>
      <c r="J29" s="424">
        <f>SUM(AR23:AR23)</f>
        <v>-3789175258.2844596</v>
      </c>
    </row>
    <row r="30" spans="1:44">
      <c r="D30" s="424">
        <f>D29/10^6</f>
        <v>0</v>
      </c>
      <c r="E30" s="424">
        <f>E29/10^6</f>
        <v>0</v>
      </c>
      <c r="F30" s="424">
        <f t="shared" ref="F30:J30" si="58">F29/10^6</f>
        <v>0</v>
      </c>
      <c r="G30" s="424">
        <f>G29/10^6</f>
        <v>6017.2349061869809</v>
      </c>
      <c r="H30" s="424">
        <f t="shared" si="58"/>
        <v>-86656.281756120297</v>
      </c>
      <c r="I30" s="424">
        <f t="shared" si="58"/>
        <v>164330.62216670293</v>
      </c>
      <c r="J30" s="424">
        <f t="shared" si="58"/>
        <v>-3789.1752582844597</v>
      </c>
    </row>
  </sheetData>
  <mergeCells count="3">
    <mergeCell ref="A1:D1"/>
    <mergeCell ref="A2:D2"/>
    <mergeCell ref="A3:D3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4FDDD-01A1-489E-A2F1-7A41C492660D}">
  <dimension ref="A1:D28"/>
  <sheetViews>
    <sheetView workbookViewId="0">
      <selection activeCell="F11" sqref="F11"/>
    </sheetView>
  </sheetViews>
  <sheetFormatPr defaultColWidth="9.26953125" defaultRowHeight="15.5"/>
  <cols>
    <col min="1" max="1" width="39.26953125" style="161" customWidth="1"/>
    <col min="2" max="4" width="18.26953125" style="161" bestFit="1" customWidth="1"/>
    <col min="5" max="16384" width="9.26953125" style="161"/>
  </cols>
  <sheetData>
    <row r="1" spans="1:4">
      <c r="A1" s="164" t="s">
        <v>203</v>
      </c>
      <c r="B1" s="162"/>
      <c r="C1" s="162"/>
      <c r="D1" s="162"/>
    </row>
    <row r="2" spans="1:4">
      <c r="A2" s="592"/>
      <c r="B2" s="593">
        <v>45688</v>
      </c>
      <c r="C2" s="593">
        <f t="shared" ref="C2:D2" si="0">EOMONTH(B2,1)</f>
        <v>45716</v>
      </c>
      <c r="D2" s="593">
        <f t="shared" si="0"/>
        <v>45747</v>
      </c>
    </row>
    <row r="3" spans="1:4">
      <c r="A3" s="592" t="s">
        <v>204</v>
      </c>
      <c r="B3" s="594">
        <f>'4. Vay'!N9</f>
        <v>126280595433.75848</v>
      </c>
      <c r="C3" s="594"/>
      <c r="D3" s="594"/>
    </row>
    <row r="4" spans="1:4">
      <c r="A4" s="592" t="s">
        <v>205</v>
      </c>
      <c r="B4" s="594" t="e">
        <f>#REF!</f>
        <v>#REF!</v>
      </c>
      <c r="C4" s="594"/>
      <c r="D4" s="594"/>
    </row>
    <row r="5" spans="1:4">
      <c r="A5" s="592" t="s">
        <v>206</v>
      </c>
      <c r="B5" s="594">
        <v>30000000000</v>
      </c>
      <c r="C5" s="594"/>
      <c r="D5" s="594"/>
    </row>
    <row r="6" spans="1:4">
      <c r="A6" s="592" t="s">
        <v>207</v>
      </c>
      <c r="B6" s="594" t="e">
        <f>'5. KHBH'!#REF!</f>
        <v>#REF!</v>
      </c>
      <c r="C6" s="594" t="e">
        <f>'5. KHBH'!#REF!</f>
        <v>#REF!</v>
      </c>
      <c r="D6" s="594" t="e">
        <f>'5. KHBH'!#REF!</f>
        <v>#REF!</v>
      </c>
    </row>
    <row r="7" spans="1:4">
      <c r="B7" s="163"/>
      <c r="C7" s="163"/>
      <c r="D7" s="163"/>
    </row>
    <row r="8" spans="1:4">
      <c r="A8" s="164" t="s">
        <v>208</v>
      </c>
      <c r="B8" s="163"/>
      <c r="C8" s="163"/>
      <c r="D8" s="163"/>
    </row>
    <row r="9" spans="1:4">
      <c r="A9" s="167" t="s">
        <v>209</v>
      </c>
      <c r="B9" s="168">
        <v>0.9</v>
      </c>
      <c r="C9" s="168">
        <v>0.05</v>
      </c>
      <c r="D9" s="168">
        <v>0.05</v>
      </c>
    </row>
    <row r="10" spans="1:4">
      <c r="A10" s="161" t="s">
        <v>210</v>
      </c>
      <c r="B10" s="165" t="e">
        <f>#REF!</f>
        <v>#REF!</v>
      </c>
      <c r="C10" s="165">
        <v>0</v>
      </c>
      <c r="D10" s="165">
        <v>0</v>
      </c>
    </row>
    <row r="11" spans="1:4">
      <c r="A11" s="161" t="s">
        <v>211</v>
      </c>
      <c r="B11" s="165" t="e">
        <f>$B$10*B9</f>
        <v>#REF!</v>
      </c>
      <c r="C11" s="165" t="e">
        <f>$B$10*C9</f>
        <v>#REF!</v>
      </c>
      <c r="D11" s="165" t="e">
        <f>$B$10*D9</f>
        <v>#REF!</v>
      </c>
    </row>
    <row r="12" spans="1:4">
      <c r="A12" s="161" t="s">
        <v>212</v>
      </c>
      <c r="B12" s="165" t="e">
        <f>B3+B5+B6-B11</f>
        <v>#REF!</v>
      </c>
      <c r="C12" s="165" t="e">
        <f>C3+C5+C6-C11</f>
        <v>#REF!</v>
      </c>
      <c r="D12" s="165" t="e">
        <f>D3+D5+D6-D11</f>
        <v>#REF!</v>
      </c>
    </row>
    <row r="13" spans="1:4" ht="31">
      <c r="A13" s="161" t="s">
        <v>213</v>
      </c>
      <c r="B13" s="165" t="e">
        <f>B4-B5</f>
        <v>#REF!</v>
      </c>
      <c r="C13" s="165">
        <f>C4-C5</f>
        <v>0</v>
      </c>
      <c r="D13" s="165">
        <f>D4-D5</f>
        <v>0</v>
      </c>
    </row>
    <row r="14" spans="1:4">
      <c r="A14" s="161" t="s">
        <v>214</v>
      </c>
      <c r="B14" s="165" t="e">
        <f>B12-B13</f>
        <v>#REF!</v>
      </c>
      <c r="C14" s="165" t="e">
        <f>C12-C13</f>
        <v>#REF!</v>
      </c>
      <c r="D14" s="165" t="e">
        <f>D12-D13</f>
        <v>#REF!</v>
      </c>
    </row>
    <row r="15" spans="1:4">
      <c r="B15" s="165"/>
      <c r="C15" s="165"/>
      <c r="D15" s="165"/>
    </row>
    <row r="16" spans="1:4">
      <c r="A16" s="164" t="s">
        <v>215</v>
      </c>
      <c r="B16" s="90"/>
      <c r="C16" s="90"/>
      <c r="D16" s="90"/>
    </row>
    <row r="17" spans="1:4" ht="31">
      <c r="A17" s="167" t="s">
        <v>216</v>
      </c>
      <c r="B17" s="169">
        <v>0.3</v>
      </c>
      <c r="C17" s="169">
        <v>0.3</v>
      </c>
      <c r="D17" s="169">
        <v>0.3</v>
      </c>
    </row>
    <row r="18" spans="1:4" ht="31">
      <c r="A18" s="161" t="s">
        <v>217</v>
      </c>
      <c r="B18" s="90" t="e">
        <f>IF(B14&lt;0,-B14,0)</f>
        <v>#REF!</v>
      </c>
      <c r="C18" s="90" t="e">
        <f>IF(C14&lt;0,-C14,0)</f>
        <v>#REF!</v>
      </c>
      <c r="D18" s="90" t="e">
        <f>IF(D14&lt;0,-D14,0)</f>
        <v>#REF!</v>
      </c>
    </row>
    <row r="19" spans="1:4">
      <c r="A19" s="161" t="s">
        <v>218</v>
      </c>
      <c r="B19" s="90" t="e">
        <f>B18*B17</f>
        <v>#REF!</v>
      </c>
      <c r="C19" s="90" t="e">
        <f>C18*C17</f>
        <v>#REF!</v>
      </c>
      <c r="D19" s="90" t="e">
        <f>D18*D17</f>
        <v>#REF!</v>
      </c>
    </row>
    <row r="20" spans="1:4">
      <c r="B20" s="90"/>
      <c r="C20" s="90"/>
      <c r="D20" s="90"/>
    </row>
    <row r="21" spans="1:4">
      <c r="B21" s="90"/>
      <c r="C21" s="90"/>
      <c r="D21" s="90"/>
    </row>
    <row r="22" spans="1:4" s="164" customFormat="1" ht="15">
      <c r="A22" s="164" t="s">
        <v>219</v>
      </c>
      <c r="B22" s="166"/>
      <c r="C22" s="166"/>
      <c r="D22" s="166"/>
    </row>
    <row r="23" spans="1:4" s="164" customFormat="1">
      <c r="A23" s="167" t="s">
        <v>220</v>
      </c>
      <c r="B23" s="169">
        <v>0.8</v>
      </c>
      <c r="C23" s="169">
        <v>0.8</v>
      </c>
      <c r="D23" s="169">
        <v>0.8</v>
      </c>
    </row>
    <row r="24" spans="1:4">
      <c r="A24" s="161" t="s">
        <v>221</v>
      </c>
      <c r="B24" s="90" t="e">
        <f>'5. KHBH'!#REF!</f>
        <v>#REF!</v>
      </c>
      <c r="C24" s="90" t="e">
        <f>'5. KHBH'!#REF!</f>
        <v>#REF!</v>
      </c>
      <c r="D24" s="90" t="e">
        <f>'5. KHBH'!#REF!</f>
        <v>#REF!</v>
      </c>
    </row>
    <row r="25" spans="1:4">
      <c r="A25" s="161" t="s">
        <v>222</v>
      </c>
      <c r="B25" s="90" t="e">
        <f>B24*B23</f>
        <v>#REF!</v>
      </c>
      <c r="C25" s="90" t="e">
        <f>C24*C23</f>
        <v>#REF!</v>
      </c>
      <c r="D25" s="90" t="e">
        <f>D24*D23</f>
        <v>#REF!</v>
      </c>
    </row>
    <row r="26" spans="1:4">
      <c r="A26" s="161" t="s">
        <v>223</v>
      </c>
      <c r="B26" s="90" t="e">
        <f>B24-B25</f>
        <v>#REF!</v>
      </c>
      <c r="C26" s="90" t="e">
        <f>C24-C25</f>
        <v>#REF!</v>
      </c>
      <c r="D26" s="90" t="e">
        <f>D24-D25</f>
        <v>#REF!</v>
      </c>
    </row>
    <row r="27" spans="1:4" ht="31">
      <c r="A27" s="161" t="s">
        <v>217</v>
      </c>
      <c r="B27" s="90" t="e">
        <f>IF(B14&lt;0,-B14,0)</f>
        <v>#REF!</v>
      </c>
      <c r="C27" s="90" t="e">
        <f>IF(C14&lt;0,-C14,0)</f>
        <v>#REF!</v>
      </c>
      <c r="D27" s="90" t="e">
        <f>IF(D14&lt;0,-D14,0)</f>
        <v>#REF!</v>
      </c>
    </row>
    <row r="28" spans="1:4">
      <c r="A28" s="161" t="s">
        <v>224</v>
      </c>
      <c r="B28" s="170" t="e">
        <f>B27/B26</f>
        <v>#REF!</v>
      </c>
      <c r="C28" s="170" t="e">
        <f>C27/C26</f>
        <v>#REF!</v>
      </c>
      <c r="D28" s="170" t="e">
        <f>D27/D26</f>
        <v>#REF!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D937B-684C-4C2C-8DB8-84129BB02BC4}">
  <dimension ref="A1:Y48"/>
  <sheetViews>
    <sheetView topLeftCell="A5" zoomScaleNormal="100" workbookViewId="0">
      <pane xSplit="6" ySplit="10" topLeftCell="G30" activePane="bottomRight" state="frozen"/>
      <selection pane="topRight" activeCell="G5" sqref="G5"/>
      <selection pane="bottomLeft" activeCell="A15" sqref="A15"/>
      <selection pane="bottomRight" activeCell="AE59" sqref="AE59"/>
    </sheetView>
  </sheetViews>
  <sheetFormatPr defaultColWidth="8.7265625" defaultRowHeight="13"/>
  <cols>
    <col min="1" max="1" width="5.7265625" style="187" customWidth="1"/>
    <col min="2" max="2" width="6.7265625" style="187" customWidth="1"/>
    <col min="3" max="4" width="8.7265625" style="187"/>
    <col min="5" max="5" width="9" style="187" bestFit="1" customWidth="1"/>
    <col min="6" max="6" width="9.453125" style="187" bestFit="1" customWidth="1"/>
    <col min="7" max="7" width="10.26953125" style="187" customWidth="1"/>
    <col min="8" max="8" width="18.453125" style="187" hidden="1" customWidth="1"/>
    <col min="9" max="9" width="17.453125" style="187" hidden="1" customWidth="1"/>
    <col min="10" max="10" width="17" style="187" hidden="1" customWidth="1"/>
    <col min="11" max="11" width="16" style="187" hidden="1" customWidth="1"/>
    <col min="12" max="12" width="8" style="187" hidden="1" customWidth="1"/>
    <col min="13" max="13" width="14.7265625" style="187" hidden="1" customWidth="1"/>
    <col min="14" max="14" width="19.7265625" style="187" hidden="1" customWidth="1"/>
    <col min="15" max="15" width="13.453125" style="187" hidden="1" customWidth="1"/>
    <col min="16" max="16" width="17.7265625" style="187" hidden="1" customWidth="1"/>
    <col min="17" max="17" width="15.453125" style="187" bestFit="1" customWidth="1"/>
    <col min="18" max="18" width="14.26953125" style="187" customWidth="1"/>
    <col min="19" max="19" width="13.453125" style="187" hidden="1" customWidth="1"/>
    <col min="20" max="20" width="11" style="187" hidden="1" customWidth="1"/>
    <col min="21" max="21" width="18.26953125" style="187" bestFit="1" customWidth="1"/>
    <col min="22" max="24" width="8.7265625" style="187"/>
    <col min="25" max="25" width="16" style="187" bestFit="1" customWidth="1"/>
    <col min="26" max="16384" width="8.7265625" style="187"/>
  </cols>
  <sheetData>
    <row r="1" spans="1:25">
      <c r="K1" s="232"/>
      <c r="L1" s="232"/>
      <c r="M1" s="595"/>
      <c r="N1" s="595" t="s">
        <v>225</v>
      </c>
      <c r="O1" s="595" t="s">
        <v>226</v>
      </c>
      <c r="P1" s="595" t="s">
        <v>227</v>
      </c>
      <c r="S1" s="187" t="s">
        <v>228</v>
      </c>
      <c r="T1" s="233">
        <v>1</v>
      </c>
    </row>
    <row r="2" spans="1:25">
      <c r="K2" s="232"/>
      <c r="L2" s="232"/>
      <c r="M2" s="595" t="s">
        <v>229</v>
      </c>
      <c r="N2" s="596">
        <f>SUMIFS($I$9:$I$48,$B$9:$B$48,"II",$G$9:$G$48,"42m")</f>
        <v>82341032251.315216</v>
      </c>
      <c r="O2" s="596">
        <f>SUMIFS($E$9:$E$48,B9:$B$48,"ii",$G$9:$G$48,"42m")</f>
        <v>1080</v>
      </c>
      <c r="P2" s="597">
        <f>N2/O2</f>
        <v>76241696.528995574</v>
      </c>
      <c r="Q2" s="188"/>
      <c r="S2" s="187" t="s">
        <v>230</v>
      </c>
      <c r="T2" s="233">
        <v>1</v>
      </c>
    </row>
    <row r="3" spans="1:25">
      <c r="K3" s="232"/>
      <c r="L3" s="232"/>
      <c r="M3" s="595" t="s">
        <v>231</v>
      </c>
      <c r="N3" s="597">
        <f>SUMIFS($I$9:$I$48,$B$9:$B$48,"ii")-N2</f>
        <v>193587673709.04434</v>
      </c>
      <c r="O3" s="596">
        <f>SUMIFS($E$9:$E$48,$B$9:$B$48,"ii")-O2</f>
        <v>3947.83</v>
      </c>
      <c r="P3" s="597">
        <f>N3/O3</f>
        <v>49036476.674285457</v>
      </c>
      <c r="Q3" s="188"/>
      <c r="S3" s="187" t="s">
        <v>232</v>
      </c>
      <c r="T3" s="233">
        <v>1</v>
      </c>
    </row>
    <row r="4" spans="1:25">
      <c r="K4" s="232"/>
      <c r="L4" s="232"/>
      <c r="M4" s="595" t="s">
        <v>233</v>
      </c>
      <c r="N4" s="597">
        <f>SUM(N2:N3)</f>
        <v>275928705960.35956</v>
      </c>
      <c r="O4" s="596">
        <f>SUM(O2:O3)</f>
        <v>5027.83</v>
      </c>
      <c r="P4" s="597">
        <f>N4/O4</f>
        <v>54880277.567133248</v>
      </c>
      <c r="Q4" s="188"/>
    </row>
    <row r="5" spans="1:25">
      <c r="D5" s="187">
        <v>1</v>
      </c>
      <c r="E5" s="187">
        <v>2</v>
      </c>
      <c r="F5" s="187">
        <v>3</v>
      </c>
      <c r="G5" s="187">
        <v>4</v>
      </c>
      <c r="H5" s="187">
        <v>5</v>
      </c>
      <c r="I5" s="187">
        <v>6</v>
      </c>
      <c r="J5" s="187">
        <v>7</v>
      </c>
      <c r="K5" s="187">
        <v>8</v>
      </c>
      <c r="L5" s="187">
        <v>9</v>
      </c>
      <c r="M5" s="187">
        <v>10</v>
      </c>
      <c r="N5" s="187">
        <v>11</v>
      </c>
      <c r="O5" s="187">
        <v>12</v>
      </c>
      <c r="P5" s="187">
        <v>13</v>
      </c>
      <c r="Q5" s="187">
        <v>14</v>
      </c>
      <c r="R5" s="187">
        <v>15</v>
      </c>
    </row>
    <row r="6" spans="1:25">
      <c r="K6" s="233">
        <v>0.9</v>
      </c>
      <c r="L6" s="233"/>
      <c r="N6" s="234">
        <v>5.5E-2</v>
      </c>
      <c r="O6" s="233">
        <v>0.1</v>
      </c>
    </row>
    <row r="7" spans="1:25">
      <c r="E7" s="189">
        <f>SUBTOTAL(9,E9:E48)</f>
        <v>5147.83</v>
      </c>
      <c r="H7" s="190"/>
      <c r="I7" s="189">
        <f>SUBTOTAL(9,I9:I48)</f>
        <v>285518078373.28754</v>
      </c>
      <c r="J7" s="191">
        <f>I7/E7</f>
        <v>55463773.74025318</v>
      </c>
      <c r="K7" s="191">
        <f>J7*K6</f>
        <v>49917396.366227865</v>
      </c>
      <c r="L7" s="191"/>
      <c r="N7" s="233">
        <v>0.1</v>
      </c>
      <c r="O7" s="233">
        <v>0.1</v>
      </c>
      <c r="Q7" s="189">
        <f>SUBTOTAL(9,Q9:Q48)</f>
        <v>252560349659.30753</v>
      </c>
      <c r="R7" s="189">
        <f>Q7/E7</f>
        <v>49061517.116786592</v>
      </c>
      <c r="U7" s="189">
        <f>SUBTOTAL(9,U9:U48)</f>
        <v>252560349659.30753</v>
      </c>
      <c r="Y7" s="189" t="e">
        <f>SUBTOTAL(9,Y9:Y48)</f>
        <v>#REF!</v>
      </c>
    </row>
    <row r="8" spans="1:25" s="197" customFormat="1" ht="42.4" customHeight="1">
      <c r="A8" s="192" t="s">
        <v>48</v>
      </c>
      <c r="B8" s="193" t="s">
        <v>234</v>
      </c>
      <c r="C8" s="194" t="s">
        <v>235</v>
      </c>
      <c r="D8" s="194" t="s">
        <v>112</v>
      </c>
      <c r="E8" s="194" t="s">
        <v>236</v>
      </c>
      <c r="F8" s="194" t="s">
        <v>237</v>
      </c>
      <c r="G8" s="194" t="s">
        <v>238</v>
      </c>
      <c r="H8" s="195" t="s">
        <v>239</v>
      </c>
      <c r="I8" s="196" t="s">
        <v>240</v>
      </c>
      <c r="J8" s="196" t="s">
        <v>241</v>
      </c>
      <c r="K8" s="598" t="s">
        <v>242</v>
      </c>
      <c r="L8" s="235"/>
      <c r="M8" s="598" t="s">
        <v>243</v>
      </c>
      <c r="N8" s="598" t="s">
        <v>244</v>
      </c>
      <c r="O8" s="598" t="s">
        <v>245</v>
      </c>
      <c r="P8" s="598" t="s">
        <v>246</v>
      </c>
      <c r="Q8" s="599" t="s">
        <v>247</v>
      </c>
      <c r="R8" s="599" t="s">
        <v>248</v>
      </c>
      <c r="S8" s="197" t="s">
        <v>249</v>
      </c>
    </row>
    <row r="9" spans="1:25" s="237" customFormat="1">
      <c r="A9" s="380">
        <v>1</v>
      </c>
      <c r="B9" s="381" t="s">
        <v>18</v>
      </c>
      <c r="C9" s="198" t="s">
        <v>250</v>
      </c>
      <c r="D9" s="198" t="s">
        <v>251</v>
      </c>
      <c r="E9" s="198">
        <v>169.75</v>
      </c>
      <c r="F9" s="198" t="s">
        <v>252</v>
      </c>
      <c r="G9" s="198" t="s">
        <v>253</v>
      </c>
      <c r="H9" s="199">
        <v>4280100000</v>
      </c>
      <c r="I9" s="201">
        <v>7763545869.4843502</v>
      </c>
      <c r="J9" s="202">
        <f t="shared" ref="J9:J48" si="0">I9/E9</f>
        <v>45735174.488862149</v>
      </c>
      <c r="K9" s="202">
        <f>I9*$K$6</f>
        <v>6987191282.5359154</v>
      </c>
      <c r="L9" s="202"/>
      <c r="M9" s="202">
        <f>H9+K9</f>
        <v>11267291282.535915</v>
      </c>
      <c r="N9" s="202">
        <f>M9/(1-$N$7)</f>
        <v>12519212536.151016</v>
      </c>
      <c r="O9" s="202">
        <f>N9*$O$7</f>
        <v>1251921253.6151016</v>
      </c>
      <c r="P9" s="202">
        <f>N9-O9</f>
        <v>11267291282.535915</v>
      </c>
      <c r="Q9" s="236">
        <v>6987191282.5359154</v>
      </c>
      <c r="R9" s="236">
        <v>41161657.039975934</v>
      </c>
      <c r="S9" s="202">
        <f>K9/E9</f>
        <v>41161657.039975934</v>
      </c>
      <c r="T9" s="202">
        <f>S9*$T$2</f>
        <v>41161657.039975934</v>
      </c>
      <c r="U9" s="202">
        <f>R9*E9</f>
        <v>6987191282.5359144</v>
      </c>
      <c r="X9" s="237" t="e">
        <f>VLOOKUP(D9,'5. KHBH'!#REF!,11,0)</f>
        <v>#REF!</v>
      </c>
      <c r="Y9" s="238" t="e">
        <f>X9*'5. KHBH'!#REF!</f>
        <v>#REF!</v>
      </c>
    </row>
    <row r="10" spans="1:25" s="237" customFormat="1" ht="12" customHeight="1">
      <c r="A10" s="380">
        <v>2</v>
      </c>
      <c r="B10" s="381" t="s">
        <v>18</v>
      </c>
      <c r="C10" s="198" t="s">
        <v>250</v>
      </c>
      <c r="D10" s="198" t="s">
        <v>254</v>
      </c>
      <c r="E10" s="198">
        <v>156.66</v>
      </c>
      <c r="F10" s="198" t="s">
        <v>252</v>
      </c>
      <c r="G10" s="198" t="s">
        <v>253</v>
      </c>
      <c r="H10" s="199">
        <v>3560700000</v>
      </c>
      <c r="I10" s="201">
        <v>7812417455.1741085</v>
      </c>
      <c r="J10" s="202">
        <f t="shared" si="0"/>
        <v>49868616.463514037</v>
      </c>
      <c r="K10" s="202">
        <f t="shared" ref="K10:K48" si="1">I10*$K$6</f>
        <v>7031175709.6566982</v>
      </c>
      <c r="L10" s="202"/>
      <c r="M10" s="202">
        <f t="shared" ref="M10:M48" si="2">H10+K10</f>
        <v>10591875709.656698</v>
      </c>
      <c r="N10" s="202">
        <f t="shared" ref="N10:N14" si="3">M10/(1-$N$7)</f>
        <v>11768750788.507442</v>
      </c>
      <c r="O10" s="202">
        <f t="shared" ref="O10:O14" si="4">N10*$O$7</f>
        <v>1176875078.8507442</v>
      </c>
      <c r="P10" s="202">
        <f t="shared" ref="P10:P48" si="5">N10-O10</f>
        <v>10591875709.656698</v>
      </c>
      <c r="Q10" s="236">
        <v>7031175709.6566982</v>
      </c>
      <c r="R10" s="236">
        <v>44881754.817162633</v>
      </c>
      <c r="S10" s="202">
        <f t="shared" ref="S10:S48" si="6">K10/E10</f>
        <v>44881754.817162633</v>
      </c>
      <c r="T10" s="202">
        <f t="shared" ref="T10:T14" si="7">S10*$T$2</f>
        <v>44881754.817162633</v>
      </c>
      <c r="U10" s="202">
        <f t="shared" ref="U10:U48" si="8">R10*E10</f>
        <v>7031175709.6566982</v>
      </c>
      <c r="X10" s="237" t="e">
        <f>VLOOKUP(D10,'5. KHBH'!#REF!,11,0)</f>
        <v>#REF!</v>
      </c>
      <c r="Y10" s="238" t="e">
        <f>X10*'5. KHBH'!#REF!</f>
        <v>#REF!</v>
      </c>
    </row>
    <row r="11" spans="1:25" s="237" customFormat="1">
      <c r="A11" s="380">
        <v>3</v>
      </c>
      <c r="B11" s="381" t="s">
        <v>18</v>
      </c>
      <c r="C11" s="198" t="s">
        <v>250</v>
      </c>
      <c r="D11" s="198" t="s">
        <v>255</v>
      </c>
      <c r="E11" s="198">
        <v>143.56</v>
      </c>
      <c r="F11" s="198" t="s">
        <v>252</v>
      </c>
      <c r="G11" s="198" t="s">
        <v>253</v>
      </c>
      <c r="H11" s="199">
        <v>3560700000</v>
      </c>
      <c r="I11" s="201">
        <v>7519931635.9833603</v>
      </c>
      <c r="J11" s="202">
        <f t="shared" si="0"/>
        <v>52381802.981215939</v>
      </c>
      <c r="K11" s="202">
        <f t="shared" si="1"/>
        <v>6767938472.3850241</v>
      </c>
      <c r="L11" s="202"/>
      <c r="M11" s="202">
        <f t="shared" si="2"/>
        <v>10328638472.385025</v>
      </c>
      <c r="N11" s="202">
        <f t="shared" si="3"/>
        <v>11476264969.316694</v>
      </c>
      <c r="O11" s="202">
        <f t="shared" si="4"/>
        <v>1147626496.9316695</v>
      </c>
      <c r="P11" s="202">
        <f t="shared" si="5"/>
        <v>10328638472.385025</v>
      </c>
      <c r="Q11" s="236">
        <v>6767938472.385025</v>
      </c>
      <c r="R11" s="236">
        <v>47143622.683094352</v>
      </c>
      <c r="S11" s="202">
        <f t="shared" si="6"/>
        <v>47143622.683094345</v>
      </c>
      <c r="T11" s="202">
        <f t="shared" si="7"/>
        <v>47143622.683094345</v>
      </c>
      <c r="U11" s="202">
        <f t="shared" si="8"/>
        <v>6767938472.385025</v>
      </c>
      <c r="X11" s="237" t="e">
        <f>VLOOKUP(D11,'5. KHBH'!#REF!,11,0)</f>
        <v>#REF!</v>
      </c>
      <c r="Y11" s="238" t="e">
        <f>X11*'5. KHBH'!#REF!</f>
        <v>#REF!</v>
      </c>
    </row>
    <row r="12" spans="1:25" s="237" customFormat="1">
      <c r="A12" s="380">
        <v>4</v>
      </c>
      <c r="B12" s="381" t="s">
        <v>18</v>
      </c>
      <c r="C12" s="198" t="s">
        <v>250</v>
      </c>
      <c r="D12" s="198" t="s">
        <v>256</v>
      </c>
      <c r="E12" s="198">
        <v>130.47</v>
      </c>
      <c r="F12" s="198" t="s">
        <v>252</v>
      </c>
      <c r="G12" s="198" t="s">
        <v>253</v>
      </c>
      <c r="H12" s="199">
        <v>2838000000</v>
      </c>
      <c r="I12" s="201">
        <v>6793151544.2795181</v>
      </c>
      <c r="J12" s="202">
        <f t="shared" si="0"/>
        <v>52066770.478113882</v>
      </c>
      <c r="K12" s="202">
        <f t="shared" si="1"/>
        <v>6113836389.8515663</v>
      </c>
      <c r="L12" s="202"/>
      <c r="M12" s="202">
        <f t="shared" si="2"/>
        <v>8951836389.8515663</v>
      </c>
      <c r="N12" s="202">
        <f t="shared" si="3"/>
        <v>9946484877.6128521</v>
      </c>
      <c r="O12" s="202">
        <f t="shared" si="4"/>
        <v>994648487.76128531</v>
      </c>
      <c r="P12" s="202">
        <f t="shared" si="5"/>
        <v>8951836389.8515663</v>
      </c>
      <c r="Q12" s="236">
        <v>6113836389.8515663</v>
      </c>
      <c r="R12" s="236">
        <v>46860093.430302493</v>
      </c>
      <c r="S12" s="202">
        <f t="shared" si="6"/>
        <v>46860093.430302493</v>
      </c>
      <c r="T12" s="202">
        <f t="shared" si="7"/>
        <v>46860093.430302493</v>
      </c>
      <c r="U12" s="202">
        <f t="shared" si="8"/>
        <v>6113836389.8515663</v>
      </c>
      <c r="X12" s="237" t="e">
        <f>VLOOKUP(D12,'5. KHBH'!#REF!,11,0)</f>
        <v>#REF!</v>
      </c>
      <c r="Y12" s="238" t="e">
        <f>X12*'5. KHBH'!#REF!</f>
        <v>#REF!</v>
      </c>
    </row>
    <row r="13" spans="1:25" s="237" customFormat="1">
      <c r="A13" s="380">
        <v>5</v>
      </c>
      <c r="B13" s="381" t="s">
        <v>18</v>
      </c>
      <c r="C13" s="198" t="s">
        <v>250</v>
      </c>
      <c r="D13" s="198" t="s">
        <v>257</v>
      </c>
      <c r="E13" s="198">
        <v>117.37</v>
      </c>
      <c r="F13" s="198" t="s">
        <v>252</v>
      </c>
      <c r="G13" s="198" t="s">
        <v>253</v>
      </c>
      <c r="H13" s="199">
        <v>2838000000</v>
      </c>
      <c r="I13" s="201">
        <v>5890516601.133625</v>
      </c>
      <c r="J13" s="202">
        <f t="shared" si="0"/>
        <v>50187582.867288277</v>
      </c>
      <c r="K13" s="202">
        <f t="shared" si="1"/>
        <v>5301464941.0202627</v>
      </c>
      <c r="L13" s="202"/>
      <c r="M13" s="202">
        <f t="shared" si="2"/>
        <v>8139464941.0202627</v>
      </c>
      <c r="N13" s="202">
        <f t="shared" si="3"/>
        <v>9043849934.466959</v>
      </c>
      <c r="O13" s="202">
        <f t="shared" si="4"/>
        <v>904384993.44669592</v>
      </c>
      <c r="P13" s="202">
        <f t="shared" si="5"/>
        <v>8139464941.0202627</v>
      </c>
      <c r="Q13" s="236">
        <v>5301464941.0202627</v>
      </c>
      <c r="R13" s="236">
        <v>45168824.580559447</v>
      </c>
      <c r="S13" s="202">
        <f t="shared" si="6"/>
        <v>45168824.580559447</v>
      </c>
      <c r="T13" s="202">
        <f t="shared" si="7"/>
        <v>45168824.580559447</v>
      </c>
      <c r="U13" s="202">
        <f t="shared" si="8"/>
        <v>5301464941.0202627</v>
      </c>
      <c r="X13" s="237" t="e">
        <f>VLOOKUP(D13,'5. KHBH'!#REF!,11,0)</f>
        <v>#REF!</v>
      </c>
      <c r="Y13" s="238" t="e">
        <f>X13*'5. KHBH'!#REF!</f>
        <v>#REF!</v>
      </c>
    </row>
    <row r="14" spans="1:25" s="237" customFormat="1">
      <c r="A14" s="380">
        <v>6</v>
      </c>
      <c r="B14" s="381" t="s">
        <v>18</v>
      </c>
      <c r="C14" s="198" t="s">
        <v>250</v>
      </c>
      <c r="D14" s="198" t="s">
        <v>258</v>
      </c>
      <c r="E14" s="198">
        <v>147.24</v>
      </c>
      <c r="F14" s="198" t="s">
        <v>252</v>
      </c>
      <c r="G14" s="198" t="s">
        <v>253</v>
      </c>
      <c r="H14" s="199">
        <v>3300000000</v>
      </c>
      <c r="I14" s="201">
        <v>8983872056.2546539</v>
      </c>
      <c r="J14" s="202">
        <f t="shared" si="0"/>
        <v>61015159.306266323</v>
      </c>
      <c r="K14" s="202">
        <f t="shared" si="1"/>
        <v>8085484850.6291885</v>
      </c>
      <c r="L14" s="202"/>
      <c r="M14" s="202">
        <f t="shared" si="2"/>
        <v>11385484850.629189</v>
      </c>
      <c r="N14" s="202">
        <f t="shared" si="3"/>
        <v>12650538722.92132</v>
      </c>
      <c r="O14" s="202">
        <f t="shared" si="4"/>
        <v>1265053872.2921321</v>
      </c>
      <c r="P14" s="202">
        <f t="shared" si="5"/>
        <v>11385484850.629189</v>
      </c>
      <c r="Q14" s="236">
        <v>8085484850.6291885</v>
      </c>
      <c r="R14" s="236">
        <v>54913643.375639692</v>
      </c>
      <c r="S14" s="202">
        <f t="shared" si="6"/>
        <v>54913643.375639692</v>
      </c>
      <c r="T14" s="202">
        <f t="shared" si="7"/>
        <v>54913643.375639692</v>
      </c>
      <c r="U14" s="202">
        <f t="shared" si="8"/>
        <v>8085484850.6291885</v>
      </c>
      <c r="X14" s="237" t="e">
        <f>VLOOKUP(D14,'5. KHBH'!#REF!,11,0)</f>
        <v>#REF!</v>
      </c>
      <c r="Y14" s="238" t="e">
        <f>X14*'5. KHBH'!#REF!</f>
        <v>#REF!</v>
      </c>
    </row>
    <row r="15" spans="1:25" s="237" customFormat="1">
      <c r="A15" s="380">
        <v>7</v>
      </c>
      <c r="B15" s="381" t="s">
        <v>18</v>
      </c>
      <c r="C15" s="198" t="s">
        <v>259</v>
      </c>
      <c r="D15" s="198" t="s">
        <v>260</v>
      </c>
      <c r="E15" s="198">
        <v>188.68</v>
      </c>
      <c r="F15" s="198" t="s">
        <v>261</v>
      </c>
      <c r="G15" s="198" t="s">
        <v>262</v>
      </c>
      <c r="H15" s="200">
        <v>0</v>
      </c>
      <c r="I15" s="201">
        <v>7799446423.3820372</v>
      </c>
      <c r="J15" s="202">
        <f t="shared" si="0"/>
        <v>41336900.696322009</v>
      </c>
      <c r="K15" s="202">
        <f t="shared" si="1"/>
        <v>7019501781.0438337</v>
      </c>
      <c r="L15" s="202"/>
      <c r="M15" s="202">
        <f t="shared" si="2"/>
        <v>7019501781.0438337</v>
      </c>
      <c r="N15" s="238">
        <f>M15/(1-$N$6)</f>
        <v>7428044212.7447977</v>
      </c>
      <c r="O15" s="202">
        <f>N15*$O$5</f>
        <v>89136530552.937576</v>
      </c>
      <c r="P15" s="202">
        <f t="shared" si="5"/>
        <v>-81708486340.19278</v>
      </c>
      <c r="Q15" s="236">
        <v>7056642002.1075573</v>
      </c>
      <c r="R15" s="236">
        <v>37400053.010958008</v>
      </c>
      <c r="S15" s="202">
        <f t="shared" si="6"/>
        <v>37203210.626689814</v>
      </c>
      <c r="T15" s="202">
        <f>S15*$T$1</f>
        <v>37203210.626689814</v>
      </c>
      <c r="U15" s="202">
        <f t="shared" si="8"/>
        <v>7056642002.1075573</v>
      </c>
      <c r="X15" s="237" t="e">
        <f>VLOOKUP(D15,'5. KHBH'!#REF!,11,0)</f>
        <v>#REF!</v>
      </c>
      <c r="Y15" s="238" t="e">
        <f>X15*'5. KHBH'!#REF!</f>
        <v>#REF!</v>
      </c>
    </row>
    <row r="16" spans="1:25" s="237" customFormat="1">
      <c r="A16" s="380">
        <v>8</v>
      </c>
      <c r="B16" s="381" t="s">
        <v>18</v>
      </c>
      <c r="C16" s="198" t="s">
        <v>259</v>
      </c>
      <c r="D16" s="198" t="s">
        <v>263</v>
      </c>
      <c r="E16" s="198">
        <v>175.74</v>
      </c>
      <c r="F16" s="198" t="s">
        <v>261</v>
      </c>
      <c r="G16" s="198" t="s">
        <v>262</v>
      </c>
      <c r="H16" s="200">
        <v>0</v>
      </c>
      <c r="I16" s="201">
        <v>7422471861.5971003</v>
      </c>
      <c r="J16" s="202">
        <f t="shared" si="0"/>
        <v>42235528.972329006</v>
      </c>
      <c r="K16" s="202">
        <f t="shared" si="1"/>
        <v>6680224675.4373903</v>
      </c>
      <c r="L16" s="202"/>
      <c r="M16" s="202">
        <f t="shared" si="2"/>
        <v>6680224675.4373903</v>
      </c>
      <c r="N16" s="238">
        <f t="shared" ref="N16:N39" si="9">M16/(1-$N$6)</f>
        <v>7069020820.5686674</v>
      </c>
      <c r="O16" s="202">
        <f t="shared" ref="O16:O20" si="10">N16*$O$5</f>
        <v>84828249846.824005</v>
      </c>
      <c r="P16" s="202">
        <f t="shared" si="5"/>
        <v>-77759229026.255341</v>
      </c>
      <c r="Q16" s="236">
        <v>6715569779.5402336</v>
      </c>
      <c r="R16" s="236">
        <v>38213097.641631007</v>
      </c>
      <c r="S16" s="202">
        <f t="shared" si="6"/>
        <v>38011976.075096108</v>
      </c>
      <c r="T16" s="202">
        <f t="shared" ref="T16:T20" si="11">S16*$T$1</f>
        <v>38011976.075096108</v>
      </c>
      <c r="U16" s="202">
        <f t="shared" si="8"/>
        <v>6715569779.5402336</v>
      </c>
      <c r="X16" s="237" t="e">
        <f>VLOOKUP(D16,'5. KHBH'!#REF!,11,0)</f>
        <v>#REF!</v>
      </c>
      <c r="Y16" s="238" t="e">
        <f>X16*'5. KHBH'!#REF!</f>
        <v>#REF!</v>
      </c>
    </row>
    <row r="17" spans="1:25" s="237" customFormat="1">
      <c r="A17" s="380">
        <v>9</v>
      </c>
      <c r="B17" s="381" t="s">
        <v>18</v>
      </c>
      <c r="C17" s="198" t="s">
        <v>259</v>
      </c>
      <c r="D17" s="198" t="s">
        <v>264</v>
      </c>
      <c r="E17" s="198">
        <v>164.48</v>
      </c>
      <c r="F17" s="198" t="s">
        <v>261</v>
      </c>
      <c r="G17" s="198" t="s">
        <v>262</v>
      </c>
      <c r="H17" s="200">
        <v>0</v>
      </c>
      <c r="I17" s="201">
        <v>6460616818.9928656</v>
      </c>
      <c r="J17" s="202">
        <f t="shared" si="0"/>
        <v>39279041.944265962</v>
      </c>
      <c r="K17" s="202">
        <f t="shared" si="1"/>
        <v>5814555137.0935793</v>
      </c>
      <c r="L17" s="202"/>
      <c r="M17" s="202">
        <f t="shared" si="2"/>
        <v>5814555137.0935793</v>
      </c>
      <c r="N17" s="238">
        <f t="shared" si="9"/>
        <v>6152968399.0408249</v>
      </c>
      <c r="O17" s="202">
        <f t="shared" si="10"/>
        <v>73835620788.489899</v>
      </c>
      <c r="P17" s="202">
        <f t="shared" si="5"/>
        <v>-67682652389.449074</v>
      </c>
      <c r="Q17" s="236">
        <v>5845319979.0887833</v>
      </c>
      <c r="R17" s="236">
        <v>35538180.80671683</v>
      </c>
      <c r="S17" s="202">
        <f t="shared" si="6"/>
        <v>35351137.749839373</v>
      </c>
      <c r="T17" s="202">
        <f t="shared" si="11"/>
        <v>35351137.749839373</v>
      </c>
      <c r="U17" s="202">
        <f t="shared" si="8"/>
        <v>5845319979.0887842</v>
      </c>
      <c r="X17" s="237" t="e">
        <f>VLOOKUP(D17,'5. KHBH'!#REF!,11,0)</f>
        <v>#REF!</v>
      </c>
      <c r="Y17" s="238" t="e">
        <f>X17*'5. KHBH'!#REF!</f>
        <v>#REF!</v>
      </c>
    </row>
    <row r="18" spans="1:25" s="237" customFormat="1">
      <c r="A18" s="380">
        <v>10</v>
      </c>
      <c r="B18" s="381" t="s">
        <v>18</v>
      </c>
      <c r="C18" s="198" t="s">
        <v>259</v>
      </c>
      <c r="D18" s="198" t="s">
        <v>265</v>
      </c>
      <c r="E18" s="198">
        <v>156.18</v>
      </c>
      <c r="F18" s="198" t="s">
        <v>261</v>
      </c>
      <c r="G18" s="198" t="s">
        <v>262</v>
      </c>
      <c r="H18" s="200">
        <v>0</v>
      </c>
      <c r="I18" s="201">
        <v>6265124191.51196</v>
      </c>
      <c r="J18" s="202">
        <f t="shared" si="0"/>
        <v>40114766.240952492</v>
      </c>
      <c r="K18" s="202">
        <f t="shared" si="1"/>
        <v>5638611772.3607645</v>
      </c>
      <c r="L18" s="202"/>
      <c r="M18" s="202">
        <f t="shared" si="2"/>
        <v>5638611772.3607645</v>
      </c>
      <c r="N18" s="238">
        <f t="shared" si="9"/>
        <v>5966784944.2971058</v>
      </c>
      <c r="O18" s="202">
        <f t="shared" si="10"/>
        <v>71601419331.565277</v>
      </c>
      <c r="P18" s="202">
        <f t="shared" si="5"/>
        <v>-65634634387.268173</v>
      </c>
      <c r="Q18" s="236">
        <v>5668445697.0822506</v>
      </c>
      <c r="R18" s="236">
        <v>36294312.313242733</v>
      </c>
      <c r="S18" s="202">
        <f t="shared" si="6"/>
        <v>36103289.616857246</v>
      </c>
      <c r="T18" s="202">
        <f t="shared" si="11"/>
        <v>36103289.616857246</v>
      </c>
      <c r="U18" s="202">
        <f t="shared" si="8"/>
        <v>5668445697.0822506</v>
      </c>
      <c r="X18" s="237" t="e">
        <f>VLOOKUP(D18,'5. KHBH'!#REF!,11,0)</f>
        <v>#REF!</v>
      </c>
      <c r="Y18" s="238" t="e">
        <f>X18*'5. KHBH'!#REF!</f>
        <v>#REF!</v>
      </c>
    </row>
    <row r="19" spans="1:25" s="237" customFormat="1">
      <c r="A19" s="380">
        <v>11</v>
      </c>
      <c r="B19" s="381" t="s">
        <v>18</v>
      </c>
      <c r="C19" s="198" t="s">
        <v>259</v>
      </c>
      <c r="D19" s="198" t="s">
        <v>266</v>
      </c>
      <c r="E19" s="198">
        <v>150.15</v>
      </c>
      <c r="F19" s="198" t="s">
        <v>261</v>
      </c>
      <c r="G19" s="198" t="s">
        <v>262</v>
      </c>
      <c r="H19" s="200">
        <v>0</v>
      </c>
      <c r="I19" s="201">
        <v>6738274264.8108883</v>
      </c>
      <c r="J19" s="202">
        <f t="shared" si="0"/>
        <v>44876951.480591998</v>
      </c>
      <c r="K19" s="202">
        <f t="shared" si="1"/>
        <v>6064446838.3297997</v>
      </c>
      <c r="L19" s="202"/>
      <c r="M19" s="202">
        <f t="shared" si="2"/>
        <v>6064446838.3297997</v>
      </c>
      <c r="N19" s="238">
        <f t="shared" si="9"/>
        <v>6417404061.7246561</v>
      </c>
      <c r="O19" s="202">
        <f t="shared" si="10"/>
        <v>77008848740.695877</v>
      </c>
      <c r="P19" s="202">
        <f t="shared" si="5"/>
        <v>-70591444678.971222</v>
      </c>
      <c r="Q19" s="236">
        <v>6096533858.638423</v>
      </c>
      <c r="R19" s="236">
        <v>40602956.101487994</v>
      </c>
      <c r="S19" s="202">
        <f t="shared" si="6"/>
        <v>40389256.332532793</v>
      </c>
      <c r="T19" s="202">
        <f t="shared" si="11"/>
        <v>40389256.332532793</v>
      </c>
      <c r="U19" s="202">
        <f t="shared" si="8"/>
        <v>6096533858.638423</v>
      </c>
      <c r="X19" s="237" t="e">
        <f>VLOOKUP(D19,'5. KHBH'!#REF!,11,0)</f>
        <v>#REF!</v>
      </c>
      <c r="Y19" s="238" t="e">
        <f>X19*'5. KHBH'!#REF!</f>
        <v>#REF!</v>
      </c>
    </row>
    <row r="20" spans="1:25" s="237" customFormat="1">
      <c r="A20" s="380">
        <v>12</v>
      </c>
      <c r="B20" s="381" t="s">
        <v>18</v>
      </c>
      <c r="C20" s="198" t="s">
        <v>259</v>
      </c>
      <c r="D20" s="198" t="s">
        <v>267</v>
      </c>
      <c r="E20" s="198">
        <v>150</v>
      </c>
      <c r="F20" s="198" t="s">
        <v>261</v>
      </c>
      <c r="G20" s="198" t="s">
        <v>262</v>
      </c>
      <c r="H20" s="200">
        <v>0</v>
      </c>
      <c r="I20" s="201">
        <v>6731542722.0888004</v>
      </c>
      <c r="J20" s="202">
        <f t="shared" si="0"/>
        <v>44876951.480592005</v>
      </c>
      <c r="K20" s="202">
        <f t="shared" si="1"/>
        <v>6058388449.879921</v>
      </c>
      <c r="L20" s="202"/>
      <c r="M20" s="202">
        <f t="shared" si="2"/>
        <v>6058388449.879921</v>
      </c>
      <c r="N20" s="238">
        <f t="shared" si="9"/>
        <v>6410993068.6560011</v>
      </c>
      <c r="O20" s="202">
        <f t="shared" si="10"/>
        <v>76931916823.872009</v>
      </c>
      <c r="P20" s="202">
        <f t="shared" si="5"/>
        <v>-70520923755.216003</v>
      </c>
      <c r="Q20" s="236">
        <v>6090443415.2232008</v>
      </c>
      <c r="R20" s="236">
        <v>40602956.101488002</v>
      </c>
      <c r="S20" s="202">
        <f t="shared" si="6"/>
        <v>40389256.332532808</v>
      </c>
      <c r="T20" s="202">
        <f t="shared" si="11"/>
        <v>40389256.332532808</v>
      </c>
      <c r="U20" s="202">
        <f t="shared" si="8"/>
        <v>6090443415.2231998</v>
      </c>
      <c r="X20" s="237" t="e">
        <f>VLOOKUP(D20,'5. KHBH'!#REF!,11,0)</f>
        <v>#REF!</v>
      </c>
      <c r="Y20" s="238" t="e">
        <f>X20*'5. KHBH'!#REF!</f>
        <v>#REF!</v>
      </c>
    </row>
    <row r="21" spans="1:25" s="237" customFormat="1">
      <c r="A21" s="380">
        <v>13</v>
      </c>
      <c r="B21" s="381" t="s">
        <v>18</v>
      </c>
      <c r="C21" s="198" t="s">
        <v>259</v>
      </c>
      <c r="D21" s="198" t="s">
        <v>268</v>
      </c>
      <c r="E21" s="198">
        <v>187.55</v>
      </c>
      <c r="F21" s="198" t="s">
        <v>261</v>
      </c>
      <c r="G21" s="198" t="s">
        <v>262</v>
      </c>
      <c r="H21" s="200">
        <v>0</v>
      </c>
      <c r="I21" s="201">
        <v>9739667919.5109921</v>
      </c>
      <c r="J21" s="202">
        <f t="shared" si="0"/>
        <v>51931047.291447565</v>
      </c>
      <c r="K21" s="202">
        <f t="shared" si="1"/>
        <v>8765701127.5598927</v>
      </c>
      <c r="L21" s="202"/>
      <c r="M21" s="202">
        <f t="shared" si="2"/>
        <v>8765701127.5598927</v>
      </c>
      <c r="N21" s="238">
        <f t="shared" si="9"/>
        <v>9275874209.0580883</v>
      </c>
      <c r="O21" s="202">
        <f>N21*$O$6</f>
        <v>927587420.90580893</v>
      </c>
      <c r="P21" s="202">
        <f t="shared" si="5"/>
        <v>8348286788.1522789</v>
      </c>
      <c r="Q21" s="236">
        <v>8348286788.1522789</v>
      </c>
      <c r="R21" s="236">
        <v>44512326.249812201</v>
      </c>
      <c r="S21" s="202">
        <f t="shared" si="6"/>
        <v>46737942.562302813</v>
      </c>
      <c r="T21" s="202">
        <f t="shared" ref="T21:T39" si="12">S21*$T$3</f>
        <v>46737942.562302813</v>
      </c>
      <c r="U21" s="202">
        <f t="shared" si="8"/>
        <v>8348286788.1522789</v>
      </c>
      <c r="X21" s="237" t="e">
        <f>VLOOKUP(D21,'5. KHBH'!#REF!,11,0)</f>
        <v>#REF!</v>
      </c>
      <c r="Y21" s="238" t="e">
        <f>X21*'5. KHBH'!#REF!</f>
        <v>#REF!</v>
      </c>
    </row>
    <row r="22" spans="1:25" s="237" customFormat="1">
      <c r="A22" s="380">
        <v>14</v>
      </c>
      <c r="B22" s="381" t="s">
        <v>18</v>
      </c>
      <c r="C22" s="198" t="s">
        <v>269</v>
      </c>
      <c r="D22" s="198" t="s">
        <v>270</v>
      </c>
      <c r="E22" s="198">
        <v>120</v>
      </c>
      <c r="F22" s="198" t="s">
        <v>261</v>
      </c>
      <c r="G22" s="198" t="s">
        <v>262</v>
      </c>
      <c r="H22" s="200">
        <v>0</v>
      </c>
      <c r="I22" s="201">
        <v>5917449438.0540018</v>
      </c>
      <c r="J22" s="202">
        <f t="shared" si="0"/>
        <v>49312078.650450014</v>
      </c>
      <c r="K22" s="202">
        <f t="shared" si="1"/>
        <v>5325704494.2486019</v>
      </c>
      <c r="L22" s="202"/>
      <c r="M22" s="202">
        <f t="shared" si="2"/>
        <v>5325704494.2486019</v>
      </c>
      <c r="N22" s="238">
        <f t="shared" si="9"/>
        <v>5635666131.4800024</v>
      </c>
      <c r="O22" s="202">
        <f t="shared" ref="O22:O39" si="13">N22*$O$6</f>
        <v>563566613.14800024</v>
      </c>
      <c r="P22" s="202">
        <f t="shared" si="5"/>
        <v>5072099518.3320026</v>
      </c>
      <c r="Q22" s="236">
        <v>5072099518.3320026</v>
      </c>
      <c r="R22" s="236">
        <v>42267495.986100025</v>
      </c>
      <c r="S22" s="202">
        <f t="shared" si="6"/>
        <v>44380870.785405017</v>
      </c>
      <c r="T22" s="202">
        <f t="shared" si="12"/>
        <v>44380870.785405017</v>
      </c>
      <c r="U22" s="202">
        <f t="shared" si="8"/>
        <v>5072099518.3320026</v>
      </c>
      <c r="X22" s="237" t="e">
        <f>VLOOKUP(D22,'5. KHBH'!#REF!,11,0)</f>
        <v>#REF!</v>
      </c>
      <c r="Y22" s="238" t="e">
        <f>X22*'5. KHBH'!#REF!</f>
        <v>#REF!</v>
      </c>
    </row>
    <row r="23" spans="1:25" s="237" customFormat="1">
      <c r="A23" s="380">
        <v>15</v>
      </c>
      <c r="B23" s="381" t="s">
        <v>18</v>
      </c>
      <c r="C23" s="198" t="s">
        <v>269</v>
      </c>
      <c r="D23" s="198" t="s">
        <v>271</v>
      </c>
      <c r="E23" s="198">
        <v>120</v>
      </c>
      <c r="F23" s="198" t="s">
        <v>261</v>
      </c>
      <c r="G23" s="198" t="s">
        <v>262</v>
      </c>
      <c r="H23" s="200">
        <v>0</v>
      </c>
      <c r="I23" s="201">
        <v>5917449438.0540018</v>
      </c>
      <c r="J23" s="202">
        <f t="shared" si="0"/>
        <v>49312078.650450014</v>
      </c>
      <c r="K23" s="202">
        <f t="shared" si="1"/>
        <v>5325704494.2486019</v>
      </c>
      <c r="L23" s="202"/>
      <c r="M23" s="202">
        <f t="shared" si="2"/>
        <v>5325704494.2486019</v>
      </c>
      <c r="N23" s="238">
        <f t="shared" si="9"/>
        <v>5635666131.4800024</v>
      </c>
      <c r="O23" s="202">
        <f t="shared" si="13"/>
        <v>563566613.14800024</v>
      </c>
      <c r="P23" s="202">
        <f t="shared" si="5"/>
        <v>5072099518.3320026</v>
      </c>
      <c r="Q23" s="236">
        <v>5072099518.3320026</v>
      </c>
      <c r="R23" s="236">
        <v>42267495.986100025</v>
      </c>
      <c r="S23" s="202">
        <f t="shared" si="6"/>
        <v>44380870.785405017</v>
      </c>
      <c r="T23" s="202">
        <f t="shared" si="12"/>
        <v>44380870.785405017</v>
      </c>
      <c r="U23" s="202">
        <f t="shared" si="8"/>
        <v>5072099518.3320026</v>
      </c>
      <c r="X23" s="237" t="e">
        <f>VLOOKUP(D23,'5. KHBH'!#REF!,11,0)</f>
        <v>#REF!</v>
      </c>
      <c r="Y23" s="238" t="e">
        <f>X23*'5. KHBH'!#REF!</f>
        <v>#REF!</v>
      </c>
    </row>
    <row r="24" spans="1:25" s="237" customFormat="1">
      <c r="A24" s="380">
        <v>16</v>
      </c>
      <c r="B24" s="381" t="s">
        <v>18</v>
      </c>
      <c r="C24" s="198" t="s">
        <v>269</v>
      </c>
      <c r="D24" s="198" t="s">
        <v>272</v>
      </c>
      <c r="E24" s="198">
        <v>120</v>
      </c>
      <c r="F24" s="198" t="s">
        <v>261</v>
      </c>
      <c r="G24" s="198" t="s">
        <v>262</v>
      </c>
      <c r="H24" s="200">
        <v>0</v>
      </c>
      <c r="I24" s="201">
        <v>5917449438.0540018</v>
      </c>
      <c r="J24" s="202">
        <f t="shared" si="0"/>
        <v>49312078.650450014</v>
      </c>
      <c r="K24" s="202">
        <f t="shared" si="1"/>
        <v>5325704494.2486019</v>
      </c>
      <c r="L24" s="202"/>
      <c r="M24" s="202">
        <f t="shared" si="2"/>
        <v>5325704494.2486019</v>
      </c>
      <c r="N24" s="238">
        <f t="shared" si="9"/>
        <v>5635666131.4800024</v>
      </c>
      <c r="O24" s="202">
        <f t="shared" si="13"/>
        <v>563566613.14800024</v>
      </c>
      <c r="P24" s="202">
        <f t="shared" si="5"/>
        <v>5072099518.3320026</v>
      </c>
      <c r="Q24" s="236">
        <v>5072099518.3320026</v>
      </c>
      <c r="R24" s="236">
        <v>42267495.986100025</v>
      </c>
      <c r="S24" s="202">
        <f t="shared" si="6"/>
        <v>44380870.785405017</v>
      </c>
      <c r="T24" s="202">
        <f t="shared" si="12"/>
        <v>44380870.785405017</v>
      </c>
      <c r="U24" s="202">
        <f t="shared" si="8"/>
        <v>5072099518.3320026</v>
      </c>
      <c r="X24" s="237" t="e">
        <f>VLOOKUP(D24,'5. KHBH'!#REF!,11,0)</f>
        <v>#REF!</v>
      </c>
      <c r="Y24" s="238" t="e">
        <f>X24*'5. KHBH'!#REF!</f>
        <v>#REF!</v>
      </c>
    </row>
    <row r="25" spans="1:25" s="237" customFormat="1">
      <c r="A25" s="380">
        <v>17</v>
      </c>
      <c r="B25" s="381" t="s">
        <v>18</v>
      </c>
      <c r="C25" s="198" t="s">
        <v>269</v>
      </c>
      <c r="D25" s="198" t="s">
        <v>273</v>
      </c>
      <c r="E25" s="198">
        <v>120</v>
      </c>
      <c r="F25" s="198" t="s">
        <v>261</v>
      </c>
      <c r="G25" s="198" t="s">
        <v>262</v>
      </c>
      <c r="H25" s="200">
        <v>0</v>
      </c>
      <c r="I25" s="201">
        <v>5917449438.0540018</v>
      </c>
      <c r="J25" s="202">
        <f t="shared" si="0"/>
        <v>49312078.650450014</v>
      </c>
      <c r="K25" s="202">
        <f t="shared" si="1"/>
        <v>5325704494.2486019</v>
      </c>
      <c r="L25" s="202"/>
      <c r="M25" s="202">
        <f t="shared" si="2"/>
        <v>5325704494.2486019</v>
      </c>
      <c r="N25" s="238">
        <f t="shared" si="9"/>
        <v>5635666131.4800024</v>
      </c>
      <c r="O25" s="202">
        <f t="shared" si="13"/>
        <v>563566613.14800024</v>
      </c>
      <c r="P25" s="202">
        <f t="shared" si="5"/>
        <v>5072099518.3320026</v>
      </c>
      <c r="Q25" s="236">
        <v>5072099518.3320026</v>
      </c>
      <c r="R25" s="236">
        <v>42267495.986100025</v>
      </c>
      <c r="S25" s="202">
        <f t="shared" si="6"/>
        <v>44380870.785405017</v>
      </c>
      <c r="T25" s="202">
        <f t="shared" si="12"/>
        <v>44380870.785405017</v>
      </c>
      <c r="U25" s="202">
        <f t="shared" si="8"/>
        <v>5072099518.3320026</v>
      </c>
      <c r="X25" s="237" t="e">
        <f>VLOOKUP(D25,'5. KHBH'!#REF!,11,0)</f>
        <v>#REF!</v>
      </c>
      <c r="Y25" s="238" t="e">
        <f>X25*'5. KHBH'!#REF!</f>
        <v>#REF!</v>
      </c>
    </row>
    <row r="26" spans="1:25" s="237" customFormat="1">
      <c r="A26" s="380">
        <v>18</v>
      </c>
      <c r="B26" s="381" t="s">
        <v>18</v>
      </c>
      <c r="C26" s="198" t="s">
        <v>269</v>
      </c>
      <c r="D26" s="198" t="s">
        <v>274</v>
      </c>
      <c r="E26" s="198">
        <v>120</v>
      </c>
      <c r="F26" s="198" t="s">
        <v>261</v>
      </c>
      <c r="G26" s="198" t="s">
        <v>262</v>
      </c>
      <c r="H26" s="200">
        <v>0</v>
      </c>
      <c r="I26" s="201">
        <v>5917449438.0540018</v>
      </c>
      <c r="J26" s="202">
        <f t="shared" si="0"/>
        <v>49312078.650450014</v>
      </c>
      <c r="K26" s="202">
        <f t="shared" si="1"/>
        <v>5325704494.2486019</v>
      </c>
      <c r="L26" s="202"/>
      <c r="M26" s="202">
        <f t="shared" si="2"/>
        <v>5325704494.2486019</v>
      </c>
      <c r="N26" s="238">
        <f t="shared" si="9"/>
        <v>5635666131.4800024</v>
      </c>
      <c r="O26" s="202">
        <f t="shared" si="13"/>
        <v>563566613.14800024</v>
      </c>
      <c r="P26" s="202">
        <f t="shared" si="5"/>
        <v>5072099518.3320026</v>
      </c>
      <c r="Q26" s="236">
        <v>5072099518.3320026</v>
      </c>
      <c r="R26" s="236">
        <v>42267495.986100025</v>
      </c>
      <c r="S26" s="202">
        <f t="shared" si="6"/>
        <v>44380870.785405017</v>
      </c>
      <c r="T26" s="202">
        <f t="shared" si="12"/>
        <v>44380870.785405017</v>
      </c>
      <c r="U26" s="202">
        <f t="shared" si="8"/>
        <v>5072099518.3320026</v>
      </c>
      <c r="X26" s="237" t="e">
        <f>VLOOKUP(D26,'5. KHBH'!#REF!,11,0)</f>
        <v>#REF!</v>
      </c>
      <c r="Y26" s="238" t="e">
        <f>X26*'5. KHBH'!#REF!</f>
        <v>#REF!</v>
      </c>
    </row>
    <row r="27" spans="1:25" s="237" customFormat="1">
      <c r="A27" s="380">
        <v>19</v>
      </c>
      <c r="B27" s="381" t="s">
        <v>18</v>
      </c>
      <c r="C27" s="198" t="s">
        <v>269</v>
      </c>
      <c r="D27" s="198" t="s">
        <v>275</v>
      </c>
      <c r="E27" s="198">
        <v>120</v>
      </c>
      <c r="F27" s="198" t="s">
        <v>261</v>
      </c>
      <c r="G27" s="198" t="s">
        <v>262</v>
      </c>
      <c r="H27" s="200">
        <v>0</v>
      </c>
      <c r="I27" s="201">
        <v>5917449438.0540018</v>
      </c>
      <c r="J27" s="202">
        <f t="shared" si="0"/>
        <v>49312078.650450014</v>
      </c>
      <c r="K27" s="202">
        <f t="shared" si="1"/>
        <v>5325704494.2486019</v>
      </c>
      <c r="L27" s="202"/>
      <c r="M27" s="202">
        <f t="shared" si="2"/>
        <v>5325704494.2486019</v>
      </c>
      <c r="N27" s="238">
        <f t="shared" si="9"/>
        <v>5635666131.4800024</v>
      </c>
      <c r="O27" s="202">
        <f t="shared" si="13"/>
        <v>563566613.14800024</v>
      </c>
      <c r="P27" s="202">
        <f t="shared" si="5"/>
        <v>5072099518.3320026</v>
      </c>
      <c r="Q27" s="236">
        <v>5072099518.3320026</v>
      </c>
      <c r="R27" s="236">
        <v>42267495.986100025</v>
      </c>
      <c r="S27" s="202">
        <f t="shared" si="6"/>
        <v>44380870.785405017</v>
      </c>
      <c r="T27" s="202">
        <f t="shared" si="12"/>
        <v>44380870.785405017</v>
      </c>
      <c r="U27" s="202">
        <f t="shared" si="8"/>
        <v>5072099518.3320026</v>
      </c>
      <c r="X27" s="237" t="e">
        <f>VLOOKUP(D27,'5. KHBH'!#REF!,11,0)</f>
        <v>#REF!</v>
      </c>
      <c r="Y27" s="238" t="e">
        <f>X27*'5. KHBH'!#REF!</f>
        <v>#REF!</v>
      </c>
    </row>
    <row r="28" spans="1:25" s="237" customFormat="1">
      <c r="A28" s="380">
        <v>20</v>
      </c>
      <c r="B28" s="381" t="s">
        <v>18</v>
      </c>
      <c r="C28" s="198" t="s">
        <v>269</v>
      </c>
      <c r="D28" s="198" t="s">
        <v>276</v>
      </c>
      <c r="E28" s="198">
        <v>120</v>
      </c>
      <c r="F28" s="198" t="s">
        <v>261</v>
      </c>
      <c r="G28" s="198" t="s">
        <v>262</v>
      </c>
      <c r="H28" s="200">
        <v>0</v>
      </c>
      <c r="I28" s="201">
        <v>5917449438.0540018</v>
      </c>
      <c r="J28" s="202">
        <f t="shared" si="0"/>
        <v>49312078.650450014</v>
      </c>
      <c r="K28" s="202">
        <f t="shared" si="1"/>
        <v>5325704494.2486019</v>
      </c>
      <c r="L28" s="202"/>
      <c r="M28" s="202">
        <f t="shared" si="2"/>
        <v>5325704494.2486019</v>
      </c>
      <c r="N28" s="238">
        <f t="shared" si="9"/>
        <v>5635666131.4800024</v>
      </c>
      <c r="O28" s="202">
        <f t="shared" si="13"/>
        <v>563566613.14800024</v>
      </c>
      <c r="P28" s="202">
        <f t="shared" si="5"/>
        <v>5072099518.3320026</v>
      </c>
      <c r="Q28" s="236">
        <v>5072099518.3320026</v>
      </c>
      <c r="R28" s="236">
        <v>42267495.986100025</v>
      </c>
      <c r="S28" s="202">
        <f t="shared" si="6"/>
        <v>44380870.785405017</v>
      </c>
      <c r="T28" s="202">
        <f t="shared" si="12"/>
        <v>44380870.785405017</v>
      </c>
      <c r="U28" s="202">
        <f t="shared" si="8"/>
        <v>5072099518.3320026</v>
      </c>
      <c r="X28" s="237" t="e">
        <f>VLOOKUP(D28,'5. KHBH'!#REF!,11,0)</f>
        <v>#REF!</v>
      </c>
      <c r="Y28" s="238" t="e">
        <f>X28*'5. KHBH'!#REF!</f>
        <v>#REF!</v>
      </c>
    </row>
    <row r="29" spans="1:25" s="237" customFormat="1">
      <c r="A29" s="380">
        <v>21</v>
      </c>
      <c r="B29" s="381" t="s">
        <v>18</v>
      </c>
      <c r="C29" s="198" t="s">
        <v>269</v>
      </c>
      <c r="D29" s="198" t="s">
        <v>277</v>
      </c>
      <c r="E29" s="198">
        <v>120</v>
      </c>
      <c r="F29" s="198" t="s">
        <v>261</v>
      </c>
      <c r="G29" s="198" t="s">
        <v>262</v>
      </c>
      <c r="H29" s="200">
        <v>0</v>
      </c>
      <c r="I29" s="201">
        <v>5917449438.0540018</v>
      </c>
      <c r="J29" s="202">
        <f t="shared" si="0"/>
        <v>49312078.650450014</v>
      </c>
      <c r="K29" s="202">
        <f t="shared" si="1"/>
        <v>5325704494.2486019</v>
      </c>
      <c r="L29" s="202"/>
      <c r="M29" s="202">
        <f t="shared" si="2"/>
        <v>5325704494.2486019</v>
      </c>
      <c r="N29" s="238">
        <f t="shared" si="9"/>
        <v>5635666131.4800024</v>
      </c>
      <c r="O29" s="202">
        <f t="shared" si="13"/>
        <v>563566613.14800024</v>
      </c>
      <c r="P29" s="202">
        <f t="shared" si="5"/>
        <v>5072099518.3320026</v>
      </c>
      <c r="Q29" s="236">
        <v>5072099518.3320026</v>
      </c>
      <c r="R29" s="236">
        <v>42267495.986100025</v>
      </c>
      <c r="S29" s="202">
        <f t="shared" si="6"/>
        <v>44380870.785405017</v>
      </c>
      <c r="T29" s="202">
        <f t="shared" si="12"/>
        <v>44380870.785405017</v>
      </c>
      <c r="U29" s="202">
        <f t="shared" si="8"/>
        <v>5072099518.3320026</v>
      </c>
      <c r="X29" s="237" t="e">
        <f>VLOOKUP(D29,'5. KHBH'!#REF!,11,0)</f>
        <v>#REF!</v>
      </c>
      <c r="Y29" s="238" t="e">
        <f>X29*'5. KHBH'!#REF!</f>
        <v>#REF!</v>
      </c>
    </row>
    <row r="30" spans="1:25" s="237" customFormat="1">
      <c r="A30" s="380">
        <v>22</v>
      </c>
      <c r="B30" s="381" t="s">
        <v>18</v>
      </c>
      <c r="C30" s="198" t="s">
        <v>278</v>
      </c>
      <c r="D30" s="198" t="s">
        <v>279</v>
      </c>
      <c r="E30" s="198">
        <v>121.55</v>
      </c>
      <c r="F30" s="198" t="s">
        <v>261</v>
      </c>
      <c r="G30" s="198" t="s">
        <v>262</v>
      </c>
      <c r="H30" s="200">
        <v>0</v>
      </c>
      <c r="I30" s="201">
        <v>6087448440.5860128</v>
      </c>
      <c r="J30" s="202">
        <f t="shared" si="0"/>
        <v>50081846.487750001</v>
      </c>
      <c r="K30" s="202">
        <f t="shared" si="1"/>
        <v>5478703596.5274115</v>
      </c>
      <c r="L30" s="202"/>
      <c r="M30" s="202">
        <f t="shared" si="2"/>
        <v>5478703596.5274115</v>
      </c>
      <c r="N30" s="238">
        <f t="shared" si="9"/>
        <v>5797569943.4152508</v>
      </c>
      <c r="O30" s="202">
        <f t="shared" si="13"/>
        <v>579756994.34152508</v>
      </c>
      <c r="P30" s="202">
        <f t="shared" si="5"/>
        <v>5217812949.0737257</v>
      </c>
      <c r="Q30" s="236">
        <v>5217812949.0737257</v>
      </c>
      <c r="R30" s="236">
        <v>42927296.989500009</v>
      </c>
      <c r="S30" s="202">
        <f t="shared" si="6"/>
        <v>45073661.838975005</v>
      </c>
      <c r="T30" s="202">
        <f t="shared" si="12"/>
        <v>45073661.838975005</v>
      </c>
      <c r="U30" s="202">
        <f t="shared" si="8"/>
        <v>5217812949.0737257</v>
      </c>
      <c r="X30" s="237" t="e">
        <f>VLOOKUP(D30,'5. KHBH'!#REF!,11,0)</f>
        <v>#REF!</v>
      </c>
      <c r="Y30" s="238" t="e">
        <f>X30*'5. KHBH'!#REF!</f>
        <v>#REF!</v>
      </c>
    </row>
    <row r="31" spans="1:25" s="237" customFormat="1">
      <c r="A31" s="380">
        <v>23</v>
      </c>
      <c r="B31" s="381" t="s">
        <v>18</v>
      </c>
      <c r="C31" s="198" t="s">
        <v>278</v>
      </c>
      <c r="D31" s="198" t="s">
        <v>280</v>
      </c>
      <c r="E31" s="198">
        <v>108.45</v>
      </c>
      <c r="F31" s="198" t="s">
        <v>261</v>
      </c>
      <c r="G31" s="198" t="s">
        <v>262</v>
      </c>
      <c r="H31" s="200">
        <v>0</v>
      </c>
      <c r="I31" s="201">
        <v>5430233525.6861992</v>
      </c>
      <c r="J31" s="202">
        <f t="shared" si="0"/>
        <v>50071309.595999993</v>
      </c>
      <c r="K31" s="202">
        <f t="shared" si="1"/>
        <v>4887210173.1175795</v>
      </c>
      <c r="L31" s="202"/>
      <c r="M31" s="202">
        <f t="shared" si="2"/>
        <v>4887210173.1175795</v>
      </c>
      <c r="N31" s="238">
        <f t="shared" si="9"/>
        <v>5171650976.8439999</v>
      </c>
      <c r="O31" s="202">
        <f t="shared" si="13"/>
        <v>517165097.68440002</v>
      </c>
      <c r="P31" s="202">
        <f t="shared" si="5"/>
        <v>4654485879.1596003</v>
      </c>
      <c r="Q31" s="236">
        <v>4654485879.1596003</v>
      </c>
      <c r="R31" s="236">
        <v>42918265.368000001</v>
      </c>
      <c r="S31" s="202">
        <f t="shared" si="6"/>
        <v>45064178.636399992</v>
      </c>
      <c r="T31" s="202">
        <f t="shared" si="12"/>
        <v>45064178.636399992</v>
      </c>
      <c r="U31" s="202">
        <f t="shared" si="8"/>
        <v>4654485879.1596003</v>
      </c>
      <c r="X31" s="237" t="e">
        <f>VLOOKUP(D31,'5. KHBH'!#REF!,11,0)</f>
        <v>#REF!</v>
      </c>
      <c r="Y31" s="238" t="e">
        <f>X31*'5. KHBH'!#REF!</f>
        <v>#REF!</v>
      </c>
    </row>
    <row r="32" spans="1:25" s="237" customFormat="1">
      <c r="A32" s="380">
        <v>24</v>
      </c>
      <c r="B32" s="381" t="s">
        <v>18</v>
      </c>
      <c r="C32" s="198" t="s">
        <v>281</v>
      </c>
      <c r="D32" s="198" t="s">
        <v>282</v>
      </c>
      <c r="E32" s="198">
        <v>90</v>
      </c>
      <c r="F32" s="198" t="s">
        <v>261</v>
      </c>
      <c r="G32" s="198" t="s">
        <v>262</v>
      </c>
      <c r="H32" s="200">
        <v>0</v>
      </c>
      <c r="I32" s="201">
        <v>4779534097.8000002</v>
      </c>
      <c r="J32" s="202">
        <f t="shared" si="0"/>
        <v>53105934.420000002</v>
      </c>
      <c r="K32" s="202">
        <f t="shared" si="1"/>
        <v>4301580688.0200005</v>
      </c>
      <c r="L32" s="202"/>
      <c r="M32" s="202">
        <f t="shared" si="2"/>
        <v>4301580688.0200005</v>
      </c>
      <c r="N32" s="238">
        <f t="shared" si="9"/>
        <v>4551937236.000001</v>
      </c>
      <c r="O32" s="202">
        <f t="shared" si="13"/>
        <v>455193723.60000014</v>
      </c>
      <c r="P32" s="202">
        <f t="shared" si="5"/>
        <v>4096743512.4000006</v>
      </c>
      <c r="Q32" s="236">
        <v>4096743512.4000006</v>
      </c>
      <c r="R32" s="236">
        <v>45519372.360000007</v>
      </c>
      <c r="S32" s="202">
        <f t="shared" si="6"/>
        <v>47795340.978000008</v>
      </c>
      <c r="T32" s="202">
        <f t="shared" si="12"/>
        <v>47795340.978000008</v>
      </c>
      <c r="U32" s="202">
        <f t="shared" si="8"/>
        <v>4096743512.4000006</v>
      </c>
      <c r="X32" s="237" t="e">
        <f>VLOOKUP(D32,'5. KHBH'!#REF!,11,0)</f>
        <v>#REF!</v>
      </c>
      <c r="Y32" s="238" t="e">
        <f>X32*'5. KHBH'!#REF!</f>
        <v>#REF!</v>
      </c>
    </row>
    <row r="33" spans="1:25" s="237" customFormat="1">
      <c r="A33" s="380">
        <v>25</v>
      </c>
      <c r="B33" s="381" t="s">
        <v>18</v>
      </c>
      <c r="C33" s="198" t="s">
        <v>281</v>
      </c>
      <c r="D33" s="198" t="s">
        <v>283</v>
      </c>
      <c r="E33" s="198">
        <v>90</v>
      </c>
      <c r="F33" s="198" t="s">
        <v>261</v>
      </c>
      <c r="G33" s="198" t="s">
        <v>262</v>
      </c>
      <c r="H33" s="200">
        <v>0</v>
      </c>
      <c r="I33" s="201">
        <v>5066306143.6679993</v>
      </c>
      <c r="J33" s="202">
        <f t="shared" si="0"/>
        <v>56292290.485199995</v>
      </c>
      <c r="K33" s="202">
        <f t="shared" si="1"/>
        <v>4559675529.3011999</v>
      </c>
      <c r="L33" s="202"/>
      <c r="M33" s="202">
        <f t="shared" si="2"/>
        <v>4559675529.3011999</v>
      </c>
      <c r="N33" s="238">
        <f t="shared" si="9"/>
        <v>4825053470.1599998</v>
      </c>
      <c r="O33" s="202">
        <f t="shared" si="13"/>
        <v>482505347.01600003</v>
      </c>
      <c r="P33" s="202">
        <f t="shared" si="5"/>
        <v>4342548123.1440001</v>
      </c>
      <c r="Q33" s="236">
        <v>4342548123.1440001</v>
      </c>
      <c r="R33" s="236">
        <v>48250534.7016</v>
      </c>
      <c r="S33" s="202">
        <f t="shared" si="6"/>
        <v>50663061.436679997</v>
      </c>
      <c r="T33" s="202">
        <f t="shared" si="12"/>
        <v>50663061.436679997</v>
      </c>
      <c r="U33" s="202">
        <f t="shared" si="8"/>
        <v>4342548123.1440001</v>
      </c>
      <c r="X33" s="237" t="e">
        <f>VLOOKUP(D33,'5. KHBH'!#REF!,11,0)</f>
        <v>#REF!</v>
      </c>
      <c r="Y33" s="238" t="e">
        <f>X33*'5. KHBH'!#REF!</f>
        <v>#REF!</v>
      </c>
    </row>
    <row r="34" spans="1:25" s="237" customFormat="1">
      <c r="A34" s="380">
        <v>26</v>
      </c>
      <c r="B34" s="381" t="s">
        <v>18</v>
      </c>
      <c r="C34" s="198" t="s">
        <v>284</v>
      </c>
      <c r="D34" s="198" t="s">
        <v>285</v>
      </c>
      <c r="E34" s="198">
        <v>90</v>
      </c>
      <c r="F34" s="198" t="s">
        <v>261</v>
      </c>
      <c r="G34" s="198" t="s">
        <v>262</v>
      </c>
      <c r="H34" s="200">
        <v>0</v>
      </c>
      <c r="I34" s="201">
        <v>5066306143.6679993</v>
      </c>
      <c r="J34" s="202">
        <f t="shared" si="0"/>
        <v>56292290.485199995</v>
      </c>
      <c r="K34" s="202">
        <f t="shared" si="1"/>
        <v>4559675529.3011999</v>
      </c>
      <c r="L34" s="202"/>
      <c r="M34" s="202">
        <f t="shared" si="2"/>
        <v>4559675529.3011999</v>
      </c>
      <c r="N34" s="238">
        <f t="shared" si="9"/>
        <v>4825053470.1599998</v>
      </c>
      <c r="O34" s="202">
        <f t="shared" si="13"/>
        <v>482505347.01600003</v>
      </c>
      <c r="P34" s="202">
        <f t="shared" si="5"/>
        <v>4342548123.1440001</v>
      </c>
      <c r="Q34" s="236">
        <v>4342548123.1440001</v>
      </c>
      <c r="R34" s="236">
        <v>48250534.7016</v>
      </c>
      <c r="S34" s="202">
        <f t="shared" si="6"/>
        <v>50663061.436679997</v>
      </c>
      <c r="T34" s="202">
        <f t="shared" si="12"/>
        <v>50663061.436679997</v>
      </c>
      <c r="U34" s="202">
        <f t="shared" si="8"/>
        <v>4342548123.1440001</v>
      </c>
      <c r="X34" s="237" t="e">
        <f>VLOOKUP(D34,'5. KHBH'!#REF!,11,0)</f>
        <v>#REF!</v>
      </c>
      <c r="Y34" s="238" t="e">
        <f>X34*'5. KHBH'!#REF!</f>
        <v>#REF!</v>
      </c>
    </row>
    <row r="35" spans="1:25" s="237" customFormat="1">
      <c r="A35" s="380">
        <v>27</v>
      </c>
      <c r="B35" s="381" t="s">
        <v>18</v>
      </c>
      <c r="C35" s="198" t="s">
        <v>284</v>
      </c>
      <c r="D35" s="198" t="s">
        <v>286</v>
      </c>
      <c r="E35" s="198">
        <v>90</v>
      </c>
      <c r="F35" s="198" t="s">
        <v>261</v>
      </c>
      <c r="G35" s="198" t="s">
        <v>262</v>
      </c>
      <c r="H35" s="200">
        <v>0</v>
      </c>
      <c r="I35" s="201">
        <v>4779534097.8000002</v>
      </c>
      <c r="J35" s="202">
        <f t="shared" si="0"/>
        <v>53105934.420000002</v>
      </c>
      <c r="K35" s="202">
        <f t="shared" si="1"/>
        <v>4301580688.0200005</v>
      </c>
      <c r="L35" s="202"/>
      <c r="M35" s="202">
        <f t="shared" si="2"/>
        <v>4301580688.0200005</v>
      </c>
      <c r="N35" s="238">
        <f t="shared" si="9"/>
        <v>4551937236.000001</v>
      </c>
      <c r="O35" s="202">
        <f t="shared" si="13"/>
        <v>455193723.60000014</v>
      </c>
      <c r="P35" s="202">
        <f t="shared" si="5"/>
        <v>4096743512.4000006</v>
      </c>
      <c r="Q35" s="236">
        <v>4096743512.4000006</v>
      </c>
      <c r="R35" s="236">
        <v>45519372.360000007</v>
      </c>
      <c r="S35" s="202">
        <f t="shared" si="6"/>
        <v>47795340.978000008</v>
      </c>
      <c r="T35" s="202">
        <f t="shared" si="12"/>
        <v>47795340.978000008</v>
      </c>
      <c r="U35" s="202">
        <f t="shared" si="8"/>
        <v>4096743512.4000006</v>
      </c>
      <c r="X35" s="237" t="e">
        <f>VLOOKUP(D35,'5. KHBH'!#REF!,11,0)</f>
        <v>#REF!</v>
      </c>
      <c r="Y35" s="238" t="e">
        <f>X35*'5. KHBH'!#REF!</f>
        <v>#REF!</v>
      </c>
    </row>
    <row r="36" spans="1:25" s="237" customFormat="1">
      <c r="A36" s="380">
        <v>28</v>
      </c>
      <c r="B36" s="381" t="s">
        <v>18</v>
      </c>
      <c r="C36" s="198" t="s">
        <v>284</v>
      </c>
      <c r="D36" s="198" t="s">
        <v>287</v>
      </c>
      <c r="E36" s="198">
        <v>90</v>
      </c>
      <c r="F36" s="198" t="s">
        <v>261</v>
      </c>
      <c r="G36" s="198" t="s">
        <v>262</v>
      </c>
      <c r="H36" s="200">
        <v>0</v>
      </c>
      <c r="I36" s="201">
        <v>4779534097.8000002</v>
      </c>
      <c r="J36" s="202">
        <f t="shared" si="0"/>
        <v>53105934.420000002</v>
      </c>
      <c r="K36" s="202">
        <f t="shared" si="1"/>
        <v>4301580688.0200005</v>
      </c>
      <c r="L36" s="202"/>
      <c r="M36" s="202">
        <f t="shared" si="2"/>
        <v>4301580688.0200005</v>
      </c>
      <c r="N36" s="238">
        <f t="shared" si="9"/>
        <v>4551937236.000001</v>
      </c>
      <c r="O36" s="202">
        <f t="shared" si="13"/>
        <v>455193723.60000014</v>
      </c>
      <c r="P36" s="202">
        <f t="shared" si="5"/>
        <v>4096743512.4000006</v>
      </c>
      <c r="Q36" s="236">
        <v>4096743512.4000006</v>
      </c>
      <c r="R36" s="236">
        <v>45519372.360000007</v>
      </c>
      <c r="S36" s="202">
        <f t="shared" si="6"/>
        <v>47795340.978000008</v>
      </c>
      <c r="T36" s="202">
        <f t="shared" si="12"/>
        <v>47795340.978000008</v>
      </c>
      <c r="U36" s="202">
        <f t="shared" si="8"/>
        <v>4096743512.4000006</v>
      </c>
      <c r="X36" s="237" t="e">
        <f>VLOOKUP(D36,'5. KHBH'!#REF!,11,0)</f>
        <v>#REF!</v>
      </c>
      <c r="Y36" s="238" t="e">
        <f>X36*'5. KHBH'!#REF!</f>
        <v>#REF!</v>
      </c>
    </row>
    <row r="37" spans="1:25" s="237" customFormat="1">
      <c r="A37" s="380">
        <v>29</v>
      </c>
      <c r="B37" s="381" t="s">
        <v>18</v>
      </c>
      <c r="C37" s="198" t="s">
        <v>284</v>
      </c>
      <c r="D37" s="198" t="s">
        <v>288</v>
      </c>
      <c r="E37" s="198">
        <v>90</v>
      </c>
      <c r="F37" s="198" t="s">
        <v>261</v>
      </c>
      <c r="G37" s="198" t="s">
        <v>262</v>
      </c>
      <c r="H37" s="200">
        <v>0</v>
      </c>
      <c r="I37" s="201">
        <v>4779534097.8000002</v>
      </c>
      <c r="J37" s="202">
        <f t="shared" si="0"/>
        <v>53105934.420000002</v>
      </c>
      <c r="K37" s="202">
        <f t="shared" si="1"/>
        <v>4301580688.0200005</v>
      </c>
      <c r="L37" s="202"/>
      <c r="M37" s="202">
        <f t="shared" si="2"/>
        <v>4301580688.0200005</v>
      </c>
      <c r="N37" s="238">
        <f t="shared" si="9"/>
        <v>4551937236.000001</v>
      </c>
      <c r="O37" s="202">
        <f t="shared" si="13"/>
        <v>455193723.60000014</v>
      </c>
      <c r="P37" s="202">
        <f t="shared" si="5"/>
        <v>4096743512.4000006</v>
      </c>
      <c r="Q37" s="236">
        <v>4096743512.4000006</v>
      </c>
      <c r="R37" s="236">
        <v>45519372.360000007</v>
      </c>
      <c r="S37" s="202">
        <f t="shared" si="6"/>
        <v>47795340.978000008</v>
      </c>
      <c r="T37" s="202">
        <f t="shared" si="12"/>
        <v>47795340.978000008</v>
      </c>
      <c r="U37" s="202">
        <f t="shared" si="8"/>
        <v>4096743512.4000006</v>
      </c>
      <c r="X37" s="237" t="e">
        <f>VLOOKUP(D37,'5. KHBH'!#REF!,11,0)</f>
        <v>#REF!</v>
      </c>
      <c r="Y37" s="238" t="e">
        <f>X37*'5. KHBH'!#REF!</f>
        <v>#REF!</v>
      </c>
    </row>
    <row r="38" spans="1:25" s="237" customFormat="1" ht="16.149999999999999" customHeight="1">
      <c r="A38" s="380">
        <v>30</v>
      </c>
      <c r="B38" s="381" t="s">
        <v>18</v>
      </c>
      <c r="C38" s="198" t="s">
        <v>284</v>
      </c>
      <c r="D38" s="198" t="s">
        <v>289</v>
      </c>
      <c r="E38" s="198">
        <v>90</v>
      </c>
      <c r="F38" s="198" t="s">
        <v>261</v>
      </c>
      <c r="G38" s="198" t="s">
        <v>262</v>
      </c>
      <c r="H38" s="200">
        <v>0</v>
      </c>
      <c r="I38" s="201">
        <v>4779534097.8000002</v>
      </c>
      <c r="J38" s="202">
        <f t="shared" si="0"/>
        <v>53105934.420000002</v>
      </c>
      <c r="K38" s="202">
        <f t="shared" si="1"/>
        <v>4301580688.0200005</v>
      </c>
      <c r="L38" s="202"/>
      <c r="M38" s="202">
        <f t="shared" si="2"/>
        <v>4301580688.0200005</v>
      </c>
      <c r="N38" s="238">
        <f t="shared" si="9"/>
        <v>4551937236.000001</v>
      </c>
      <c r="O38" s="202">
        <f t="shared" si="13"/>
        <v>455193723.60000014</v>
      </c>
      <c r="P38" s="202">
        <f t="shared" si="5"/>
        <v>4096743512.4000006</v>
      </c>
      <c r="Q38" s="236">
        <v>4096743512.4000006</v>
      </c>
      <c r="R38" s="236">
        <v>45519372.360000007</v>
      </c>
      <c r="S38" s="202">
        <f t="shared" si="6"/>
        <v>47795340.978000008</v>
      </c>
      <c r="T38" s="202">
        <f t="shared" si="12"/>
        <v>47795340.978000008</v>
      </c>
      <c r="U38" s="202">
        <f t="shared" si="8"/>
        <v>4096743512.4000006</v>
      </c>
      <c r="X38" s="237" t="e">
        <f>VLOOKUP(D38,'5. KHBH'!#REF!,11,0)</f>
        <v>#REF!</v>
      </c>
      <c r="Y38" s="238" t="e">
        <f>X38*'5. KHBH'!#REF!</f>
        <v>#REF!</v>
      </c>
    </row>
    <row r="39" spans="1:25" s="237" customFormat="1" ht="16.149999999999999" customHeight="1">
      <c r="A39" s="380">
        <v>31</v>
      </c>
      <c r="B39" s="381" t="s">
        <v>18</v>
      </c>
      <c r="C39" s="198" t="s">
        <v>284</v>
      </c>
      <c r="D39" s="198" t="s">
        <v>290</v>
      </c>
      <c r="E39" s="198">
        <v>90</v>
      </c>
      <c r="F39" s="198" t="s">
        <v>261</v>
      </c>
      <c r="G39" s="198" t="s">
        <v>262</v>
      </c>
      <c r="H39" s="200">
        <v>0</v>
      </c>
      <c r="I39" s="201">
        <v>4779534097.8000002</v>
      </c>
      <c r="J39" s="202">
        <f t="shared" si="0"/>
        <v>53105934.420000002</v>
      </c>
      <c r="K39" s="202">
        <f t="shared" si="1"/>
        <v>4301580688.0200005</v>
      </c>
      <c r="L39" s="202"/>
      <c r="M39" s="202">
        <f t="shared" si="2"/>
        <v>4301580688.0200005</v>
      </c>
      <c r="N39" s="238">
        <f t="shared" si="9"/>
        <v>4551937236.000001</v>
      </c>
      <c r="O39" s="202">
        <f t="shared" si="13"/>
        <v>455193723.60000014</v>
      </c>
      <c r="P39" s="202">
        <f t="shared" si="5"/>
        <v>4096743512.4000006</v>
      </c>
      <c r="Q39" s="236">
        <v>4096743512.4000006</v>
      </c>
      <c r="R39" s="236">
        <v>45519372.360000007</v>
      </c>
      <c r="S39" s="202">
        <f t="shared" si="6"/>
        <v>47795340.978000008</v>
      </c>
      <c r="T39" s="202">
        <f t="shared" si="12"/>
        <v>47795340.978000008</v>
      </c>
      <c r="U39" s="202">
        <f t="shared" si="8"/>
        <v>4096743512.4000006</v>
      </c>
      <c r="X39" s="237" t="e">
        <f>VLOOKUP(D39,'5. KHBH'!#REF!,11,0)</f>
        <v>#REF!</v>
      </c>
      <c r="Y39" s="238" t="e">
        <f>X39*'5. KHBH'!#REF!</f>
        <v>#REF!</v>
      </c>
    </row>
    <row r="40" spans="1:25" s="237" customFormat="1">
      <c r="A40" s="380">
        <v>32</v>
      </c>
      <c r="B40" s="381" t="s">
        <v>18</v>
      </c>
      <c r="C40" s="198" t="s">
        <v>291</v>
      </c>
      <c r="D40" s="198" t="s">
        <v>292</v>
      </c>
      <c r="E40" s="198">
        <v>150</v>
      </c>
      <c r="F40" s="198" t="s">
        <v>252</v>
      </c>
      <c r="G40" s="198" t="s">
        <v>293</v>
      </c>
      <c r="H40" s="199">
        <v>3843179999.9999995</v>
      </c>
      <c r="I40" s="201">
        <v>10995885649.900799</v>
      </c>
      <c r="J40" s="202">
        <f t="shared" si="0"/>
        <v>73305904.332671985</v>
      </c>
      <c r="K40" s="202">
        <f t="shared" si="1"/>
        <v>9896297084.9107189</v>
      </c>
      <c r="L40" s="202"/>
      <c r="M40" s="202">
        <f t="shared" si="2"/>
        <v>13739477084.910719</v>
      </c>
      <c r="N40" s="202">
        <f t="shared" ref="N40:N48" si="14">M40/(1-$N$7)</f>
        <v>15266085649.900799</v>
      </c>
      <c r="O40" s="202">
        <f t="shared" ref="O40:O48" si="15">N40*$O$7</f>
        <v>1526608564.9900799</v>
      </c>
      <c r="P40" s="202">
        <f t="shared" si="5"/>
        <v>13739477084.910719</v>
      </c>
      <c r="Q40" s="236">
        <v>9896297084.9107189</v>
      </c>
      <c r="R40" s="236">
        <v>65975313.899404794</v>
      </c>
      <c r="S40" s="202">
        <f t="shared" si="6"/>
        <v>65975313.899404794</v>
      </c>
      <c r="T40" s="202">
        <f t="shared" ref="T40:T48" si="16">S40*$T$2</f>
        <v>65975313.899404794</v>
      </c>
      <c r="U40" s="202">
        <f t="shared" si="8"/>
        <v>9896297084.9107189</v>
      </c>
      <c r="X40" s="237" t="e">
        <f>VLOOKUP(D40,'5. KHBH'!#REF!,11,0)</f>
        <v>#REF!</v>
      </c>
      <c r="Y40" s="238" t="e">
        <f>X40*'5. KHBH'!#REF!</f>
        <v>#REF!</v>
      </c>
    </row>
    <row r="41" spans="1:25" s="237" customFormat="1">
      <c r="A41" s="380">
        <v>33</v>
      </c>
      <c r="B41" s="381" t="s">
        <v>18</v>
      </c>
      <c r="C41" s="198" t="s">
        <v>291</v>
      </c>
      <c r="D41" s="198" t="s">
        <v>294</v>
      </c>
      <c r="E41" s="198">
        <v>150</v>
      </c>
      <c r="F41" s="198" t="s">
        <v>252</v>
      </c>
      <c r="G41" s="198" t="s">
        <v>293</v>
      </c>
      <c r="H41" s="199">
        <v>3843179999.9999995</v>
      </c>
      <c r="I41" s="201">
        <v>10995885649.900799</v>
      </c>
      <c r="J41" s="202">
        <f t="shared" si="0"/>
        <v>73305904.332671985</v>
      </c>
      <c r="K41" s="202">
        <f t="shared" si="1"/>
        <v>9896297084.9107189</v>
      </c>
      <c r="L41" s="202"/>
      <c r="M41" s="202">
        <f t="shared" si="2"/>
        <v>13739477084.910719</v>
      </c>
      <c r="N41" s="202">
        <f t="shared" si="14"/>
        <v>15266085649.900799</v>
      </c>
      <c r="O41" s="202">
        <f t="shared" si="15"/>
        <v>1526608564.9900799</v>
      </c>
      <c r="P41" s="202">
        <f t="shared" si="5"/>
        <v>13739477084.910719</v>
      </c>
      <c r="Q41" s="236">
        <v>9896297084.9107189</v>
      </c>
      <c r="R41" s="236">
        <v>65975313.899404794</v>
      </c>
      <c r="S41" s="202">
        <f t="shared" si="6"/>
        <v>65975313.899404794</v>
      </c>
      <c r="T41" s="202">
        <f t="shared" si="16"/>
        <v>65975313.899404794</v>
      </c>
      <c r="U41" s="202">
        <f t="shared" si="8"/>
        <v>9896297084.9107189</v>
      </c>
      <c r="X41" s="237" t="e">
        <f>VLOOKUP(D41,'5. KHBH'!#REF!,11,0)</f>
        <v>#REF!</v>
      </c>
      <c r="Y41" s="238" t="e">
        <f>X41*'5. KHBH'!#REF!</f>
        <v>#REF!</v>
      </c>
    </row>
    <row r="42" spans="1:25" s="237" customFormat="1">
      <c r="A42" s="380">
        <v>34</v>
      </c>
      <c r="B42" s="381" t="s">
        <v>18</v>
      </c>
      <c r="C42" s="198" t="s">
        <v>291</v>
      </c>
      <c r="D42" s="198" t="s">
        <v>295</v>
      </c>
      <c r="E42" s="198">
        <v>150</v>
      </c>
      <c r="F42" s="198" t="s">
        <v>252</v>
      </c>
      <c r="G42" s="198" t="s">
        <v>293</v>
      </c>
      <c r="H42" s="199">
        <v>3843179999.9999995</v>
      </c>
      <c r="I42" s="201">
        <v>10995885649.900799</v>
      </c>
      <c r="J42" s="202">
        <f t="shared" si="0"/>
        <v>73305904.332671985</v>
      </c>
      <c r="K42" s="202">
        <f t="shared" si="1"/>
        <v>9896297084.9107189</v>
      </c>
      <c r="L42" s="202"/>
      <c r="M42" s="202">
        <f t="shared" si="2"/>
        <v>13739477084.910719</v>
      </c>
      <c r="N42" s="202">
        <f t="shared" si="14"/>
        <v>15266085649.900799</v>
      </c>
      <c r="O42" s="202">
        <f t="shared" si="15"/>
        <v>1526608564.9900799</v>
      </c>
      <c r="P42" s="202">
        <f t="shared" si="5"/>
        <v>13739477084.910719</v>
      </c>
      <c r="Q42" s="236">
        <v>9896297084.9107189</v>
      </c>
      <c r="R42" s="236">
        <v>65975313.899404794</v>
      </c>
      <c r="S42" s="202">
        <f t="shared" si="6"/>
        <v>65975313.899404794</v>
      </c>
      <c r="T42" s="202">
        <f t="shared" si="16"/>
        <v>65975313.899404794</v>
      </c>
      <c r="U42" s="202">
        <f t="shared" si="8"/>
        <v>9896297084.9107189</v>
      </c>
      <c r="X42" s="237" t="e">
        <f>VLOOKUP(D42,'5. KHBH'!#REF!,11,0)</f>
        <v>#REF!</v>
      </c>
      <c r="Y42" s="238" t="e">
        <f>X42*'5. KHBH'!#REF!</f>
        <v>#REF!</v>
      </c>
    </row>
    <row r="43" spans="1:25" s="237" customFormat="1">
      <c r="A43" s="380">
        <v>35</v>
      </c>
      <c r="B43" s="381" t="s">
        <v>18</v>
      </c>
      <c r="C43" s="198" t="s">
        <v>291</v>
      </c>
      <c r="D43" s="198" t="s">
        <v>296</v>
      </c>
      <c r="E43" s="198">
        <v>150</v>
      </c>
      <c r="F43" s="198" t="s">
        <v>252</v>
      </c>
      <c r="G43" s="198" t="s">
        <v>293</v>
      </c>
      <c r="H43" s="199">
        <v>3843179999.9999995</v>
      </c>
      <c r="I43" s="201">
        <v>10995885649.900799</v>
      </c>
      <c r="J43" s="202">
        <f t="shared" si="0"/>
        <v>73305904.332671985</v>
      </c>
      <c r="K43" s="202">
        <f t="shared" si="1"/>
        <v>9896297084.9107189</v>
      </c>
      <c r="L43" s="202"/>
      <c r="M43" s="202">
        <f t="shared" si="2"/>
        <v>13739477084.910719</v>
      </c>
      <c r="N43" s="202">
        <f t="shared" si="14"/>
        <v>15266085649.900799</v>
      </c>
      <c r="O43" s="202">
        <f t="shared" si="15"/>
        <v>1526608564.9900799</v>
      </c>
      <c r="P43" s="202">
        <f t="shared" si="5"/>
        <v>13739477084.910719</v>
      </c>
      <c r="Q43" s="236">
        <v>9896297084.9107189</v>
      </c>
      <c r="R43" s="236">
        <v>65975313.899404794</v>
      </c>
      <c r="S43" s="202">
        <f t="shared" si="6"/>
        <v>65975313.899404794</v>
      </c>
      <c r="T43" s="202">
        <f t="shared" si="16"/>
        <v>65975313.899404794</v>
      </c>
      <c r="U43" s="202">
        <f t="shared" si="8"/>
        <v>9896297084.9107189</v>
      </c>
      <c r="X43" s="237" t="e">
        <f>VLOOKUP(D43,'5. KHBH'!#REF!,11,0)</f>
        <v>#REF!</v>
      </c>
      <c r="Y43" s="238" t="e">
        <f>X43*'5. KHBH'!#REF!</f>
        <v>#REF!</v>
      </c>
    </row>
    <row r="44" spans="1:25" s="237" customFormat="1">
      <c r="A44" s="380">
        <v>36</v>
      </c>
      <c r="B44" s="381" t="s">
        <v>18</v>
      </c>
      <c r="C44" s="198" t="s">
        <v>297</v>
      </c>
      <c r="D44" s="198" t="s">
        <v>298</v>
      </c>
      <c r="E44" s="198">
        <v>120</v>
      </c>
      <c r="F44" s="198" t="s">
        <v>252</v>
      </c>
      <c r="G44" s="198" t="s">
        <v>293</v>
      </c>
      <c r="H44" s="199">
        <v>3053820000</v>
      </c>
      <c r="I44" s="201">
        <v>9589372412.9280014</v>
      </c>
      <c r="J44" s="202">
        <f t="shared" si="0"/>
        <v>79911436.774400011</v>
      </c>
      <c r="K44" s="202">
        <f t="shared" si="1"/>
        <v>8630435171.6352024</v>
      </c>
      <c r="L44" s="202"/>
      <c r="M44" s="202">
        <f t="shared" si="2"/>
        <v>11684255171.635202</v>
      </c>
      <c r="N44" s="202">
        <f t="shared" si="14"/>
        <v>12982505746.261335</v>
      </c>
      <c r="O44" s="202">
        <f t="shared" si="15"/>
        <v>1298250574.6261337</v>
      </c>
      <c r="P44" s="202">
        <f t="shared" si="5"/>
        <v>11684255171.635202</v>
      </c>
      <c r="Q44" s="236">
        <v>8630435171.6352024</v>
      </c>
      <c r="R44" s="236">
        <v>71920293.096960023</v>
      </c>
      <c r="S44" s="202">
        <f t="shared" si="6"/>
        <v>71920293.096960023</v>
      </c>
      <c r="T44" s="202">
        <f t="shared" si="16"/>
        <v>71920293.096960023</v>
      </c>
      <c r="U44" s="202">
        <f t="shared" si="8"/>
        <v>8630435171.6352024</v>
      </c>
      <c r="X44" s="237" t="e">
        <f>VLOOKUP(D44,'5. KHBH'!#REF!,11,0)</f>
        <v>#REF!</v>
      </c>
      <c r="Y44" s="238" t="e">
        <f>X44*'5. KHBH'!#REF!</f>
        <v>#REF!</v>
      </c>
    </row>
    <row r="45" spans="1:25" s="237" customFormat="1">
      <c r="A45" s="380">
        <v>37</v>
      </c>
      <c r="B45" s="381" t="s">
        <v>18</v>
      </c>
      <c r="C45" s="198" t="s">
        <v>297</v>
      </c>
      <c r="D45" s="198" t="s">
        <v>299</v>
      </c>
      <c r="E45" s="198">
        <v>120</v>
      </c>
      <c r="F45" s="198" t="s">
        <v>252</v>
      </c>
      <c r="G45" s="198" t="s">
        <v>293</v>
      </c>
      <c r="H45" s="199">
        <v>3053820000</v>
      </c>
      <c r="I45" s="201">
        <v>9589372412.9280014</v>
      </c>
      <c r="J45" s="202">
        <f t="shared" si="0"/>
        <v>79911436.774400011</v>
      </c>
      <c r="K45" s="202">
        <f t="shared" si="1"/>
        <v>8630435171.6352024</v>
      </c>
      <c r="L45" s="202"/>
      <c r="M45" s="202">
        <f t="shared" si="2"/>
        <v>11684255171.635202</v>
      </c>
      <c r="N45" s="202">
        <f t="shared" si="14"/>
        <v>12982505746.261335</v>
      </c>
      <c r="O45" s="202">
        <f t="shared" si="15"/>
        <v>1298250574.6261337</v>
      </c>
      <c r="P45" s="202">
        <f t="shared" si="5"/>
        <v>11684255171.635202</v>
      </c>
      <c r="Q45" s="236">
        <v>8630435171.6352024</v>
      </c>
      <c r="R45" s="236">
        <v>71920293.096960023</v>
      </c>
      <c r="S45" s="202">
        <f t="shared" si="6"/>
        <v>71920293.096960023</v>
      </c>
      <c r="T45" s="202">
        <f t="shared" si="16"/>
        <v>71920293.096960023</v>
      </c>
      <c r="U45" s="202">
        <f t="shared" si="8"/>
        <v>8630435171.6352024</v>
      </c>
      <c r="X45" s="237" t="e">
        <f>VLOOKUP(D45,'5. KHBH'!#REF!,11,0)</f>
        <v>#REF!</v>
      </c>
      <c r="Y45" s="238" t="e">
        <f>X45*'5. KHBH'!#REF!</f>
        <v>#REF!</v>
      </c>
    </row>
    <row r="46" spans="1:25" s="237" customFormat="1">
      <c r="A46" s="380">
        <v>38</v>
      </c>
      <c r="B46" s="381" t="s">
        <v>18</v>
      </c>
      <c r="C46" s="198" t="s">
        <v>297</v>
      </c>
      <c r="D46" s="198" t="s">
        <v>300</v>
      </c>
      <c r="E46" s="198">
        <v>120</v>
      </c>
      <c r="F46" s="198" t="s">
        <v>252</v>
      </c>
      <c r="G46" s="198" t="s">
        <v>293</v>
      </c>
      <c r="H46" s="199">
        <v>3053820000</v>
      </c>
      <c r="I46" s="201">
        <v>9589372412.9280014</v>
      </c>
      <c r="J46" s="202">
        <f t="shared" si="0"/>
        <v>79911436.774400011</v>
      </c>
      <c r="K46" s="202">
        <f t="shared" si="1"/>
        <v>8630435171.6352024</v>
      </c>
      <c r="L46" s="202"/>
      <c r="M46" s="202">
        <f t="shared" si="2"/>
        <v>11684255171.635202</v>
      </c>
      <c r="N46" s="202">
        <f t="shared" si="14"/>
        <v>12982505746.261335</v>
      </c>
      <c r="O46" s="202">
        <f t="shared" si="15"/>
        <v>1298250574.6261337</v>
      </c>
      <c r="P46" s="202">
        <f t="shared" si="5"/>
        <v>11684255171.635202</v>
      </c>
      <c r="Q46" s="236">
        <v>8630435171.6352024</v>
      </c>
      <c r="R46" s="236">
        <v>71920293.096960023</v>
      </c>
      <c r="S46" s="202">
        <f t="shared" si="6"/>
        <v>71920293.096960023</v>
      </c>
      <c r="T46" s="202">
        <f t="shared" si="16"/>
        <v>71920293.096960023</v>
      </c>
      <c r="U46" s="202">
        <f t="shared" si="8"/>
        <v>8630435171.6352024</v>
      </c>
      <c r="X46" s="237" t="e">
        <f>VLOOKUP(D46,'5. KHBH'!#REF!,11,0)</f>
        <v>#REF!</v>
      </c>
      <c r="Y46" s="238" t="e">
        <f>X46*'5. KHBH'!#REF!</f>
        <v>#REF!</v>
      </c>
    </row>
    <row r="47" spans="1:25" s="237" customFormat="1">
      <c r="A47" s="380">
        <v>39</v>
      </c>
      <c r="B47" s="381" t="s">
        <v>18</v>
      </c>
      <c r="C47" s="198" t="s">
        <v>297</v>
      </c>
      <c r="D47" s="198" t="s">
        <v>301</v>
      </c>
      <c r="E47" s="198">
        <v>120</v>
      </c>
      <c r="F47" s="198" t="s">
        <v>252</v>
      </c>
      <c r="G47" s="198" t="s">
        <v>293</v>
      </c>
      <c r="H47" s="199">
        <v>3053820000</v>
      </c>
      <c r="I47" s="201">
        <v>9589372412.9280014</v>
      </c>
      <c r="J47" s="202">
        <f t="shared" si="0"/>
        <v>79911436.774400011</v>
      </c>
      <c r="K47" s="202">
        <f t="shared" si="1"/>
        <v>8630435171.6352024</v>
      </c>
      <c r="L47" s="202"/>
      <c r="M47" s="202">
        <f t="shared" si="2"/>
        <v>11684255171.635202</v>
      </c>
      <c r="N47" s="202">
        <f t="shared" si="14"/>
        <v>12982505746.261335</v>
      </c>
      <c r="O47" s="202">
        <f t="shared" si="15"/>
        <v>1298250574.6261337</v>
      </c>
      <c r="P47" s="202">
        <f t="shared" si="5"/>
        <v>11684255171.635202</v>
      </c>
      <c r="Q47" s="236">
        <v>8630435171.6352024</v>
      </c>
      <c r="R47" s="236">
        <v>71920293.096960023</v>
      </c>
      <c r="S47" s="202">
        <f t="shared" si="6"/>
        <v>71920293.096960023</v>
      </c>
      <c r="T47" s="202">
        <f t="shared" si="16"/>
        <v>71920293.096960023</v>
      </c>
      <c r="U47" s="202">
        <f t="shared" si="8"/>
        <v>8630435171.6352024</v>
      </c>
      <c r="X47" s="237" t="e">
        <f>VLOOKUP(D47,'5. KHBH'!#REF!,11,0)</f>
        <v>#REF!</v>
      </c>
      <c r="Y47" s="238" t="e">
        <f>X47*'5. KHBH'!#REF!</f>
        <v>#REF!</v>
      </c>
    </row>
    <row r="48" spans="1:25" s="237" customFormat="1">
      <c r="A48" s="380">
        <v>40</v>
      </c>
      <c r="B48" s="381" t="s">
        <v>302</v>
      </c>
      <c r="C48" s="198" t="s">
        <v>297</v>
      </c>
      <c r="D48" s="198" t="s">
        <v>303</v>
      </c>
      <c r="E48" s="198">
        <v>120</v>
      </c>
      <c r="F48" s="198" t="s">
        <v>252</v>
      </c>
      <c r="G48" s="198" t="s">
        <v>293</v>
      </c>
      <c r="H48" s="199">
        <v>3053820000</v>
      </c>
      <c r="I48" s="201">
        <v>9589372412.9280014</v>
      </c>
      <c r="J48" s="202">
        <f t="shared" si="0"/>
        <v>79911436.774400011</v>
      </c>
      <c r="K48" s="202">
        <f t="shared" si="1"/>
        <v>8630435171.6352024</v>
      </c>
      <c r="L48" s="202"/>
      <c r="M48" s="202">
        <f t="shared" si="2"/>
        <v>11684255171.635202</v>
      </c>
      <c r="N48" s="202">
        <f t="shared" si="14"/>
        <v>12982505746.261335</v>
      </c>
      <c r="O48" s="202">
        <f t="shared" si="15"/>
        <v>1298250574.6261337</v>
      </c>
      <c r="P48" s="202">
        <f t="shared" si="5"/>
        <v>11684255171.635202</v>
      </c>
      <c r="Q48" s="236">
        <v>8630435171.6352024</v>
      </c>
      <c r="R48" s="236">
        <v>71920293.096960023</v>
      </c>
      <c r="S48" s="202">
        <f t="shared" si="6"/>
        <v>71920293.096960023</v>
      </c>
      <c r="T48" s="202">
        <f t="shared" si="16"/>
        <v>71920293.096960023</v>
      </c>
      <c r="U48" s="202">
        <f t="shared" si="8"/>
        <v>8630435171.6352024</v>
      </c>
      <c r="X48" s="237" t="e">
        <f>VLOOKUP(D48,'5. KHBH'!#REF!,11,0)</f>
        <v>#REF!</v>
      </c>
      <c r="Y48" s="238" t="e">
        <f>X48*'5. KHBH'!#REF!</f>
        <v>#REF!</v>
      </c>
    </row>
  </sheetData>
  <autoFilter ref="A8:M48" xr:uid="{B8408662-C0B1-4FF1-8AD6-59ECD0C597CC}"/>
  <conditionalFormatting sqref="D9:D48">
    <cfRule type="duplicateValues" dxfId="0" priority="268"/>
  </conditionalFormatting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B1697-20B9-45FD-8FD1-6BA5507B52F1}">
  <dimension ref="B2:U83"/>
  <sheetViews>
    <sheetView workbookViewId="0">
      <selection activeCell="G30" sqref="G30"/>
    </sheetView>
  </sheetViews>
  <sheetFormatPr defaultColWidth="8.7265625" defaultRowHeight="14.5"/>
  <cols>
    <col min="1" max="2" width="8.7265625" style="185"/>
    <col min="3" max="3" width="6.26953125" style="185" customWidth="1"/>
    <col min="4" max="4" width="20.7265625" style="185" customWidth="1"/>
    <col min="5" max="5" width="22.7265625" style="185" bestFit="1" customWidth="1"/>
    <col min="6" max="6" width="17.453125" style="185" bestFit="1" customWidth="1"/>
    <col min="7" max="7" width="16.26953125" style="185" bestFit="1" customWidth="1"/>
    <col min="8" max="10" width="15.7265625" style="185" bestFit="1" customWidth="1"/>
    <col min="11" max="11" width="17.453125" style="185" bestFit="1" customWidth="1"/>
    <col min="12" max="15" width="15.7265625" style="185" bestFit="1" customWidth="1"/>
    <col min="16" max="16" width="15.453125" style="185" customWidth="1"/>
    <col min="17" max="19" width="14.7265625" style="185" bestFit="1" customWidth="1"/>
    <col min="20" max="20" width="13.7265625" style="185" bestFit="1" customWidth="1"/>
    <col min="21" max="21" width="20" style="185" bestFit="1" customWidth="1"/>
    <col min="22" max="16384" width="8.7265625" style="185"/>
  </cols>
  <sheetData>
    <row r="2" spans="2:21">
      <c r="B2" s="643" t="s">
        <v>304</v>
      </c>
      <c r="C2" s="643"/>
      <c r="D2" s="643"/>
      <c r="E2" s="240">
        <v>0.5</v>
      </c>
    </row>
    <row r="3" spans="2:21" ht="31.15" customHeight="1">
      <c r="B3" s="241"/>
      <c r="C3" s="242"/>
      <c r="D3" s="242" t="s">
        <v>305</v>
      </c>
      <c r="E3" s="242" t="s">
        <v>306</v>
      </c>
      <c r="F3" s="242" t="s">
        <v>307</v>
      </c>
      <c r="G3" s="242" t="s">
        <v>308</v>
      </c>
      <c r="H3" s="242" t="s">
        <v>309</v>
      </c>
      <c r="I3" s="242" t="s">
        <v>310</v>
      </c>
      <c r="J3" s="242" t="s">
        <v>311</v>
      </c>
      <c r="K3" s="242" t="s">
        <v>312</v>
      </c>
      <c r="L3" s="242" t="s">
        <v>313</v>
      </c>
      <c r="M3" s="242" t="s">
        <v>314</v>
      </c>
      <c r="N3" s="242" t="s">
        <v>315</v>
      </c>
      <c r="O3" s="242" t="s">
        <v>312</v>
      </c>
      <c r="P3" s="242" t="s">
        <v>313</v>
      </c>
      <c r="Q3" s="242" t="s">
        <v>314</v>
      </c>
      <c r="R3" s="242" t="s">
        <v>315</v>
      </c>
      <c r="S3" s="242" t="s">
        <v>316</v>
      </c>
      <c r="T3" s="242" t="s">
        <v>317</v>
      </c>
      <c r="U3" s="243" t="s">
        <v>177</v>
      </c>
    </row>
    <row r="4" spans="2:21">
      <c r="B4" s="644" t="s">
        <v>318</v>
      </c>
      <c r="C4" s="244" t="s">
        <v>261</v>
      </c>
      <c r="D4" s="245" t="e">
        <f>#REF!</f>
        <v>#REF!</v>
      </c>
      <c r="E4" s="239" t="e">
        <f>D4*$E$2</f>
        <v>#REF!</v>
      </c>
      <c r="F4" s="246">
        <v>0.3</v>
      </c>
      <c r="G4" s="246">
        <v>0.65</v>
      </c>
      <c r="H4" s="246">
        <v>0.05</v>
      </c>
      <c r="I4" s="244"/>
      <c r="J4" s="244"/>
      <c r="K4" s="247"/>
      <c r="L4" s="247"/>
      <c r="M4" s="244"/>
      <c r="N4" s="244"/>
      <c r="O4" s="244"/>
      <c r="P4" s="244"/>
      <c r="Q4" s="244"/>
      <c r="R4" s="244"/>
      <c r="S4" s="244"/>
      <c r="T4" s="244"/>
      <c r="U4" s="248">
        <f>SUM(F4:T4)</f>
        <v>1</v>
      </c>
    </row>
    <row r="5" spans="2:21">
      <c r="B5" s="645"/>
      <c r="C5" s="244"/>
      <c r="D5" s="245"/>
      <c r="E5" s="239"/>
      <c r="F5" s="239" t="e">
        <f>$E$4*F4</f>
        <v>#REF!</v>
      </c>
      <c r="G5" s="239" t="e">
        <f t="shared" ref="G5:H5" si="0">$E$4*G4</f>
        <v>#REF!</v>
      </c>
      <c r="H5" s="239" t="e">
        <f t="shared" si="0"/>
        <v>#REF!</v>
      </c>
      <c r="I5" s="244"/>
      <c r="J5" s="244"/>
      <c r="K5" s="244"/>
      <c r="L5" s="244"/>
      <c r="M5" s="244"/>
      <c r="N5" s="244"/>
      <c r="O5" s="244"/>
      <c r="P5" s="244"/>
      <c r="Q5" s="244"/>
      <c r="R5" s="244"/>
      <c r="S5" s="244"/>
      <c r="T5" s="244"/>
      <c r="U5" s="248" t="e">
        <f t="shared" ref="U5:U40" si="1">SUM(F5:T5)</f>
        <v>#REF!</v>
      </c>
    </row>
    <row r="6" spans="2:21">
      <c r="B6" s="645"/>
      <c r="C6" s="244" t="s">
        <v>252</v>
      </c>
      <c r="D6" s="245" t="e">
        <f>#REF!</f>
        <v>#REF!</v>
      </c>
      <c r="E6" s="239" t="e">
        <f t="shared" ref="E6:E38" si="2">D6*$E$2</f>
        <v>#REF!</v>
      </c>
      <c r="F6" s="249">
        <v>0.3</v>
      </c>
      <c r="G6" s="249">
        <v>0.4</v>
      </c>
      <c r="H6" s="244"/>
      <c r="I6" s="244"/>
      <c r="J6" s="244"/>
      <c r="K6" s="249">
        <v>0.25</v>
      </c>
      <c r="L6" s="249">
        <v>0.05</v>
      </c>
      <c r="M6" s="244"/>
      <c r="N6" s="244"/>
      <c r="O6" s="244"/>
      <c r="P6" s="244"/>
      <c r="Q6" s="244"/>
      <c r="R6" s="244"/>
      <c r="S6" s="244"/>
      <c r="T6" s="244"/>
      <c r="U6" s="248">
        <f t="shared" si="1"/>
        <v>1</v>
      </c>
    </row>
    <row r="7" spans="2:21">
      <c r="B7" s="646"/>
      <c r="C7" s="244"/>
      <c r="D7" s="245"/>
      <c r="E7" s="239"/>
      <c r="F7" s="239" t="e">
        <f>$E$6*F6</f>
        <v>#REF!</v>
      </c>
      <c r="G7" s="239" t="e">
        <f t="shared" ref="G7:L7" si="3">$E$6*G6</f>
        <v>#REF!</v>
      </c>
      <c r="H7" s="239" t="e">
        <f t="shared" si="3"/>
        <v>#REF!</v>
      </c>
      <c r="I7" s="239" t="e">
        <f t="shared" si="3"/>
        <v>#REF!</v>
      </c>
      <c r="J7" s="239" t="e">
        <f t="shared" si="3"/>
        <v>#REF!</v>
      </c>
      <c r="K7" s="239" t="e">
        <f t="shared" si="3"/>
        <v>#REF!</v>
      </c>
      <c r="L7" s="239" t="e">
        <f t="shared" si="3"/>
        <v>#REF!</v>
      </c>
      <c r="M7" s="244"/>
      <c r="N7" s="244"/>
      <c r="O7" s="244"/>
      <c r="P7" s="244"/>
      <c r="Q7" s="244"/>
      <c r="R7" s="244"/>
      <c r="S7" s="244"/>
      <c r="T7" s="244"/>
      <c r="U7" s="248" t="e">
        <f t="shared" si="1"/>
        <v>#REF!</v>
      </c>
    </row>
    <row r="8" spans="2:21">
      <c r="B8" s="644" t="s">
        <v>308</v>
      </c>
      <c r="C8" s="244" t="s">
        <v>261</v>
      </c>
      <c r="D8" s="245" t="e">
        <f>#REF!</f>
        <v>#REF!</v>
      </c>
      <c r="E8" s="239" t="e">
        <f t="shared" si="2"/>
        <v>#REF!</v>
      </c>
      <c r="F8" s="244"/>
      <c r="G8" s="246">
        <v>0.3</v>
      </c>
      <c r="H8" s="246">
        <v>0.65</v>
      </c>
      <c r="I8" s="246">
        <v>0.05</v>
      </c>
      <c r="J8" s="244"/>
      <c r="K8" s="244"/>
      <c r="L8" s="244"/>
      <c r="M8" s="244"/>
      <c r="N8" s="244"/>
      <c r="O8" s="244"/>
      <c r="P8" s="244"/>
      <c r="Q8" s="244"/>
      <c r="R8" s="244"/>
      <c r="S8" s="244"/>
      <c r="T8" s="244"/>
      <c r="U8" s="248">
        <f t="shared" si="1"/>
        <v>1</v>
      </c>
    </row>
    <row r="9" spans="2:21">
      <c r="B9" s="645"/>
      <c r="C9" s="244"/>
      <c r="D9" s="245"/>
      <c r="E9" s="239"/>
      <c r="F9" s="244"/>
      <c r="G9" s="239" t="e">
        <f>$E$8*G8</f>
        <v>#REF!</v>
      </c>
      <c r="H9" s="239" t="e">
        <f t="shared" ref="H9:I9" si="4">$E$8*H8</f>
        <v>#REF!</v>
      </c>
      <c r="I9" s="239" t="e">
        <f t="shared" si="4"/>
        <v>#REF!</v>
      </c>
      <c r="J9" s="244"/>
      <c r="K9" s="244"/>
      <c r="L9" s="244"/>
      <c r="M9" s="244"/>
      <c r="N9" s="244"/>
      <c r="O9" s="244"/>
      <c r="P9" s="244"/>
      <c r="Q9" s="244"/>
      <c r="R9" s="244"/>
      <c r="S9" s="244"/>
      <c r="T9" s="244"/>
      <c r="U9" s="248" t="e">
        <f t="shared" si="1"/>
        <v>#REF!</v>
      </c>
    </row>
    <row r="10" spans="2:21">
      <c r="B10" s="645"/>
      <c r="C10" s="244" t="s">
        <v>252</v>
      </c>
      <c r="D10" s="245" t="e">
        <f>#REF!</f>
        <v>#REF!</v>
      </c>
      <c r="E10" s="239" t="e">
        <f t="shared" si="2"/>
        <v>#REF!</v>
      </c>
      <c r="F10" s="244"/>
      <c r="G10" s="249">
        <v>0.3</v>
      </c>
      <c r="H10" s="249">
        <v>0.4</v>
      </c>
      <c r="I10" s="244"/>
      <c r="J10" s="244"/>
      <c r="K10" s="244"/>
      <c r="L10" s="249">
        <v>0.25</v>
      </c>
      <c r="M10" s="249">
        <v>0.05</v>
      </c>
      <c r="N10" s="244"/>
      <c r="O10" s="244"/>
      <c r="P10" s="244"/>
      <c r="Q10" s="244"/>
      <c r="R10" s="244"/>
      <c r="S10" s="244"/>
      <c r="T10" s="244"/>
      <c r="U10" s="248">
        <f t="shared" si="1"/>
        <v>1</v>
      </c>
    </row>
    <row r="11" spans="2:21">
      <c r="B11" s="646"/>
      <c r="C11" s="244"/>
      <c r="D11" s="245"/>
      <c r="E11" s="239"/>
      <c r="F11" s="244"/>
      <c r="G11" s="239" t="e">
        <f>$E$10*G10</f>
        <v>#REF!</v>
      </c>
      <c r="H11" s="239" t="e">
        <f t="shared" ref="H11:M11" si="5">$E$10*H10</f>
        <v>#REF!</v>
      </c>
      <c r="I11" s="239" t="e">
        <f t="shared" si="5"/>
        <v>#REF!</v>
      </c>
      <c r="J11" s="239" t="e">
        <f t="shared" si="5"/>
        <v>#REF!</v>
      </c>
      <c r="K11" s="239" t="e">
        <f t="shared" si="5"/>
        <v>#REF!</v>
      </c>
      <c r="L11" s="239" t="e">
        <f t="shared" si="5"/>
        <v>#REF!</v>
      </c>
      <c r="M11" s="239" t="e">
        <f t="shared" si="5"/>
        <v>#REF!</v>
      </c>
      <c r="N11" s="244"/>
      <c r="O11" s="244"/>
      <c r="P11" s="244"/>
      <c r="Q11" s="244"/>
      <c r="R11" s="244"/>
      <c r="S11" s="244"/>
      <c r="T11" s="244"/>
      <c r="U11" s="248" t="e">
        <f t="shared" si="1"/>
        <v>#REF!</v>
      </c>
    </row>
    <row r="12" spans="2:21">
      <c r="B12" s="644" t="s">
        <v>309</v>
      </c>
      <c r="C12" s="244" t="s">
        <v>261</v>
      </c>
      <c r="D12" s="245" t="e">
        <f>#REF!</f>
        <v>#REF!</v>
      </c>
      <c r="E12" s="239" t="e">
        <f t="shared" si="2"/>
        <v>#REF!</v>
      </c>
      <c r="F12" s="244"/>
      <c r="G12" s="244"/>
      <c r="H12" s="246">
        <v>0.3</v>
      </c>
      <c r="I12" s="246">
        <v>0.65</v>
      </c>
      <c r="J12" s="246">
        <v>0.05</v>
      </c>
      <c r="K12" s="244"/>
      <c r="L12" s="244"/>
      <c r="M12" s="244"/>
      <c r="N12" s="244"/>
      <c r="O12" s="244"/>
      <c r="P12" s="244"/>
      <c r="Q12" s="244"/>
      <c r="R12" s="244"/>
      <c r="S12" s="244"/>
      <c r="T12" s="244"/>
      <c r="U12" s="248">
        <f t="shared" si="1"/>
        <v>1</v>
      </c>
    </row>
    <row r="13" spans="2:21">
      <c r="B13" s="645"/>
      <c r="C13" s="244"/>
      <c r="D13" s="245"/>
      <c r="E13" s="239"/>
      <c r="F13" s="244"/>
      <c r="G13" s="244"/>
      <c r="H13" s="239" t="e">
        <f>$E$12*H12</f>
        <v>#REF!</v>
      </c>
      <c r="I13" s="239" t="e">
        <f t="shared" ref="I13:J13" si="6">$E$12*I12</f>
        <v>#REF!</v>
      </c>
      <c r="J13" s="239" t="e">
        <f t="shared" si="6"/>
        <v>#REF!</v>
      </c>
      <c r="K13" s="244"/>
      <c r="L13" s="244"/>
      <c r="M13" s="244"/>
      <c r="N13" s="244"/>
      <c r="O13" s="244"/>
      <c r="P13" s="244"/>
      <c r="Q13" s="244"/>
      <c r="R13" s="244"/>
      <c r="S13" s="244"/>
      <c r="T13" s="244"/>
      <c r="U13" s="248" t="e">
        <f t="shared" si="1"/>
        <v>#REF!</v>
      </c>
    </row>
    <row r="14" spans="2:21">
      <c r="B14" s="645"/>
      <c r="C14" s="244" t="s">
        <v>252</v>
      </c>
      <c r="D14" s="245" t="e">
        <f>#REF!</f>
        <v>#REF!</v>
      </c>
      <c r="E14" s="239" t="e">
        <f t="shared" si="2"/>
        <v>#REF!</v>
      </c>
      <c r="F14" s="244"/>
      <c r="G14" s="244"/>
      <c r="H14" s="249">
        <v>0.3</v>
      </c>
      <c r="I14" s="249">
        <v>0.4</v>
      </c>
      <c r="J14" s="244"/>
      <c r="K14" s="244"/>
      <c r="L14" s="244"/>
      <c r="M14" s="249">
        <v>0.25</v>
      </c>
      <c r="N14" s="249">
        <v>0.05</v>
      </c>
      <c r="O14" s="244"/>
      <c r="P14" s="244"/>
      <c r="Q14" s="244"/>
      <c r="R14" s="244"/>
      <c r="S14" s="244"/>
      <c r="T14" s="244"/>
      <c r="U14" s="248">
        <f t="shared" si="1"/>
        <v>1</v>
      </c>
    </row>
    <row r="15" spans="2:21">
      <c r="B15" s="646"/>
      <c r="C15" s="244"/>
      <c r="D15" s="245"/>
      <c r="E15" s="239"/>
      <c r="F15" s="244"/>
      <c r="G15" s="244"/>
      <c r="H15" s="239" t="e">
        <f>$E$14*H14</f>
        <v>#REF!</v>
      </c>
      <c r="I15" s="239" t="e">
        <f t="shared" ref="I15:N15" si="7">$E$14*I14</f>
        <v>#REF!</v>
      </c>
      <c r="J15" s="239" t="e">
        <f t="shared" si="7"/>
        <v>#REF!</v>
      </c>
      <c r="K15" s="239" t="e">
        <f t="shared" si="7"/>
        <v>#REF!</v>
      </c>
      <c r="L15" s="239" t="e">
        <f t="shared" si="7"/>
        <v>#REF!</v>
      </c>
      <c r="M15" s="239" t="e">
        <f t="shared" si="7"/>
        <v>#REF!</v>
      </c>
      <c r="N15" s="239" t="e">
        <f t="shared" si="7"/>
        <v>#REF!</v>
      </c>
      <c r="O15" s="244"/>
      <c r="P15" s="244"/>
      <c r="Q15" s="244"/>
      <c r="R15" s="244"/>
      <c r="S15" s="244"/>
      <c r="T15" s="244"/>
      <c r="U15" s="248" t="e">
        <f t="shared" si="1"/>
        <v>#REF!</v>
      </c>
    </row>
    <row r="16" spans="2:21">
      <c r="B16" s="644" t="s">
        <v>310</v>
      </c>
      <c r="C16" s="244" t="s">
        <v>261</v>
      </c>
      <c r="D16" s="245" t="e">
        <f>#REF!</f>
        <v>#REF!</v>
      </c>
      <c r="E16" s="239" t="e">
        <f t="shared" si="2"/>
        <v>#REF!</v>
      </c>
      <c r="F16" s="244"/>
      <c r="G16" s="244"/>
      <c r="H16" s="244"/>
      <c r="I16" s="246">
        <v>0.3</v>
      </c>
      <c r="J16" s="246">
        <v>0.65</v>
      </c>
      <c r="K16" s="246">
        <v>0.05</v>
      </c>
      <c r="L16" s="244"/>
      <c r="M16" s="244"/>
      <c r="N16" s="244"/>
      <c r="O16" s="244"/>
      <c r="P16" s="244"/>
      <c r="Q16" s="244"/>
      <c r="R16" s="244"/>
      <c r="S16" s="244"/>
      <c r="T16" s="244"/>
      <c r="U16" s="248">
        <f t="shared" si="1"/>
        <v>1</v>
      </c>
    </row>
    <row r="17" spans="2:21">
      <c r="B17" s="645"/>
      <c r="C17" s="244"/>
      <c r="D17" s="245"/>
      <c r="E17" s="239"/>
      <c r="F17" s="244"/>
      <c r="G17" s="244"/>
      <c r="H17" s="244"/>
      <c r="I17" s="239" t="e">
        <f>$E$16*I16</f>
        <v>#REF!</v>
      </c>
      <c r="J17" s="239" t="e">
        <f t="shared" ref="J17:K17" si="8">$E$16*J16</f>
        <v>#REF!</v>
      </c>
      <c r="K17" s="239" t="e">
        <f t="shared" si="8"/>
        <v>#REF!</v>
      </c>
      <c r="L17" s="244"/>
      <c r="M17" s="244"/>
      <c r="N17" s="244"/>
      <c r="O17" s="244"/>
      <c r="P17" s="244"/>
      <c r="Q17" s="244"/>
      <c r="R17" s="244"/>
      <c r="S17" s="244"/>
      <c r="T17" s="244"/>
      <c r="U17" s="248" t="e">
        <f t="shared" si="1"/>
        <v>#REF!</v>
      </c>
    </row>
    <row r="18" spans="2:21">
      <c r="B18" s="645"/>
      <c r="C18" s="244" t="s">
        <v>252</v>
      </c>
      <c r="D18" s="245" t="e">
        <f>#REF!</f>
        <v>#REF!</v>
      </c>
      <c r="E18" s="239" t="e">
        <f t="shared" si="2"/>
        <v>#REF!</v>
      </c>
      <c r="F18" s="244"/>
      <c r="G18" s="244"/>
      <c r="H18" s="244"/>
      <c r="I18" s="249">
        <v>0.3</v>
      </c>
      <c r="J18" s="249">
        <v>0.4</v>
      </c>
      <c r="K18" s="244"/>
      <c r="L18" s="244"/>
      <c r="M18" s="244"/>
      <c r="N18" s="249">
        <v>0.25</v>
      </c>
      <c r="O18" s="249">
        <v>0.05</v>
      </c>
      <c r="P18" s="244"/>
      <c r="Q18" s="244"/>
      <c r="R18" s="244"/>
      <c r="S18" s="244"/>
      <c r="T18" s="244"/>
      <c r="U18" s="248">
        <f t="shared" si="1"/>
        <v>1</v>
      </c>
    </row>
    <row r="19" spans="2:21">
      <c r="B19" s="646"/>
      <c r="C19" s="244"/>
      <c r="D19" s="245"/>
      <c r="E19" s="239"/>
      <c r="F19" s="244"/>
      <c r="G19" s="244"/>
      <c r="H19" s="244"/>
      <c r="I19" s="239" t="e">
        <f>$E$18*I18</f>
        <v>#REF!</v>
      </c>
      <c r="J19" s="239" t="e">
        <f t="shared" ref="J19:O19" si="9">$E$18*J18</f>
        <v>#REF!</v>
      </c>
      <c r="K19" s="239" t="e">
        <f t="shared" si="9"/>
        <v>#REF!</v>
      </c>
      <c r="L19" s="239" t="e">
        <f t="shared" si="9"/>
        <v>#REF!</v>
      </c>
      <c r="M19" s="239" t="e">
        <f t="shared" si="9"/>
        <v>#REF!</v>
      </c>
      <c r="N19" s="239" t="e">
        <f t="shared" si="9"/>
        <v>#REF!</v>
      </c>
      <c r="O19" s="239" t="e">
        <f t="shared" si="9"/>
        <v>#REF!</v>
      </c>
      <c r="P19" s="244"/>
      <c r="Q19" s="244"/>
      <c r="R19" s="244"/>
      <c r="S19" s="244"/>
      <c r="T19" s="244"/>
      <c r="U19" s="248" t="e">
        <f t="shared" si="1"/>
        <v>#REF!</v>
      </c>
    </row>
    <row r="20" spans="2:21">
      <c r="B20" s="644" t="s">
        <v>311</v>
      </c>
      <c r="C20" s="244" t="s">
        <v>261</v>
      </c>
      <c r="D20" s="245" t="e">
        <f>#REF!</f>
        <v>#REF!</v>
      </c>
      <c r="E20" s="239" t="e">
        <f t="shared" si="2"/>
        <v>#REF!</v>
      </c>
      <c r="F20" s="244"/>
      <c r="G20" s="244"/>
      <c r="H20" s="244"/>
      <c r="I20" s="244"/>
      <c r="J20" s="246">
        <v>0.3</v>
      </c>
      <c r="K20" s="246">
        <v>0.65</v>
      </c>
      <c r="L20" s="246">
        <v>0.05</v>
      </c>
      <c r="M20" s="244"/>
      <c r="N20" s="244"/>
      <c r="O20" s="244"/>
      <c r="P20" s="244"/>
      <c r="Q20" s="244"/>
      <c r="R20" s="244"/>
      <c r="S20" s="244"/>
      <c r="T20" s="244"/>
      <c r="U20" s="248">
        <f t="shared" si="1"/>
        <v>1</v>
      </c>
    </row>
    <row r="21" spans="2:21">
      <c r="B21" s="645"/>
      <c r="C21" s="244"/>
      <c r="D21" s="245"/>
      <c r="E21" s="239"/>
      <c r="F21" s="244"/>
      <c r="G21" s="244"/>
      <c r="H21" s="244"/>
      <c r="I21" s="244"/>
      <c r="J21" s="239" t="e">
        <f>$E$20*J20</f>
        <v>#REF!</v>
      </c>
      <c r="K21" s="239" t="e">
        <f t="shared" ref="K21:L21" si="10">$E$20*K20</f>
        <v>#REF!</v>
      </c>
      <c r="L21" s="239" t="e">
        <f t="shared" si="10"/>
        <v>#REF!</v>
      </c>
      <c r="M21" s="244"/>
      <c r="N21" s="244"/>
      <c r="O21" s="244"/>
      <c r="P21" s="244"/>
      <c r="Q21" s="244"/>
      <c r="R21" s="244"/>
      <c r="S21" s="244"/>
      <c r="T21" s="244"/>
      <c r="U21" s="248" t="e">
        <f t="shared" si="1"/>
        <v>#REF!</v>
      </c>
    </row>
    <row r="22" spans="2:21">
      <c r="B22" s="645"/>
      <c r="C22" s="244" t="s">
        <v>252</v>
      </c>
      <c r="D22" s="245" t="e">
        <f>#REF!</f>
        <v>#REF!</v>
      </c>
      <c r="E22" s="239" t="e">
        <f t="shared" si="2"/>
        <v>#REF!</v>
      </c>
      <c r="F22" s="244"/>
      <c r="G22" s="244"/>
      <c r="H22" s="244"/>
      <c r="I22" s="244"/>
      <c r="J22" s="249">
        <v>0.3</v>
      </c>
      <c r="K22" s="249">
        <v>0.4</v>
      </c>
      <c r="L22" s="244"/>
      <c r="M22" s="244"/>
      <c r="N22" s="244"/>
      <c r="O22" s="249">
        <v>0.25</v>
      </c>
      <c r="P22" s="249">
        <v>0.05</v>
      </c>
      <c r="Q22" s="244"/>
      <c r="R22" s="244"/>
      <c r="S22" s="244"/>
      <c r="T22" s="244"/>
      <c r="U22" s="248">
        <f t="shared" si="1"/>
        <v>1</v>
      </c>
    </row>
    <row r="23" spans="2:21">
      <c r="B23" s="646"/>
      <c r="C23" s="244"/>
      <c r="D23" s="245"/>
      <c r="E23" s="239"/>
      <c r="F23" s="244"/>
      <c r="G23" s="244"/>
      <c r="H23" s="244"/>
      <c r="I23" s="244"/>
      <c r="J23" s="239" t="e">
        <f>$E$22*J22</f>
        <v>#REF!</v>
      </c>
      <c r="K23" s="239" t="e">
        <f t="shared" ref="K23:P23" si="11">$E$22*K22</f>
        <v>#REF!</v>
      </c>
      <c r="L23" s="239" t="e">
        <f t="shared" si="11"/>
        <v>#REF!</v>
      </c>
      <c r="M23" s="239" t="e">
        <f t="shared" si="11"/>
        <v>#REF!</v>
      </c>
      <c r="N23" s="239" t="e">
        <f t="shared" si="11"/>
        <v>#REF!</v>
      </c>
      <c r="O23" s="239" t="e">
        <f t="shared" si="11"/>
        <v>#REF!</v>
      </c>
      <c r="P23" s="239" t="e">
        <f t="shared" si="11"/>
        <v>#REF!</v>
      </c>
      <c r="Q23" s="244"/>
      <c r="R23" s="244"/>
      <c r="S23" s="244"/>
      <c r="T23" s="244"/>
      <c r="U23" s="248" t="e">
        <f t="shared" si="1"/>
        <v>#REF!</v>
      </c>
    </row>
    <row r="24" spans="2:21">
      <c r="B24" s="644" t="s">
        <v>312</v>
      </c>
      <c r="C24" s="244" t="s">
        <v>261</v>
      </c>
      <c r="D24" s="245" t="e">
        <f>#REF!</f>
        <v>#REF!</v>
      </c>
      <c r="E24" s="239" t="e">
        <f t="shared" si="2"/>
        <v>#REF!</v>
      </c>
      <c r="F24" s="244"/>
      <c r="G24" s="244"/>
      <c r="H24" s="244"/>
      <c r="I24" s="244"/>
      <c r="J24" s="244"/>
      <c r="K24" s="246">
        <v>0.3</v>
      </c>
      <c r="L24" s="246">
        <v>0.65</v>
      </c>
      <c r="M24" s="246">
        <v>0.05</v>
      </c>
      <c r="N24" s="244"/>
      <c r="O24" s="244"/>
      <c r="P24" s="244"/>
      <c r="Q24" s="244"/>
      <c r="R24" s="244"/>
      <c r="S24" s="244"/>
      <c r="T24" s="244"/>
      <c r="U24" s="248">
        <f t="shared" si="1"/>
        <v>1</v>
      </c>
    </row>
    <row r="25" spans="2:21">
      <c r="B25" s="645"/>
      <c r="C25" s="244"/>
      <c r="D25" s="245"/>
      <c r="E25" s="239"/>
      <c r="F25" s="244"/>
      <c r="G25" s="244"/>
      <c r="H25" s="244"/>
      <c r="I25" s="244"/>
      <c r="J25" s="244"/>
      <c r="K25" s="239" t="e">
        <f>$E$24*K24</f>
        <v>#REF!</v>
      </c>
      <c r="L25" s="239" t="e">
        <f t="shared" ref="L25:M25" si="12">$E$24*L24</f>
        <v>#REF!</v>
      </c>
      <c r="M25" s="239" t="e">
        <f t="shared" si="12"/>
        <v>#REF!</v>
      </c>
      <c r="N25" s="244"/>
      <c r="O25" s="244"/>
      <c r="P25" s="244"/>
      <c r="Q25" s="244"/>
      <c r="R25" s="244"/>
      <c r="S25" s="244"/>
      <c r="T25" s="244"/>
      <c r="U25" s="248" t="e">
        <f t="shared" si="1"/>
        <v>#REF!</v>
      </c>
    </row>
    <row r="26" spans="2:21">
      <c r="B26" s="645"/>
      <c r="C26" s="244" t="s">
        <v>252</v>
      </c>
      <c r="D26" s="245" t="e">
        <f>#REF!</f>
        <v>#REF!</v>
      </c>
      <c r="E26" s="239" t="e">
        <f t="shared" si="2"/>
        <v>#REF!</v>
      </c>
      <c r="F26" s="244"/>
      <c r="G26" s="244"/>
      <c r="H26" s="244"/>
      <c r="I26" s="244"/>
      <c r="J26" s="244"/>
      <c r="K26" s="249">
        <v>0.3</v>
      </c>
      <c r="L26" s="249">
        <v>0.4</v>
      </c>
      <c r="M26" s="244"/>
      <c r="N26" s="244"/>
      <c r="O26" s="244"/>
      <c r="P26" s="249">
        <v>0.25</v>
      </c>
      <c r="Q26" s="249">
        <v>0.05</v>
      </c>
      <c r="R26" s="244"/>
      <c r="S26" s="244"/>
      <c r="T26" s="244"/>
      <c r="U26" s="248">
        <f t="shared" si="1"/>
        <v>1</v>
      </c>
    </row>
    <row r="27" spans="2:21">
      <c r="B27" s="646"/>
      <c r="C27" s="244"/>
      <c r="D27" s="245"/>
      <c r="E27" s="239"/>
      <c r="F27" s="244"/>
      <c r="G27" s="244"/>
      <c r="H27" s="244"/>
      <c r="I27" s="244"/>
      <c r="J27" s="244"/>
      <c r="K27" s="239" t="e">
        <f>$E$26*K26</f>
        <v>#REF!</v>
      </c>
      <c r="L27" s="239" t="e">
        <f t="shared" ref="L27:Q27" si="13">$E$26*L26</f>
        <v>#REF!</v>
      </c>
      <c r="M27" s="239" t="e">
        <f t="shared" si="13"/>
        <v>#REF!</v>
      </c>
      <c r="N27" s="239" t="e">
        <f t="shared" si="13"/>
        <v>#REF!</v>
      </c>
      <c r="O27" s="239" t="e">
        <f t="shared" si="13"/>
        <v>#REF!</v>
      </c>
      <c r="P27" s="239" t="e">
        <f t="shared" si="13"/>
        <v>#REF!</v>
      </c>
      <c r="Q27" s="239" t="e">
        <f t="shared" si="13"/>
        <v>#REF!</v>
      </c>
      <c r="R27" s="244"/>
      <c r="S27" s="244"/>
      <c r="T27" s="244"/>
      <c r="U27" s="248" t="e">
        <f t="shared" si="1"/>
        <v>#REF!</v>
      </c>
    </row>
    <row r="28" spans="2:21">
      <c r="B28" s="644" t="s">
        <v>313</v>
      </c>
      <c r="C28" s="244" t="s">
        <v>261</v>
      </c>
      <c r="D28" s="245" t="e">
        <f>#REF!</f>
        <v>#REF!</v>
      </c>
      <c r="E28" s="239" t="e">
        <f t="shared" si="2"/>
        <v>#REF!</v>
      </c>
      <c r="F28" s="244"/>
      <c r="G28" s="244"/>
      <c r="H28" s="244"/>
      <c r="I28" s="244"/>
      <c r="J28" s="244"/>
      <c r="K28" s="244"/>
      <c r="L28" s="246">
        <v>0.3</v>
      </c>
      <c r="M28" s="246">
        <v>0.65</v>
      </c>
      <c r="N28" s="246">
        <v>0.05</v>
      </c>
      <c r="O28" s="244"/>
      <c r="P28" s="244"/>
      <c r="Q28" s="244"/>
      <c r="R28" s="244"/>
      <c r="S28" s="244"/>
      <c r="T28" s="244"/>
      <c r="U28" s="248">
        <f t="shared" si="1"/>
        <v>1</v>
      </c>
    </row>
    <row r="29" spans="2:21">
      <c r="B29" s="645"/>
      <c r="C29" s="244"/>
      <c r="D29" s="245"/>
      <c r="E29" s="239"/>
      <c r="F29" s="244"/>
      <c r="G29" s="244"/>
      <c r="H29" s="244"/>
      <c r="I29" s="244"/>
      <c r="J29" s="244"/>
      <c r="K29" s="244"/>
      <c r="L29" s="239" t="e">
        <f>$E$28*L28</f>
        <v>#REF!</v>
      </c>
      <c r="M29" s="239" t="e">
        <f t="shared" ref="M29:N29" si="14">$E$28*M28</f>
        <v>#REF!</v>
      </c>
      <c r="N29" s="239" t="e">
        <f t="shared" si="14"/>
        <v>#REF!</v>
      </c>
      <c r="O29" s="244"/>
      <c r="P29" s="244"/>
      <c r="Q29" s="244"/>
      <c r="R29" s="244"/>
      <c r="S29" s="244"/>
      <c r="T29" s="244"/>
      <c r="U29" s="248" t="e">
        <f t="shared" si="1"/>
        <v>#REF!</v>
      </c>
    </row>
    <row r="30" spans="2:21">
      <c r="B30" s="645"/>
      <c r="C30" s="244" t="s">
        <v>252</v>
      </c>
      <c r="D30" s="245" t="e">
        <f>#REF!</f>
        <v>#REF!</v>
      </c>
      <c r="E30" s="239" t="e">
        <f t="shared" si="2"/>
        <v>#REF!</v>
      </c>
      <c r="F30" s="244"/>
      <c r="G30" s="244"/>
      <c r="H30" s="244"/>
      <c r="I30" s="244"/>
      <c r="J30" s="244"/>
      <c r="K30" s="244"/>
      <c r="L30" s="249">
        <v>0.3</v>
      </c>
      <c r="M30" s="249">
        <v>0.4</v>
      </c>
      <c r="N30" s="244"/>
      <c r="O30" s="244"/>
      <c r="P30" s="244"/>
      <c r="Q30" s="249">
        <v>0.25</v>
      </c>
      <c r="R30" s="249">
        <v>0.05</v>
      </c>
      <c r="S30" s="244"/>
      <c r="T30" s="244"/>
      <c r="U30" s="248">
        <f t="shared" si="1"/>
        <v>1</v>
      </c>
    </row>
    <row r="31" spans="2:21">
      <c r="B31" s="646"/>
      <c r="C31" s="244"/>
      <c r="D31" s="245"/>
      <c r="E31" s="239"/>
      <c r="F31" s="244"/>
      <c r="G31" s="244"/>
      <c r="H31" s="244"/>
      <c r="I31" s="244"/>
      <c r="J31" s="244"/>
      <c r="K31" s="244"/>
      <c r="L31" s="239" t="e">
        <f>$E$30*L30</f>
        <v>#REF!</v>
      </c>
      <c r="M31" s="239" t="e">
        <f t="shared" ref="M31:R31" si="15">$E$30*M30</f>
        <v>#REF!</v>
      </c>
      <c r="N31" s="239" t="e">
        <f t="shared" si="15"/>
        <v>#REF!</v>
      </c>
      <c r="O31" s="239" t="e">
        <f t="shared" si="15"/>
        <v>#REF!</v>
      </c>
      <c r="P31" s="239" t="e">
        <f t="shared" si="15"/>
        <v>#REF!</v>
      </c>
      <c r="Q31" s="239" t="e">
        <f t="shared" si="15"/>
        <v>#REF!</v>
      </c>
      <c r="R31" s="239" t="e">
        <f t="shared" si="15"/>
        <v>#REF!</v>
      </c>
      <c r="S31" s="244"/>
      <c r="T31" s="244"/>
      <c r="U31" s="248" t="e">
        <f t="shared" si="1"/>
        <v>#REF!</v>
      </c>
    </row>
    <row r="32" spans="2:21">
      <c r="B32" s="644" t="s">
        <v>314</v>
      </c>
      <c r="C32" s="244" t="s">
        <v>261</v>
      </c>
      <c r="D32" s="245" t="e">
        <f>#REF!</f>
        <v>#REF!</v>
      </c>
      <c r="E32" s="239" t="e">
        <f t="shared" si="2"/>
        <v>#REF!</v>
      </c>
      <c r="F32" s="244"/>
      <c r="G32" s="244"/>
      <c r="H32" s="244"/>
      <c r="I32" s="244"/>
      <c r="J32" s="244"/>
      <c r="K32" s="244"/>
      <c r="L32" s="244"/>
      <c r="M32" s="246">
        <v>0.3</v>
      </c>
      <c r="N32" s="246">
        <v>0.65</v>
      </c>
      <c r="O32" s="246">
        <v>0.05</v>
      </c>
      <c r="P32" s="244"/>
      <c r="Q32" s="244"/>
      <c r="R32" s="244"/>
      <c r="S32" s="244"/>
      <c r="T32" s="244"/>
      <c r="U32" s="248">
        <f t="shared" si="1"/>
        <v>1</v>
      </c>
    </row>
    <row r="33" spans="2:21">
      <c r="B33" s="645"/>
      <c r="C33" s="244"/>
      <c r="D33" s="245"/>
      <c r="E33" s="239"/>
      <c r="F33" s="244"/>
      <c r="G33" s="244"/>
      <c r="H33" s="244"/>
      <c r="I33" s="244"/>
      <c r="J33" s="244"/>
      <c r="K33" s="244"/>
      <c r="L33" s="244"/>
      <c r="M33" s="239" t="e">
        <f>$E$32*M32</f>
        <v>#REF!</v>
      </c>
      <c r="N33" s="239" t="e">
        <f t="shared" ref="N33:O33" si="16">$E$32*N32</f>
        <v>#REF!</v>
      </c>
      <c r="O33" s="239" t="e">
        <f t="shared" si="16"/>
        <v>#REF!</v>
      </c>
      <c r="P33" s="244"/>
      <c r="Q33" s="244"/>
      <c r="R33" s="244"/>
      <c r="S33" s="244"/>
      <c r="T33" s="244"/>
      <c r="U33" s="248" t="e">
        <f t="shared" si="1"/>
        <v>#REF!</v>
      </c>
    </row>
    <row r="34" spans="2:21">
      <c r="B34" s="645"/>
      <c r="C34" s="244" t="s">
        <v>252</v>
      </c>
      <c r="D34" s="245" t="e">
        <f>#REF!</f>
        <v>#REF!</v>
      </c>
      <c r="E34" s="239" t="e">
        <f t="shared" si="2"/>
        <v>#REF!</v>
      </c>
      <c r="F34" s="244"/>
      <c r="G34" s="244"/>
      <c r="H34" s="244"/>
      <c r="I34" s="244"/>
      <c r="J34" s="244"/>
      <c r="K34" s="244"/>
      <c r="L34" s="244"/>
      <c r="M34" s="249">
        <v>0.3</v>
      </c>
      <c r="N34" s="249">
        <v>0.4</v>
      </c>
      <c r="O34" s="244"/>
      <c r="P34" s="244"/>
      <c r="Q34" s="244"/>
      <c r="R34" s="249">
        <v>0.25</v>
      </c>
      <c r="S34" s="249">
        <v>0.05</v>
      </c>
      <c r="T34" s="244"/>
      <c r="U34" s="248">
        <f t="shared" si="1"/>
        <v>1</v>
      </c>
    </row>
    <row r="35" spans="2:21">
      <c r="B35" s="646"/>
      <c r="C35" s="244"/>
      <c r="D35" s="245"/>
      <c r="E35" s="239"/>
      <c r="F35" s="244"/>
      <c r="G35" s="244"/>
      <c r="H35" s="244"/>
      <c r="I35" s="244"/>
      <c r="J35" s="244"/>
      <c r="K35" s="244"/>
      <c r="L35" s="244"/>
      <c r="M35" s="239" t="e">
        <f>$E$34*M34</f>
        <v>#REF!</v>
      </c>
      <c r="N35" s="239" t="e">
        <f t="shared" ref="N35:S35" si="17">$E$34*N34</f>
        <v>#REF!</v>
      </c>
      <c r="O35" s="239" t="e">
        <f t="shared" si="17"/>
        <v>#REF!</v>
      </c>
      <c r="P35" s="239" t="e">
        <f t="shared" si="17"/>
        <v>#REF!</v>
      </c>
      <c r="Q35" s="239" t="e">
        <f t="shared" si="17"/>
        <v>#REF!</v>
      </c>
      <c r="R35" s="239" t="e">
        <f t="shared" si="17"/>
        <v>#REF!</v>
      </c>
      <c r="S35" s="239" t="e">
        <f t="shared" si="17"/>
        <v>#REF!</v>
      </c>
      <c r="T35" s="244"/>
      <c r="U35" s="248" t="e">
        <f t="shared" si="1"/>
        <v>#REF!</v>
      </c>
    </row>
    <row r="36" spans="2:21">
      <c r="B36" s="644" t="s">
        <v>315</v>
      </c>
      <c r="C36" s="244" t="s">
        <v>261</v>
      </c>
      <c r="D36" s="245" t="e">
        <f>#REF!</f>
        <v>#REF!</v>
      </c>
      <c r="E36" s="239" t="e">
        <f t="shared" si="2"/>
        <v>#REF!</v>
      </c>
      <c r="F36" s="244"/>
      <c r="G36" s="244"/>
      <c r="H36" s="244"/>
      <c r="I36" s="244"/>
      <c r="J36" s="244"/>
      <c r="K36" s="244"/>
      <c r="L36" s="244"/>
      <c r="M36" s="244"/>
      <c r="N36" s="246">
        <v>0.3</v>
      </c>
      <c r="O36" s="246">
        <v>0.65</v>
      </c>
      <c r="P36" s="246">
        <v>0.05</v>
      </c>
      <c r="Q36" s="244"/>
      <c r="R36" s="244"/>
      <c r="S36" s="244"/>
      <c r="T36" s="244"/>
      <c r="U36" s="248">
        <f t="shared" si="1"/>
        <v>1</v>
      </c>
    </row>
    <row r="37" spans="2:21">
      <c r="B37" s="645"/>
      <c r="C37" s="244"/>
      <c r="D37" s="245"/>
      <c r="E37" s="239"/>
      <c r="F37" s="244"/>
      <c r="G37" s="244"/>
      <c r="H37" s="244"/>
      <c r="I37" s="244"/>
      <c r="J37" s="244"/>
      <c r="K37" s="244"/>
      <c r="L37" s="244"/>
      <c r="M37" s="244"/>
      <c r="N37" s="239" t="e">
        <f>$E$36*N36</f>
        <v>#REF!</v>
      </c>
      <c r="O37" s="239" t="e">
        <f t="shared" ref="O37:P37" si="18">$E$36*O36</f>
        <v>#REF!</v>
      </c>
      <c r="P37" s="239" t="e">
        <f t="shared" si="18"/>
        <v>#REF!</v>
      </c>
      <c r="Q37" s="244"/>
      <c r="R37" s="244"/>
      <c r="S37" s="244"/>
      <c r="T37" s="244"/>
      <c r="U37" s="248" t="e">
        <f t="shared" si="1"/>
        <v>#REF!</v>
      </c>
    </row>
    <row r="38" spans="2:21">
      <c r="B38" s="645"/>
      <c r="C38" s="244" t="s">
        <v>252</v>
      </c>
      <c r="D38" s="245" t="e">
        <f>#REF!</f>
        <v>#REF!</v>
      </c>
      <c r="E38" s="239" t="e">
        <f t="shared" si="2"/>
        <v>#REF!</v>
      </c>
      <c r="F38" s="244"/>
      <c r="G38" s="244"/>
      <c r="H38" s="244"/>
      <c r="I38" s="244"/>
      <c r="J38" s="244"/>
      <c r="K38" s="244"/>
      <c r="L38" s="244"/>
      <c r="M38" s="244"/>
      <c r="N38" s="249">
        <v>0.3</v>
      </c>
      <c r="O38" s="249">
        <v>0.4</v>
      </c>
      <c r="P38" s="244"/>
      <c r="Q38" s="244"/>
      <c r="R38" s="244"/>
      <c r="S38" s="249">
        <v>0.25</v>
      </c>
      <c r="T38" s="249">
        <v>0.05</v>
      </c>
      <c r="U38" s="248">
        <f t="shared" si="1"/>
        <v>1</v>
      </c>
    </row>
    <row r="39" spans="2:21">
      <c r="B39" s="646"/>
      <c r="C39" s="244"/>
      <c r="D39" s="244"/>
      <c r="E39" s="244"/>
      <c r="F39" s="244"/>
      <c r="G39" s="244"/>
      <c r="H39" s="244"/>
      <c r="I39" s="244"/>
      <c r="J39" s="244"/>
      <c r="K39" s="244"/>
      <c r="L39" s="244"/>
      <c r="M39" s="244"/>
      <c r="N39" s="239" t="e">
        <f>$E$38*N38</f>
        <v>#REF!</v>
      </c>
      <c r="O39" s="239" t="e">
        <f t="shared" ref="O39:T39" si="19">$E$38*O38</f>
        <v>#REF!</v>
      </c>
      <c r="P39" s="239" t="e">
        <f t="shared" si="19"/>
        <v>#REF!</v>
      </c>
      <c r="Q39" s="239" t="e">
        <f t="shared" si="19"/>
        <v>#REF!</v>
      </c>
      <c r="R39" s="239" t="e">
        <f t="shared" si="19"/>
        <v>#REF!</v>
      </c>
      <c r="S39" s="239" t="e">
        <f t="shared" si="19"/>
        <v>#REF!</v>
      </c>
      <c r="T39" s="239" t="e">
        <f t="shared" si="19"/>
        <v>#REF!</v>
      </c>
      <c r="U39" s="248" t="e">
        <f t="shared" si="1"/>
        <v>#REF!</v>
      </c>
    </row>
    <row r="40" spans="2:21" s="186" customFormat="1">
      <c r="B40" s="382"/>
      <c r="C40" s="383"/>
      <c r="D40" s="383"/>
      <c r="E40" s="384" t="e">
        <f>SUM(E4:E39)</f>
        <v>#REF!</v>
      </c>
      <c r="F40" s="384" t="e">
        <f>SUM(F4:F39)</f>
        <v>#REF!</v>
      </c>
      <c r="G40" s="384" t="e">
        <f t="shared" ref="G40:T40" si="20">SUM(G4:G39)</f>
        <v>#REF!</v>
      </c>
      <c r="H40" s="384" t="e">
        <f t="shared" si="20"/>
        <v>#REF!</v>
      </c>
      <c r="I40" s="384" t="e">
        <f t="shared" si="20"/>
        <v>#REF!</v>
      </c>
      <c r="J40" s="384" t="e">
        <f t="shared" si="20"/>
        <v>#REF!</v>
      </c>
      <c r="K40" s="384" t="e">
        <f t="shared" si="20"/>
        <v>#REF!</v>
      </c>
      <c r="L40" s="384" t="e">
        <f t="shared" si="20"/>
        <v>#REF!</v>
      </c>
      <c r="M40" s="384" t="e">
        <f t="shared" si="20"/>
        <v>#REF!</v>
      </c>
      <c r="N40" s="384" t="e">
        <f t="shared" si="20"/>
        <v>#REF!</v>
      </c>
      <c r="O40" s="384" t="e">
        <f t="shared" si="20"/>
        <v>#REF!</v>
      </c>
      <c r="P40" s="384" t="e">
        <f t="shared" si="20"/>
        <v>#REF!</v>
      </c>
      <c r="Q40" s="384" t="e">
        <f t="shared" si="20"/>
        <v>#REF!</v>
      </c>
      <c r="R40" s="384" t="e">
        <f t="shared" si="20"/>
        <v>#REF!</v>
      </c>
      <c r="S40" s="384" t="e">
        <f t="shared" si="20"/>
        <v>#REF!</v>
      </c>
      <c r="T40" s="384" t="e">
        <f t="shared" si="20"/>
        <v>#REF!</v>
      </c>
      <c r="U40" s="385" t="e">
        <f t="shared" si="1"/>
        <v>#REF!</v>
      </c>
    </row>
    <row r="43" spans="2:21">
      <c r="B43" s="647" t="s">
        <v>319</v>
      </c>
      <c r="C43" s="647"/>
      <c r="D43" s="647"/>
      <c r="E43" s="240">
        <f>1-E2</f>
        <v>0.5</v>
      </c>
    </row>
    <row r="44" spans="2:21" ht="25.9" customHeight="1">
      <c r="B44" s="241"/>
      <c r="C44" s="242"/>
      <c r="D44" s="242" t="s">
        <v>305</v>
      </c>
      <c r="E44" s="250" t="s">
        <v>320</v>
      </c>
      <c r="F44" s="242" t="s">
        <v>307</v>
      </c>
      <c r="G44" s="242" t="s">
        <v>308</v>
      </c>
      <c r="H44" s="242" t="s">
        <v>309</v>
      </c>
      <c r="I44" s="242" t="s">
        <v>310</v>
      </c>
      <c r="J44" s="242" t="s">
        <v>311</v>
      </c>
      <c r="K44" s="242" t="s">
        <v>312</v>
      </c>
      <c r="L44" s="242" t="s">
        <v>313</v>
      </c>
      <c r="M44" s="242" t="s">
        <v>314</v>
      </c>
      <c r="N44" s="242" t="s">
        <v>315</v>
      </c>
      <c r="O44" s="242" t="s">
        <v>312</v>
      </c>
      <c r="P44" s="242" t="s">
        <v>313</v>
      </c>
      <c r="Q44" s="242" t="s">
        <v>314</v>
      </c>
      <c r="R44" s="242" t="s">
        <v>315</v>
      </c>
      <c r="S44" s="242" t="s">
        <v>316</v>
      </c>
      <c r="T44" s="242" t="s">
        <v>321</v>
      </c>
      <c r="U44" s="243" t="s">
        <v>177</v>
      </c>
    </row>
    <row r="45" spans="2:21">
      <c r="B45" s="642" t="s">
        <v>318</v>
      </c>
      <c r="C45" s="244" t="s">
        <v>261</v>
      </c>
      <c r="D45" s="245" t="e">
        <f>#REF!</f>
        <v>#REF!</v>
      </c>
      <c r="E45" s="239" t="e">
        <f>D45*$E$43</f>
        <v>#REF!</v>
      </c>
      <c r="F45" s="246">
        <v>0.3</v>
      </c>
      <c r="G45" s="246">
        <v>0.2</v>
      </c>
      <c r="H45" s="246">
        <v>0.2</v>
      </c>
      <c r="I45" s="246">
        <v>0.25</v>
      </c>
      <c r="J45" s="246">
        <v>0.05</v>
      </c>
      <c r="K45" s="247"/>
      <c r="L45" s="247"/>
      <c r="M45" s="244"/>
      <c r="N45" s="244"/>
      <c r="O45" s="244"/>
      <c r="P45" s="244"/>
      <c r="Q45" s="244"/>
      <c r="R45" s="244"/>
      <c r="S45" s="244"/>
      <c r="T45" s="244"/>
      <c r="U45" s="248">
        <f>SUM(F45:T45)</f>
        <v>1</v>
      </c>
    </row>
    <row r="46" spans="2:21">
      <c r="B46" s="642"/>
      <c r="C46" s="244"/>
      <c r="D46" s="245"/>
      <c r="E46" s="239">
        <f t="shared" ref="E46:E79" si="21">D46*$E$43</f>
        <v>0</v>
      </c>
      <c r="F46" s="239" t="e">
        <f>$E$45*F45</f>
        <v>#REF!</v>
      </c>
      <c r="G46" s="239" t="e">
        <f t="shared" ref="G46:J46" si="22">$E$45*G45</f>
        <v>#REF!</v>
      </c>
      <c r="H46" s="239" t="e">
        <f t="shared" si="22"/>
        <v>#REF!</v>
      </c>
      <c r="I46" s="239" t="e">
        <f t="shared" si="22"/>
        <v>#REF!</v>
      </c>
      <c r="J46" s="239" t="e">
        <f t="shared" si="22"/>
        <v>#REF!</v>
      </c>
      <c r="K46" s="244"/>
      <c r="L46" s="244"/>
      <c r="M46" s="244"/>
      <c r="N46" s="244"/>
      <c r="O46" s="244"/>
      <c r="P46" s="244"/>
      <c r="Q46" s="244"/>
      <c r="R46" s="244"/>
      <c r="S46" s="244"/>
      <c r="T46" s="244"/>
      <c r="U46" s="248" t="e">
        <f t="shared" ref="U46:U83" si="23">SUM(F46:T46)</f>
        <v>#REF!</v>
      </c>
    </row>
    <row r="47" spans="2:21">
      <c r="B47" s="642"/>
      <c r="C47" s="244" t="s">
        <v>252</v>
      </c>
      <c r="D47" s="245" t="e">
        <f>#REF!</f>
        <v>#REF!</v>
      </c>
      <c r="E47" s="239" t="e">
        <f t="shared" si="21"/>
        <v>#REF!</v>
      </c>
      <c r="F47" s="249">
        <v>0.3</v>
      </c>
      <c r="G47" s="249">
        <v>0.1</v>
      </c>
      <c r="H47" s="249">
        <v>0.1</v>
      </c>
      <c r="I47" s="249">
        <v>0.1</v>
      </c>
      <c r="J47" s="249">
        <v>0.1</v>
      </c>
      <c r="K47" s="249">
        <v>0.25</v>
      </c>
      <c r="L47" s="249">
        <v>0.05</v>
      </c>
      <c r="M47" s="244"/>
      <c r="N47" s="244"/>
      <c r="O47" s="244"/>
      <c r="P47" s="244"/>
      <c r="Q47" s="244"/>
      <c r="R47" s="244"/>
      <c r="S47" s="244"/>
      <c r="T47" s="244"/>
      <c r="U47" s="248">
        <f t="shared" si="23"/>
        <v>1</v>
      </c>
    </row>
    <row r="48" spans="2:21">
      <c r="B48" s="642"/>
      <c r="C48" s="244"/>
      <c r="D48" s="245"/>
      <c r="E48" s="239">
        <f t="shared" si="21"/>
        <v>0</v>
      </c>
      <c r="F48" s="239" t="e">
        <f>$E$47*F47</f>
        <v>#REF!</v>
      </c>
      <c r="G48" s="239" t="e">
        <f t="shared" ref="G48:L48" si="24">$E$47*G47</f>
        <v>#REF!</v>
      </c>
      <c r="H48" s="239" t="e">
        <f t="shared" si="24"/>
        <v>#REF!</v>
      </c>
      <c r="I48" s="239" t="e">
        <f t="shared" si="24"/>
        <v>#REF!</v>
      </c>
      <c r="J48" s="239" t="e">
        <f t="shared" si="24"/>
        <v>#REF!</v>
      </c>
      <c r="K48" s="239" t="e">
        <f t="shared" si="24"/>
        <v>#REF!</v>
      </c>
      <c r="L48" s="239" t="e">
        <f t="shared" si="24"/>
        <v>#REF!</v>
      </c>
      <c r="M48" s="244"/>
      <c r="N48" s="244"/>
      <c r="O48" s="244"/>
      <c r="P48" s="244"/>
      <c r="Q48" s="244"/>
      <c r="R48" s="244"/>
      <c r="S48" s="244"/>
      <c r="T48" s="244"/>
      <c r="U48" s="248" t="e">
        <f t="shared" si="23"/>
        <v>#REF!</v>
      </c>
    </row>
    <row r="49" spans="2:21">
      <c r="B49" s="642" t="s">
        <v>322</v>
      </c>
      <c r="C49" s="244" t="s">
        <v>261</v>
      </c>
      <c r="D49" s="245" t="e">
        <f>#REF!</f>
        <v>#REF!</v>
      </c>
      <c r="E49" s="239" t="e">
        <f t="shared" si="21"/>
        <v>#REF!</v>
      </c>
      <c r="F49" s="244"/>
      <c r="G49" s="246">
        <v>0.3</v>
      </c>
      <c r="H49" s="246">
        <v>0.2</v>
      </c>
      <c r="I49" s="246">
        <v>0.2</v>
      </c>
      <c r="J49" s="246">
        <v>0.25</v>
      </c>
      <c r="K49" s="246">
        <v>0.05</v>
      </c>
      <c r="L49" s="244"/>
      <c r="M49" s="244"/>
      <c r="N49" s="244"/>
      <c r="O49" s="244"/>
      <c r="P49" s="244"/>
      <c r="Q49" s="244"/>
      <c r="R49" s="244"/>
      <c r="S49" s="244"/>
      <c r="T49" s="244"/>
      <c r="U49" s="248">
        <f t="shared" si="23"/>
        <v>1</v>
      </c>
    </row>
    <row r="50" spans="2:21">
      <c r="B50" s="642"/>
      <c r="C50" s="244"/>
      <c r="D50" s="245"/>
      <c r="E50" s="239">
        <f t="shared" si="21"/>
        <v>0</v>
      </c>
      <c r="F50" s="244"/>
      <c r="G50" s="239" t="e">
        <f>$E$49*G49</f>
        <v>#REF!</v>
      </c>
      <c r="H50" s="239" t="e">
        <f t="shared" ref="H50:K50" si="25">$E$49*H49</f>
        <v>#REF!</v>
      </c>
      <c r="I50" s="239" t="e">
        <f t="shared" si="25"/>
        <v>#REF!</v>
      </c>
      <c r="J50" s="239" t="e">
        <f t="shared" si="25"/>
        <v>#REF!</v>
      </c>
      <c r="K50" s="239" t="e">
        <f t="shared" si="25"/>
        <v>#REF!</v>
      </c>
      <c r="L50" s="244"/>
      <c r="M50" s="244"/>
      <c r="N50" s="244"/>
      <c r="O50" s="244"/>
      <c r="P50" s="244"/>
      <c r="Q50" s="244"/>
      <c r="R50" s="244"/>
      <c r="S50" s="244"/>
      <c r="T50" s="244"/>
      <c r="U50" s="248" t="e">
        <f t="shared" si="23"/>
        <v>#REF!</v>
      </c>
    </row>
    <row r="51" spans="2:21">
      <c r="B51" s="642"/>
      <c r="C51" s="244" t="s">
        <v>252</v>
      </c>
      <c r="D51" s="245" t="e">
        <f>#REF!</f>
        <v>#REF!</v>
      </c>
      <c r="E51" s="239" t="e">
        <f t="shared" si="21"/>
        <v>#REF!</v>
      </c>
      <c r="F51" s="244"/>
      <c r="G51" s="249">
        <v>0.3</v>
      </c>
      <c r="H51" s="249">
        <v>0.1</v>
      </c>
      <c r="I51" s="249">
        <v>0.1</v>
      </c>
      <c r="J51" s="249">
        <v>0.1</v>
      </c>
      <c r="K51" s="249">
        <v>0.1</v>
      </c>
      <c r="L51" s="249">
        <v>0.25</v>
      </c>
      <c r="M51" s="249">
        <v>0.05</v>
      </c>
      <c r="N51" s="244"/>
      <c r="O51" s="244"/>
      <c r="P51" s="244"/>
      <c r="Q51" s="244"/>
      <c r="R51" s="244"/>
      <c r="S51" s="244"/>
      <c r="T51" s="244"/>
      <c r="U51" s="248">
        <f t="shared" si="23"/>
        <v>1</v>
      </c>
    </row>
    <row r="52" spans="2:21">
      <c r="B52" s="642"/>
      <c r="C52" s="244"/>
      <c r="D52" s="245"/>
      <c r="E52" s="239">
        <f t="shared" si="21"/>
        <v>0</v>
      </c>
      <c r="F52" s="244"/>
      <c r="G52" s="239" t="e">
        <f>$E$51*G51</f>
        <v>#REF!</v>
      </c>
      <c r="H52" s="239" t="e">
        <f t="shared" ref="H52:M52" si="26">$E$51*H51</f>
        <v>#REF!</v>
      </c>
      <c r="I52" s="239" t="e">
        <f t="shared" si="26"/>
        <v>#REF!</v>
      </c>
      <c r="J52" s="239" t="e">
        <f t="shared" si="26"/>
        <v>#REF!</v>
      </c>
      <c r="K52" s="239" t="e">
        <f t="shared" si="26"/>
        <v>#REF!</v>
      </c>
      <c r="L52" s="239" t="e">
        <f t="shared" si="26"/>
        <v>#REF!</v>
      </c>
      <c r="M52" s="239" t="e">
        <f t="shared" si="26"/>
        <v>#REF!</v>
      </c>
      <c r="N52" s="244"/>
      <c r="O52" s="244"/>
      <c r="P52" s="244"/>
      <c r="Q52" s="244"/>
      <c r="R52" s="244"/>
      <c r="S52" s="244"/>
      <c r="T52" s="244"/>
      <c r="U52" s="248" t="e">
        <f t="shared" si="23"/>
        <v>#REF!</v>
      </c>
    </row>
    <row r="53" spans="2:21">
      <c r="B53" s="642" t="s">
        <v>323</v>
      </c>
      <c r="C53" s="244" t="s">
        <v>261</v>
      </c>
      <c r="D53" s="245" t="e">
        <f>#REF!</f>
        <v>#REF!</v>
      </c>
      <c r="E53" s="239" t="e">
        <f t="shared" si="21"/>
        <v>#REF!</v>
      </c>
      <c r="F53" s="244"/>
      <c r="G53" s="244"/>
      <c r="H53" s="246">
        <v>0.3</v>
      </c>
      <c r="I53" s="246">
        <v>0.2</v>
      </c>
      <c r="J53" s="246">
        <v>0.2</v>
      </c>
      <c r="K53" s="246">
        <v>0.25</v>
      </c>
      <c r="L53" s="246">
        <v>0.05</v>
      </c>
      <c r="M53" s="244"/>
      <c r="N53" s="244"/>
      <c r="O53" s="244"/>
      <c r="P53" s="244"/>
      <c r="Q53" s="244"/>
      <c r="R53" s="244"/>
      <c r="S53" s="244"/>
      <c r="T53" s="244"/>
      <c r="U53" s="248">
        <f t="shared" si="23"/>
        <v>1</v>
      </c>
    </row>
    <row r="54" spans="2:21">
      <c r="B54" s="642"/>
      <c r="C54" s="244"/>
      <c r="D54" s="245"/>
      <c r="E54" s="239">
        <f t="shared" si="21"/>
        <v>0</v>
      </c>
      <c r="F54" s="244"/>
      <c r="G54" s="244"/>
      <c r="H54" s="239" t="e">
        <f>$E$53*H53</f>
        <v>#REF!</v>
      </c>
      <c r="I54" s="239" t="e">
        <f t="shared" ref="I54:L54" si="27">$E$53*I53</f>
        <v>#REF!</v>
      </c>
      <c r="J54" s="239" t="e">
        <f t="shared" si="27"/>
        <v>#REF!</v>
      </c>
      <c r="K54" s="239" t="e">
        <f t="shared" si="27"/>
        <v>#REF!</v>
      </c>
      <c r="L54" s="239" t="e">
        <f t="shared" si="27"/>
        <v>#REF!</v>
      </c>
      <c r="M54" s="244"/>
      <c r="N54" s="244"/>
      <c r="O54" s="244"/>
      <c r="P54" s="244"/>
      <c r="Q54" s="244"/>
      <c r="R54" s="244"/>
      <c r="S54" s="244"/>
      <c r="T54" s="244"/>
      <c r="U54" s="248" t="e">
        <f t="shared" si="23"/>
        <v>#REF!</v>
      </c>
    </row>
    <row r="55" spans="2:21">
      <c r="B55" s="642"/>
      <c r="C55" s="244" t="s">
        <v>252</v>
      </c>
      <c r="D55" s="245" t="e">
        <f>#REF!</f>
        <v>#REF!</v>
      </c>
      <c r="E55" s="239" t="e">
        <f t="shared" si="21"/>
        <v>#REF!</v>
      </c>
      <c r="F55" s="244"/>
      <c r="G55" s="244"/>
      <c r="H55" s="249">
        <v>0.3</v>
      </c>
      <c r="I55" s="249">
        <v>0.1</v>
      </c>
      <c r="J55" s="249">
        <v>0.1</v>
      </c>
      <c r="K55" s="249">
        <v>0.1</v>
      </c>
      <c r="L55" s="249">
        <v>0.1</v>
      </c>
      <c r="M55" s="249">
        <v>0.25</v>
      </c>
      <c r="N55" s="249">
        <v>0.05</v>
      </c>
      <c r="O55" s="244"/>
      <c r="P55" s="244"/>
      <c r="Q55" s="244"/>
      <c r="R55" s="244"/>
      <c r="S55" s="244"/>
      <c r="T55" s="244"/>
      <c r="U55" s="248">
        <f t="shared" si="23"/>
        <v>1</v>
      </c>
    </row>
    <row r="56" spans="2:21">
      <c r="B56" s="642"/>
      <c r="C56" s="244"/>
      <c r="D56" s="245"/>
      <c r="E56" s="239">
        <f t="shared" si="21"/>
        <v>0</v>
      </c>
      <c r="F56" s="244"/>
      <c r="G56" s="244"/>
      <c r="H56" s="239" t="e">
        <f>$E$55*H55</f>
        <v>#REF!</v>
      </c>
      <c r="I56" s="239" t="e">
        <f t="shared" ref="I56:N56" si="28">$E$55*I55</f>
        <v>#REF!</v>
      </c>
      <c r="J56" s="239" t="e">
        <f t="shared" si="28"/>
        <v>#REF!</v>
      </c>
      <c r="K56" s="239" t="e">
        <f t="shared" si="28"/>
        <v>#REF!</v>
      </c>
      <c r="L56" s="239" t="e">
        <f t="shared" si="28"/>
        <v>#REF!</v>
      </c>
      <c r="M56" s="239" t="e">
        <f t="shared" si="28"/>
        <v>#REF!</v>
      </c>
      <c r="N56" s="239" t="e">
        <f t="shared" si="28"/>
        <v>#REF!</v>
      </c>
      <c r="O56" s="244"/>
      <c r="P56" s="244"/>
      <c r="Q56" s="244"/>
      <c r="R56" s="244"/>
      <c r="S56" s="244"/>
      <c r="T56" s="244"/>
      <c r="U56" s="248" t="e">
        <f t="shared" si="23"/>
        <v>#REF!</v>
      </c>
    </row>
    <row r="57" spans="2:21">
      <c r="B57" s="642" t="s">
        <v>324</v>
      </c>
      <c r="C57" s="244" t="s">
        <v>261</v>
      </c>
      <c r="D57" s="245" t="e">
        <f>#REF!</f>
        <v>#REF!</v>
      </c>
      <c r="E57" s="239" t="e">
        <f t="shared" si="21"/>
        <v>#REF!</v>
      </c>
      <c r="F57" s="244"/>
      <c r="G57" s="244"/>
      <c r="H57" s="244"/>
      <c r="I57" s="246">
        <v>0.3</v>
      </c>
      <c r="J57" s="246">
        <v>0.2</v>
      </c>
      <c r="K57" s="246">
        <v>0.2</v>
      </c>
      <c r="L57" s="246">
        <v>0.25</v>
      </c>
      <c r="M57" s="246">
        <v>0.05</v>
      </c>
      <c r="N57" s="244"/>
      <c r="O57" s="244"/>
      <c r="P57" s="244"/>
      <c r="Q57" s="244"/>
      <c r="R57" s="244"/>
      <c r="S57" s="244"/>
      <c r="T57" s="244"/>
      <c r="U57" s="248">
        <f t="shared" si="23"/>
        <v>1</v>
      </c>
    </row>
    <row r="58" spans="2:21">
      <c r="B58" s="642"/>
      <c r="C58" s="244"/>
      <c r="D58" s="245"/>
      <c r="E58" s="239">
        <f t="shared" si="21"/>
        <v>0</v>
      </c>
      <c r="F58" s="244"/>
      <c r="G58" s="244"/>
      <c r="H58" s="244"/>
      <c r="I58" s="239" t="e">
        <f>$E$57*I57</f>
        <v>#REF!</v>
      </c>
      <c r="J58" s="239" t="e">
        <f t="shared" ref="J58:M58" si="29">$E$57*J57</f>
        <v>#REF!</v>
      </c>
      <c r="K58" s="239" t="e">
        <f t="shared" si="29"/>
        <v>#REF!</v>
      </c>
      <c r="L58" s="239" t="e">
        <f t="shared" si="29"/>
        <v>#REF!</v>
      </c>
      <c r="M58" s="239" t="e">
        <f t="shared" si="29"/>
        <v>#REF!</v>
      </c>
      <c r="N58" s="244"/>
      <c r="O58" s="244"/>
      <c r="P58" s="244"/>
      <c r="Q58" s="244"/>
      <c r="R58" s="244"/>
      <c r="S58" s="244"/>
      <c r="T58" s="244"/>
      <c r="U58" s="248" t="e">
        <f t="shared" si="23"/>
        <v>#REF!</v>
      </c>
    </row>
    <row r="59" spans="2:21">
      <c r="B59" s="642"/>
      <c r="C59" s="244" t="s">
        <v>252</v>
      </c>
      <c r="D59" s="245" t="e">
        <f>#REF!</f>
        <v>#REF!</v>
      </c>
      <c r="E59" s="239" t="e">
        <f t="shared" si="21"/>
        <v>#REF!</v>
      </c>
      <c r="F59" s="244"/>
      <c r="G59" s="244"/>
      <c r="H59" s="244"/>
      <c r="I59" s="249">
        <v>0.3</v>
      </c>
      <c r="J59" s="249">
        <v>0.1</v>
      </c>
      <c r="K59" s="249">
        <v>0.1</v>
      </c>
      <c r="L59" s="249">
        <v>0.1</v>
      </c>
      <c r="M59" s="249">
        <v>0.1</v>
      </c>
      <c r="N59" s="249">
        <v>0.25</v>
      </c>
      <c r="O59" s="249">
        <v>0.05</v>
      </c>
      <c r="P59" s="244"/>
      <c r="Q59" s="244"/>
      <c r="R59" s="244"/>
      <c r="S59" s="244"/>
      <c r="T59" s="244"/>
      <c r="U59" s="248">
        <f t="shared" si="23"/>
        <v>1</v>
      </c>
    </row>
    <row r="60" spans="2:21">
      <c r="B60" s="642"/>
      <c r="C60" s="244"/>
      <c r="D60" s="245"/>
      <c r="E60" s="239">
        <f t="shared" si="21"/>
        <v>0</v>
      </c>
      <c r="F60" s="244"/>
      <c r="G60" s="244"/>
      <c r="H60" s="244"/>
      <c r="I60" s="239" t="e">
        <f>$E$59*I59</f>
        <v>#REF!</v>
      </c>
      <c r="J60" s="239" t="e">
        <f t="shared" ref="J60:O60" si="30">$E$59*J59</f>
        <v>#REF!</v>
      </c>
      <c r="K60" s="239" t="e">
        <f t="shared" si="30"/>
        <v>#REF!</v>
      </c>
      <c r="L60" s="239" t="e">
        <f t="shared" si="30"/>
        <v>#REF!</v>
      </c>
      <c r="M60" s="239" t="e">
        <f t="shared" si="30"/>
        <v>#REF!</v>
      </c>
      <c r="N60" s="239" t="e">
        <f t="shared" si="30"/>
        <v>#REF!</v>
      </c>
      <c r="O60" s="239" t="e">
        <f t="shared" si="30"/>
        <v>#REF!</v>
      </c>
      <c r="P60" s="244"/>
      <c r="Q60" s="244"/>
      <c r="R60" s="244"/>
      <c r="S60" s="244"/>
      <c r="T60" s="244"/>
      <c r="U60" s="248" t="e">
        <f t="shared" si="23"/>
        <v>#REF!</v>
      </c>
    </row>
    <row r="61" spans="2:21">
      <c r="B61" s="642" t="s">
        <v>325</v>
      </c>
      <c r="C61" s="244" t="s">
        <v>261</v>
      </c>
      <c r="D61" s="245" t="e">
        <f>#REF!</f>
        <v>#REF!</v>
      </c>
      <c r="E61" s="239" t="e">
        <f t="shared" si="21"/>
        <v>#REF!</v>
      </c>
      <c r="F61" s="244"/>
      <c r="G61" s="244"/>
      <c r="H61" s="244"/>
      <c r="I61" s="244"/>
      <c r="J61" s="246">
        <v>0.3</v>
      </c>
      <c r="K61" s="246">
        <v>0.2</v>
      </c>
      <c r="L61" s="246">
        <v>0.2</v>
      </c>
      <c r="M61" s="246">
        <v>0.25</v>
      </c>
      <c r="N61" s="246">
        <v>0.05</v>
      </c>
      <c r="O61" s="244"/>
      <c r="P61" s="244"/>
      <c r="Q61" s="244"/>
      <c r="R61" s="244"/>
      <c r="S61" s="244"/>
      <c r="T61" s="244"/>
      <c r="U61" s="248">
        <f t="shared" si="23"/>
        <v>1</v>
      </c>
    </row>
    <row r="62" spans="2:21">
      <c r="B62" s="642"/>
      <c r="C62" s="244"/>
      <c r="D62" s="245"/>
      <c r="E62" s="239">
        <f t="shared" si="21"/>
        <v>0</v>
      </c>
      <c r="F62" s="244"/>
      <c r="G62" s="244"/>
      <c r="H62" s="244"/>
      <c r="I62" s="244"/>
      <c r="J62" s="239" t="e">
        <f>$E$61*J61</f>
        <v>#REF!</v>
      </c>
      <c r="K62" s="239" t="e">
        <f t="shared" ref="K62:N62" si="31">$E$61*K61</f>
        <v>#REF!</v>
      </c>
      <c r="L62" s="239" t="e">
        <f t="shared" si="31"/>
        <v>#REF!</v>
      </c>
      <c r="M62" s="239" t="e">
        <f t="shared" si="31"/>
        <v>#REF!</v>
      </c>
      <c r="N62" s="239" t="e">
        <f t="shared" si="31"/>
        <v>#REF!</v>
      </c>
      <c r="O62" s="244"/>
      <c r="P62" s="244"/>
      <c r="Q62" s="244"/>
      <c r="R62" s="244"/>
      <c r="S62" s="244"/>
      <c r="T62" s="244"/>
      <c r="U62" s="248" t="e">
        <f t="shared" si="23"/>
        <v>#REF!</v>
      </c>
    </row>
    <row r="63" spans="2:21">
      <c r="B63" s="642"/>
      <c r="C63" s="244" t="s">
        <v>252</v>
      </c>
      <c r="D63" s="245" t="e">
        <f>#REF!</f>
        <v>#REF!</v>
      </c>
      <c r="E63" s="239" t="e">
        <f t="shared" si="21"/>
        <v>#REF!</v>
      </c>
      <c r="F63" s="244"/>
      <c r="G63" s="244"/>
      <c r="H63" s="244"/>
      <c r="I63" s="244"/>
      <c r="J63" s="249">
        <v>0.3</v>
      </c>
      <c r="K63" s="249">
        <v>0.1</v>
      </c>
      <c r="L63" s="249">
        <v>0.1</v>
      </c>
      <c r="M63" s="249">
        <v>0.1</v>
      </c>
      <c r="N63" s="249">
        <v>0.1</v>
      </c>
      <c r="O63" s="249">
        <v>0.25</v>
      </c>
      <c r="P63" s="249">
        <v>0.05</v>
      </c>
      <c r="Q63" s="244"/>
      <c r="R63" s="244"/>
      <c r="S63" s="244"/>
      <c r="T63" s="244"/>
      <c r="U63" s="248">
        <f t="shared" si="23"/>
        <v>1</v>
      </c>
    </row>
    <row r="64" spans="2:21">
      <c r="B64" s="642"/>
      <c r="C64" s="244"/>
      <c r="D64" s="245"/>
      <c r="E64" s="239">
        <f t="shared" si="21"/>
        <v>0</v>
      </c>
      <c r="F64" s="244"/>
      <c r="G64" s="244"/>
      <c r="H64" s="244"/>
      <c r="I64" s="244"/>
      <c r="J64" s="239" t="e">
        <f>$E$63*J63</f>
        <v>#REF!</v>
      </c>
      <c r="K64" s="239" t="e">
        <f t="shared" ref="K64:P64" si="32">$E$63*K63</f>
        <v>#REF!</v>
      </c>
      <c r="L64" s="239" t="e">
        <f t="shared" si="32"/>
        <v>#REF!</v>
      </c>
      <c r="M64" s="239" t="e">
        <f t="shared" si="32"/>
        <v>#REF!</v>
      </c>
      <c r="N64" s="239" t="e">
        <f t="shared" si="32"/>
        <v>#REF!</v>
      </c>
      <c r="O64" s="239" t="e">
        <f t="shared" si="32"/>
        <v>#REF!</v>
      </c>
      <c r="P64" s="239" t="e">
        <f t="shared" si="32"/>
        <v>#REF!</v>
      </c>
      <c r="Q64" s="244"/>
      <c r="R64" s="244"/>
      <c r="S64" s="244"/>
      <c r="T64" s="244"/>
      <c r="U64" s="248" t="e">
        <f t="shared" si="23"/>
        <v>#REF!</v>
      </c>
    </row>
    <row r="65" spans="2:21">
      <c r="B65" s="642" t="s">
        <v>326</v>
      </c>
      <c r="C65" s="244" t="s">
        <v>261</v>
      </c>
      <c r="D65" s="245" t="e">
        <f>#REF!</f>
        <v>#REF!</v>
      </c>
      <c r="E65" s="239" t="e">
        <f t="shared" si="21"/>
        <v>#REF!</v>
      </c>
      <c r="F65" s="244"/>
      <c r="G65" s="244"/>
      <c r="H65" s="244"/>
      <c r="I65" s="244"/>
      <c r="J65" s="244"/>
      <c r="K65" s="246">
        <v>0.3</v>
      </c>
      <c r="L65" s="246">
        <v>0.2</v>
      </c>
      <c r="M65" s="246">
        <v>0.2</v>
      </c>
      <c r="N65" s="246">
        <v>0.25</v>
      </c>
      <c r="O65" s="246">
        <v>0.05</v>
      </c>
      <c r="P65" s="244"/>
      <c r="Q65" s="244"/>
      <c r="R65" s="244"/>
      <c r="S65" s="244"/>
      <c r="T65" s="244"/>
      <c r="U65" s="248">
        <f t="shared" si="23"/>
        <v>1</v>
      </c>
    </row>
    <row r="66" spans="2:21">
      <c r="B66" s="642"/>
      <c r="C66" s="244"/>
      <c r="D66" s="245"/>
      <c r="E66" s="239">
        <f t="shared" si="21"/>
        <v>0</v>
      </c>
      <c r="F66" s="244"/>
      <c r="G66" s="244"/>
      <c r="H66" s="244"/>
      <c r="I66" s="244"/>
      <c r="J66" s="244"/>
      <c r="K66" s="239" t="e">
        <f>$E$65*K65</f>
        <v>#REF!</v>
      </c>
      <c r="L66" s="239" t="e">
        <f t="shared" ref="L66:O66" si="33">$E$65*L65</f>
        <v>#REF!</v>
      </c>
      <c r="M66" s="239" t="e">
        <f t="shared" si="33"/>
        <v>#REF!</v>
      </c>
      <c r="N66" s="239" t="e">
        <f t="shared" si="33"/>
        <v>#REF!</v>
      </c>
      <c r="O66" s="239" t="e">
        <f t="shared" si="33"/>
        <v>#REF!</v>
      </c>
      <c r="P66" s="244"/>
      <c r="Q66" s="244"/>
      <c r="R66" s="244"/>
      <c r="S66" s="244"/>
      <c r="T66" s="244"/>
      <c r="U66" s="248" t="e">
        <f t="shared" si="23"/>
        <v>#REF!</v>
      </c>
    </row>
    <row r="67" spans="2:21">
      <c r="B67" s="642"/>
      <c r="C67" s="244" t="s">
        <v>252</v>
      </c>
      <c r="D67" s="245" t="e">
        <f>#REF!</f>
        <v>#REF!</v>
      </c>
      <c r="E67" s="239" t="e">
        <f t="shared" si="21"/>
        <v>#REF!</v>
      </c>
      <c r="F67" s="244"/>
      <c r="G67" s="244"/>
      <c r="H67" s="244"/>
      <c r="I67" s="244"/>
      <c r="J67" s="244"/>
      <c r="K67" s="249">
        <v>0.3</v>
      </c>
      <c r="L67" s="249">
        <v>0.1</v>
      </c>
      <c r="M67" s="249">
        <v>0.1</v>
      </c>
      <c r="N67" s="249">
        <v>0.1</v>
      </c>
      <c r="O67" s="249">
        <v>0.1</v>
      </c>
      <c r="P67" s="249">
        <v>0.25</v>
      </c>
      <c r="Q67" s="249">
        <v>0.05</v>
      </c>
      <c r="R67" s="244"/>
      <c r="S67" s="244"/>
      <c r="T67" s="244"/>
      <c r="U67" s="248">
        <f t="shared" si="23"/>
        <v>1</v>
      </c>
    </row>
    <row r="68" spans="2:21">
      <c r="B68" s="642"/>
      <c r="C68" s="244"/>
      <c r="D68" s="245"/>
      <c r="E68" s="239">
        <f t="shared" si="21"/>
        <v>0</v>
      </c>
      <c r="F68" s="244"/>
      <c r="G68" s="244"/>
      <c r="H68" s="244"/>
      <c r="I68" s="244"/>
      <c r="J68" s="244"/>
      <c r="K68" s="239" t="e">
        <f>$E$67*K67</f>
        <v>#REF!</v>
      </c>
      <c r="L68" s="239" t="e">
        <f t="shared" ref="L68:Q68" si="34">$E$67*L67</f>
        <v>#REF!</v>
      </c>
      <c r="M68" s="239" t="e">
        <f t="shared" si="34"/>
        <v>#REF!</v>
      </c>
      <c r="N68" s="239" t="e">
        <f t="shared" si="34"/>
        <v>#REF!</v>
      </c>
      <c r="O68" s="239" t="e">
        <f t="shared" si="34"/>
        <v>#REF!</v>
      </c>
      <c r="P68" s="239" t="e">
        <f t="shared" si="34"/>
        <v>#REF!</v>
      </c>
      <c r="Q68" s="239" t="e">
        <f t="shared" si="34"/>
        <v>#REF!</v>
      </c>
      <c r="R68" s="244"/>
      <c r="S68" s="244"/>
      <c r="T68" s="244"/>
      <c r="U68" s="248" t="e">
        <f t="shared" si="23"/>
        <v>#REF!</v>
      </c>
    </row>
    <row r="69" spans="2:21">
      <c r="B69" s="642" t="s">
        <v>327</v>
      </c>
      <c r="C69" s="244" t="s">
        <v>261</v>
      </c>
      <c r="D69" s="245" t="e">
        <f>#REF!</f>
        <v>#REF!</v>
      </c>
      <c r="E69" s="239" t="e">
        <f t="shared" si="21"/>
        <v>#REF!</v>
      </c>
      <c r="F69" s="244"/>
      <c r="G69" s="244"/>
      <c r="H69" s="244"/>
      <c r="I69" s="244"/>
      <c r="J69" s="244"/>
      <c r="K69" s="244"/>
      <c r="L69" s="246">
        <v>0.3</v>
      </c>
      <c r="M69" s="246">
        <v>0.2</v>
      </c>
      <c r="N69" s="246">
        <v>0.2</v>
      </c>
      <c r="O69" s="246">
        <v>0.25</v>
      </c>
      <c r="P69" s="246">
        <v>0.05</v>
      </c>
      <c r="Q69" s="244"/>
      <c r="R69" s="244"/>
      <c r="S69" s="244"/>
      <c r="T69" s="244"/>
      <c r="U69" s="248">
        <f t="shared" si="23"/>
        <v>1</v>
      </c>
    </row>
    <row r="70" spans="2:21">
      <c r="B70" s="642"/>
      <c r="C70" s="244"/>
      <c r="D70" s="245"/>
      <c r="E70" s="239">
        <f t="shared" si="21"/>
        <v>0</v>
      </c>
      <c r="F70" s="244"/>
      <c r="G70" s="244"/>
      <c r="H70" s="244"/>
      <c r="I70" s="244"/>
      <c r="J70" s="244"/>
      <c r="K70" s="244"/>
      <c r="L70" s="239" t="e">
        <f>$E$69*L69</f>
        <v>#REF!</v>
      </c>
      <c r="M70" s="239" t="e">
        <f t="shared" ref="M70:P70" si="35">$E$69*M69</f>
        <v>#REF!</v>
      </c>
      <c r="N70" s="239" t="e">
        <f t="shared" si="35"/>
        <v>#REF!</v>
      </c>
      <c r="O70" s="239" t="e">
        <f t="shared" si="35"/>
        <v>#REF!</v>
      </c>
      <c r="P70" s="239" t="e">
        <f t="shared" si="35"/>
        <v>#REF!</v>
      </c>
      <c r="Q70" s="244"/>
      <c r="R70" s="244"/>
      <c r="S70" s="244"/>
      <c r="T70" s="244"/>
      <c r="U70" s="248" t="e">
        <f t="shared" si="23"/>
        <v>#REF!</v>
      </c>
    </row>
    <row r="71" spans="2:21">
      <c r="B71" s="642"/>
      <c r="C71" s="244" t="s">
        <v>252</v>
      </c>
      <c r="D71" s="245" t="e">
        <f>#REF!</f>
        <v>#REF!</v>
      </c>
      <c r="E71" s="239" t="e">
        <f t="shared" si="21"/>
        <v>#REF!</v>
      </c>
      <c r="F71" s="244"/>
      <c r="G71" s="244"/>
      <c r="H71" s="244"/>
      <c r="I71" s="244"/>
      <c r="J71" s="244"/>
      <c r="K71" s="244"/>
      <c r="L71" s="249">
        <v>0.3</v>
      </c>
      <c r="M71" s="249">
        <v>0.1</v>
      </c>
      <c r="N71" s="249">
        <v>0.1</v>
      </c>
      <c r="O71" s="249">
        <v>0.1</v>
      </c>
      <c r="P71" s="249">
        <v>0.1</v>
      </c>
      <c r="Q71" s="249">
        <v>0.25</v>
      </c>
      <c r="R71" s="249">
        <v>0.05</v>
      </c>
      <c r="S71" s="244"/>
      <c r="T71" s="244"/>
      <c r="U71" s="248">
        <f t="shared" si="23"/>
        <v>1</v>
      </c>
    </row>
    <row r="72" spans="2:21">
      <c r="B72" s="642"/>
      <c r="C72" s="244"/>
      <c r="D72" s="245"/>
      <c r="E72" s="239">
        <f t="shared" si="21"/>
        <v>0</v>
      </c>
      <c r="F72" s="244"/>
      <c r="G72" s="244"/>
      <c r="H72" s="244"/>
      <c r="I72" s="244"/>
      <c r="J72" s="244"/>
      <c r="K72" s="244"/>
      <c r="L72" s="239" t="e">
        <f>$E$71*L71</f>
        <v>#REF!</v>
      </c>
      <c r="M72" s="239" t="e">
        <f t="shared" ref="M72:R72" si="36">$E$71*M71</f>
        <v>#REF!</v>
      </c>
      <c r="N72" s="239" t="e">
        <f t="shared" si="36"/>
        <v>#REF!</v>
      </c>
      <c r="O72" s="239" t="e">
        <f t="shared" si="36"/>
        <v>#REF!</v>
      </c>
      <c r="P72" s="239" t="e">
        <f t="shared" si="36"/>
        <v>#REF!</v>
      </c>
      <c r="Q72" s="239" t="e">
        <f t="shared" si="36"/>
        <v>#REF!</v>
      </c>
      <c r="R72" s="239" t="e">
        <f t="shared" si="36"/>
        <v>#REF!</v>
      </c>
      <c r="S72" s="244"/>
      <c r="T72" s="244"/>
      <c r="U72" s="248" t="e">
        <f t="shared" si="23"/>
        <v>#REF!</v>
      </c>
    </row>
    <row r="73" spans="2:21">
      <c r="B73" s="642" t="s">
        <v>328</v>
      </c>
      <c r="C73" s="244" t="s">
        <v>261</v>
      </c>
      <c r="D73" s="245" t="e">
        <f>#REF!</f>
        <v>#REF!</v>
      </c>
      <c r="E73" s="239" t="e">
        <f t="shared" si="21"/>
        <v>#REF!</v>
      </c>
      <c r="F73" s="244"/>
      <c r="G73" s="244"/>
      <c r="H73" s="244"/>
      <c r="I73" s="244"/>
      <c r="J73" s="244"/>
      <c r="K73" s="244"/>
      <c r="L73" s="244"/>
      <c r="M73" s="246">
        <v>0.3</v>
      </c>
      <c r="N73" s="246">
        <v>0.2</v>
      </c>
      <c r="O73" s="246">
        <v>0.2</v>
      </c>
      <c r="P73" s="246">
        <v>0.25</v>
      </c>
      <c r="Q73" s="246">
        <v>0.05</v>
      </c>
      <c r="R73" s="244"/>
      <c r="S73" s="244"/>
      <c r="T73" s="244"/>
      <c r="U73" s="248">
        <f t="shared" si="23"/>
        <v>1</v>
      </c>
    </row>
    <row r="74" spans="2:21">
      <c r="B74" s="642"/>
      <c r="C74" s="244"/>
      <c r="D74" s="245"/>
      <c r="E74" s="239">
        <f t="shared" si="21"/>
        <v>0</v>
      </c>
      <c r="F74" s="244"/>
      <c r="G74" s="244"/>
      <c r="H74" s="244"/>
      <c r="I74" s="244"/>
      <c r="J74" s="244"/>
      <c r="K74" s="244"/>
      <c r="L74" s="244"/>
      <c r="M74" s="239" t="e">
        <f>$E$73*M73</f>
        <v>#REF!</v>
      </c>
      <c r="N74" s="239" t="e">
        <f t="shared" ref="N74:Q74" si="37">$E$73*N73</f>
        <v>#REF!</v>
      </c>
      <c r="O74" s="239" t="e">
        <f t="shared" si="37"/>
        <v>#REF!</v>
      </c>
      <c r="P74" s="239" t="e">
        <f t="shared" si="37"/>
        <v>#REF!</v>
      </c>
      <c r="Q74" s="239" t="e">
        <f t="shared" si="37"/>
        <v>#REF!</v>
      </c>
      <c r="R74" s="244"/>
      <c r="S74" s="244"/>
      <c r="T74" s="244"/>
      <c r="U74" s="248" t="e">
        <f t="shared" si="23"/>
        <v>#REF!</v>
      </c>
    </row>
    <row r="75" spans="2:21">
      <c r="B75" s="642"/>
      <c r="C75" s="244" t="s">
        <v>252</v>
      </c>
      <c r="D75" s="245" t="e">
        <f>#REF!</f>
        <v>#REF!</v>
      </c>
      <c r="E75" s="239" t="e">
        <f t="shared" si="21"/>
        <v>#REF!</v>
      </c>
      <c r="F75" s="244"/>
      <c r="G75" s="244"/>
      <c r="H75" s="244"/>
      <c r="I75" s="244"/>
      <c r="J75" s="244"/>
      <c r="K75" s="244"/>
      <c r="L75" s="244"/>
      <c r="M75" s="249">
        <v>0.3</v>
      </c>
      <c r="N75" s="249">
        <v>0.1</v>
      </c>
      <c r="O75" s="249">
        <v>0.1</v>
      </c>
      <c r="P75" s="249">
        <v>0.1</v>
      </c>
      <c r="Q75" s="249">
        <v>0.1</v>
      </c>
      <c r="R75" s="249">
        <v>0.25</v>
      </c>
      <c r="S75" s="249">
        <v>0.05</v>
      </c>
      <c r="T75" s="244"/>
      <c r="U75" s="248">
        <f t="shared" si="23"/>
        <v>1</v>
      </c>
    </row>
    <row r="76" spans="2:21">
      <c r="B76" s="642"/>
      <c r="C76" s="244"/>
      <c r="D76" s="245"/>
      <c r="E76" s="239">
        <f t="shared" si="21"/>
        <v>0</v>
      </c>
      <c r="F76" s="244"/>
      <c r="G76" s="244"/>
      <c r="H76" s="244"/>
      <c r="I76" s="244"/>
      <c r="J76" s="244"/>
      <c r="K76" s="244"/>
      <c r="L76" s="244"/>
      <c r="M76" s="239" t="e">
        <f>$E$75*M75</f>
        <v>#REF!</v>
      </c>
      <c r="N76" s="239" t="e">
        <f t="shared" ref="N76:S76" si="38">$E$75*N75</f>
        <v>#REF!</v>
      </c>
      <c r="O76" s="239" t="e">
        <f t="shared" si="38"/>
        <v>#REF!</v>
      </c>
      <c r="P76" s="239" t="e">
        <f t="shared" si="38"/>
        <v>#REF!</v>
      </c>
      <c r="Q76" s="239" t="e">
        <f t="shared" si="38"/>
        <v>#REF!</v>
      </c>
      <c r="R76" s="239" t="e">
        <f t="shared" si="38"/>
        <v>#REF!</v>
      </c>
      <c r="S76" s="239" t="e">
        <f t="shared" si="38"/>
        <v>#REF!</v>
      </c>
      <c r="T76" s="244"/>
      <c r="U76" s="248" t="e">
        <f t="shared" si="23"/>
        <v>#REF!</v>
      </c>
    </row>
    <row r="77" spans="2:21">
      <c r="B77" s="642" t="s">
        <v>329</v>
      </c>
      <c r="C77" s="244" t="s">
        <v>261</v>
      </c>
      <c r="D77" s="245" t="e">
        <f>#REF!</f>
        <v>#REF!</v>
      </c>
      <c r="E77" s="239" t="e">
        <f t="shared" si="21"/>
        <v>#REF!</v>
      </c>
      <c r="F77" s="244"/>
      <c r="G77" s="244"/>
      <c r="H77" s="244"/>
      <c r="I77" s="244"/>
      <c r="J77" s="244"/>
      <c r="K77" s="244"/>
      <c r="L77" s="244"/>
      <c r="M77" s="244"/>
      <c r="N77" s="246">
        <v>0.3</v>
      </c>
      <c r="O77" s="246">
        <v>0.2</v>
      </c>
      <c r="P77" s="246">
        <v>0.2</v>
      </c>
      <c r="Q77" s="246">
        <v>0.25</v>
      </c>
      <c r="R77" s="246">
        <v>0.05</v>
      </c>
      <c r="S77" s="244"/>
      <c r="T77" s="244"/>
      <c r="U77" s="248">
        <f t="shared" si="23"/>
        <v>1</v>
      </c>
    </row>
    <row r="78" spans="2:21">
      <c r="B78" s="642"/>
      <c r="C78" s="244"/>
      <c r="D78" s="245"/>
      <c r="E78" s="239">
        <f t="shared" si="21"/>
        <v>0</v>
      </c>
      <c r="F78" s="244"/>
      <c r="G78" s="244"/>
      <c r="H78" s="244"/>
      <c r="I78" s="244"/>
      <c r="J78" s="244"/>
      <c r="K78" s="244"/>
      <c r="L78" s="244"/>
      <c r="M78" s="244"/>
      <c r="N78" s="239" t="e">
        <f>$E$77*N77</f>
        <v>#REF!</v>
      </c>
      <c r="O78" s="239" t="e">
        <f t="shared" ref="O78:R78" si="39">$E$77*O77</f>
        <v>#REF!</v>
      </c>
      <c r="P78" s="239" t="e">
        <f t="shared" si="39"/>
        <v>#REF!</v>
      </c>
      <c r="Q78" s="239" t="e">
        <f t="shared" si="39"/>
        <v>#REF!</v>
      </c>
      <c r="R78" s="239" t="e">
        <f t="shared" si="39"/>
        <v>#REF!</v>
      </c>
      <c r="S78" s="244"/>
      <c r="T78" s="244"/>
      <c r="U78" s="248" t="e">
        <f t="shared" si="23"/>
        <v>#REF!</v>
      </c>
    </row>
    <row r="79" spans="2:21">
      <c r="B79" s="642"/>
      <c r="C79" s="244" t="s">
        <v>252</v>
      </c>
      <c r="D79" s="245" t="e">
        <f>#REF!</f>
        <v>#REF!</v>
      </c>
      <c r="E79" s="239" t="e">
        <f t="shared" si="21"/>
        <v>#REF!</v>
      </c>
      <c r="F79" s="244"/>
      <c r="G79" s="244"/>
      <c r="H79" s="244"/>
      <c r="I79" s="244"/>
      <c r="J79" s="244"/>
      <c r="K79" s="244"/>
      <c r="L79" s="244"/>
      <c r="M79" s="244"/>
      <c r="N79" s="249">
        <v>0.3</v>
      </c>
      <c r="O79" s="249">
        <v>0.1</v>
      </c>
      <c r="P79" s="249">
        <v>0.1</v>
      </c>
      <c r="Q79" s="249">
        <v>0.1</v>
      </c>
      <c r="R79" s="249">
        <v>0.1</v>
      </c>
      <c r="S79" s="249">
        <v>0.25</v>
      </c>
      <c r="T79" s="249">
        <v>0.05</v>
      </c>
      <c r="U79" s="248">
        <f t="shared" si="23"/>
        <v>1</v>
      </c>
    </row>
    <row r="80" spans="2:21">
      <c r="B80" s="648"/>
      <c r="C80" s="386"/>
      <c r="D80" s="386"/>
      <c r="E80" s="386"/>
      <c r="F80" s="386"/>
      <c r="G80" s="386"/>
      <c r="H80" s="386"/>
      <c r="I80" s="386"/>
      <c r="J80" s="386"/>
      <c r="K80" s="386"/>
      <c r="L80" s="386"/>
      <c r="M80" s="386"/>
      <c r="N80" s="387" t="e">
        <f>$E$79*N79</f>
        <v>#REF!</v>
      </c>
      <c r="O80" s="387" t="e">
        <f t="shared" ref="O80:T80" si="40">$E$79*O79</f>
        <v>#REF!</v>
      </c>
      <c r="P80" s="387" t="e">
        <f t="shared" si="40"/>
        <v>#REF!</v>
      </c>
      <c r="Q80" s="387" t="e">
        <f t="shared" si="40"/>
        <v>#REF!</v>
      </c>
      <c r="R80" s="387" t="e">
        <f t="shared" si="40"/>
        <v>#REF!</v>
      </c>
      <c r="S80" s="387" t="e">
        <f t="shared" si="40"/>
        <v>#REF!</v>
      </c>
      <c r="T80" s="387" t="e">
        <f t="shared" si="40"/>
        <v>#REF!</v>
      </c>
      <c r="U80" s="388" t="e">
        <f t="shared" si="23"/>
        <v>#REF!</v>
      </c>
    </row>
    <row r="81" spans="4:21" s="186" customFormat="1">
      <c r="D81" s="251"/>
      <c r="F81" s="252" t="e">
        <f>SUM(F45:F80)</f>
        <v>#REF!</v>
      </c>
      <c r="G81" s="252" t="e">
        <f t="shared" ref="G81:T81" si="41">SUM(G45:G80)</f>
        <v>#REF!</v>
      </c>
      <c r="H81" s="252" t="e">
        <f t="shared" si="41"/>
        <v>#REF!</v>
      </c>
      <c r="I81" s="252" t="e">
        <f t="shared" si="41"/>
        <v>#REF!</v>
      </c>
      <c r="J81" s="252" t="e">
        <f t="shared" si="41"/>
        <v>#REF!</v>
      </c>
      <c r="K81" s="252" t="e">
        <f t="shared" si="41"/>
        <v>#REF!</v>
      </c>
      <c r="L81" s="252" t="e">
        <f t="shared" si="41"/>
        <v>#REF!</v>
      </c>
      <c r="M81" s="252" t="e">
        <f t="shared" si="41"/>
        <v>#REF!</v>
      </c>
      <c r="N81" s="252" t="e">
        <f t="shared" si="41"/>
        <v>#REF!</v>
      </c>
      <c r="O81" s="252" t="e">
        <f t="shared" si="41"/>
        <v>#REF!</v>
      </c>
      <c r="P81" s="252" t="e">
        <f t="shared" si="41"/>
        <v>#REF!</v>
      </c>
      <c r="Q81" s="252" t="e">
        <f t="shared" si="41"/>
        <v>#REF!</v>
      </c>
      <c r="R81" s="252" t="e">
        <f t="shared" si="41"/>
        <v>#REF!</v>
      </c>
      <c r="S81" s="252" t="e">
        <f t="shared" si="41"/>
        <v>#REF!</v>
      </c>
      <c r="T81" s="252" t="e">
        <f t="shared" si="41"/>
        <v>#REF!</v>
      </c>
      <c r="U81" s="253" t="e">
        <f t="shared" si="23"/>
        <v>#REF!</v>
      </c>
    </row>
    <row r="82" spans="4:21">
      <c r="U82" s="254" t="e">
        <f>U81+U40</f>
        <v>#REF!</v>
      </c>
    </row>
    <row r="83" spans="4:21">
      <c r="F83" s="254" t="e">
        <f>F40+F81</f>
        <v>#REF!</v>
      </c>
      <c r="G83" s="254" t="e">
        <f t="shared" ref="G83:T83" si="42">G40+G81</f>
        <v>#REF!</v>
      </c>
      <c r="H83" s="254" t="e">
        <f t="shared" si="42"/>
        <v>#REF!</v>
      </c>
      <c r="I83" s="254" t="e">
        <f t="shared" si="42"/>
        <v>#REF!</v>
      </c>
      <c r="J83" s="254" t="e">
        <f t="shared" si="42"/>
        <v>#REF!</v>
      </c>
      <c r="K83" s="254" t="e">
        <f t="shared" si="42"/>
        <v>#REF!</v>
      </c>
      <c r="L83" s="254" t="e">
        <f t="shared" si="42"/>
        <v>#REF!</v>
      </c>
      <c r="M83" s="254" t="e">
        <f t="shared" si="42"/>
        <v>#REF!</v>
      </c>
      <c r="N83" s="254" t="e">
        <f t="shared" si="42"/>
        <v>#REF!</v>
      </c>
      <c r="O83" s="254" t="e">
        <f t="shared" si="42"/>
        <v>#REF!</v>
      </c>
      <c r="P83" s="254" t="e">
        <f t="shared" si="42"/>
        <v>#REF!</v>
      </c>
      <c r="Q83" s="254" t="e">
        <f t="shared" si="42"/>
        <v>#REF!</v>
      </c>
      <c r="R83" s="254" t="e">
        <f t="shared" si="42"/>
        <v>#REF!</v>
      </c>
      <c r="S83" s="254" t="e">
        <f t="shared" si="42"/>
        <v>#REF!</v>
      </c>
      <c r="T83" s="254" t="e">
        <f t="shared" si="42"/>
        <v>#REF!</v>
      </c>
      <c r="U83" s="255" t="e">
        <f t="shared" si="23"/>
        <v>#REF!</v>
      </c>
    </row>
  </sheetData>
  <mergeCells count="20">
    <mergeCell ref="B73:B76"/>
    <mergeCell ref="B77:B80"/>
    <mergeCell ref="B49:B52"/>
    <mergeCell ref="B53:B56"/>
    <mergeCell ref="B57:B60"/>
    <mergeCell ref="B61:B64"/>
    <mergeCell ref="B65:B68"/>
    <mergeCell ref="B69:B72"/>
    <mergeCell ref="B45:B48"/>
    <mergeCell ref="B2:D2"/>
    <mergeCell ref="B4:B7"/>
    <mergeCell ref="B8:B11"/>
    <mergeCell ref="B12:B15"/>
    <mergeCell ref="B16:B19"/>
    <mergeCell ref="B20:B23"/>
    <mergeCell ref="B24:B27"/>
    <mergeCell ref="B28:B31"/>
    <mergeCell ref="B32:B35"/>
    <mergeCell ref="B36:B39"/>
    <mergeCell ref="B43:D4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46580ff-3b93-460b-b5e7-f5d61a00655a" xsi:nil="true"/>
    <SharedWithUsers xmlns="f46580ff-3b93-460b-b5e7-f5d61a00655a">
      <UserInfo>
        <DisplayName/>
        <AccountId xsi:nil="true"/>
        <AccountType/>
      </UserInfo>
    </SharedWithUsers>
    <lcf76f155ced4ddcb4097134ff3c332f xmlns="9f4ec16c-4904-4326-a5fc-9f2d3596b8d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B731F2A5A1C046800799ED4D26B781" ma:contentTypeVersion="16" ma:contentTypeDescription="Create a new document." ma:contentTypeScope="" ma:versionID="85b8071cc85e07ad6263d06cdfcc2699">
  <xsd:schema xmlns:xsd="http://www.w3.org/2001/XMLSchema" xmlns:xs="http://www.w3.org/2001/XMLSchema" xmlns:p="http://schemas.microsoft.com/office/2006/metadata/properties" xmlns:ns2="9f4ec16c-4904-4326-a5fc-9f2d3596b8dd" xmlns:ns3="f46580ff-3b93-460b-b5e7-f5d61a00655a" targetNamespace="http://schemas.microsoft.com/office/2006/metadata/properties" ma:root="true" ma:fieldsID="daff0eb9ca9a29a9154650ec76047fee" ns2:_="" ns3:_="">
    <xsd:import namespace="9f4ec16c-4904-4326-a5fc-9f2d3596b8dd"/>
    <xsd:import namespace="f46580ff-3b93-460b-b5e7-f5d61a00655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4ec16c-4904-4326-a5fc-9f2d3596b8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414893dd-5676-4140-b894-ee17c2c9979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6580ff-3b93-460b-b5e7-f5d61a00655a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4d150236-225e-49be-b678-c3febbcabd5d}" ma:internalName="TaxCatchAll" ma:showField="CatchAllData" ma:web="f46580ff-3b93-460b-b5e7-f5d61a0065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29515D7-6C6E-4A3A-B4D2-9038AE06B8CD}">
  <ds:schemaRefs>
    <ds:schemaRef ds:uri="http://schemas.microsoft.com/office/2006/metadata/properties"/>
    <ds:schemaRef ds:uri="http://schemas.microsoft.com/office/infopath/2007/PartnerControls"/>
    <ds:schemaRef ds:uri="f46580ff-3b93-460b-b5e7-f5d61a00655a"/>
    <ds:schemaRef ds:uri="9f4ec16c-4904-4326-a5fc-9f2d3596b8dd"/>
  </ds:schemaRefs>
</ds:datastoreItem>
</file>

<file path=customXml/itemProps2.xml><?xml version="1.0" encoding="utf-8"?>
<ds:datastoreItem xmlns:ds="http://schemas.openxmlformats.org/officeDocument/2006/customXml" ds:itemID="{60BF831F-618A-4266-85B0-C10B697797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4ec16c-4904-4326-a5fc-9f2d3596b8dd"/>
    <ds:schemaRef ds:uri="f46580ff-3b93-460b-b5e7-f5d61a0065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784D5C3-53F2-4EAF-B8BA-E6E22490F3C9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bd0bfdb3-af82-402a-a9cf-e946cb8524ba}" enabled="1" method="Privileged" siteId="{56e56246-8739-4b1c-9110-355c7325571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3</vt:i4>
      </vt:variant>
    </vt:vector>
  </HeadingPairs>
  <TitlesOfParts>
    <vt:vector size="15" baseType="lpstr">
      <vt:lpstr>1. Tổng hợp</vt:lpstr>
      <vt:lpstr>2. CPxaydung</vt:lpstr>
      <vt:lpstr>3. TMDT</vt:lpstr>
      <vt:lpstr>4. Vay</vt:lpstr>
      <vt:lpstr>5. KHBH</vt:lpstr>
      <vt:lpstr>6. PBChiPhi</vt:lpstr>
      <vt:lpstr>7. P&amp;L TOÀN DỰ ÁN</vt:lpstr>
      <vt:lpstr>8. Hiệu quả dự án và CĐT</vt:lpstr>
      <vt:lpstr>9. Cân đối dòng tiền (VCSH)</vt:lpstr>
      <vt:lpstr>10. PA dự phòng</vt:lpstr>
      <vt:lpstr>40 CĂN ĐỦ ĐK BH </vt:lpstr>
      <vt:lpstr>CF bán hàng 12.2024</vt:lpstr>
      <vt:lpstr>'4. Vay'!Print_Area</vt:lpstr>
      <vt:lpstr>'5. KHBH'!Print_Area</vt:lpstr>
      <vt:lpstr>'4. Vay'!Print_Titles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Ha Ngo Hung</cp:lastModifiedBy>
  <cp:revision/>
  <dcterms:created xsi:type="dcterms:W3CDTF">2022-09-19T08:06:27Z</dcterms:created>
  <dcterms:modified xsi:type="dcterms:W3CDTF">2026-03-23T08:52:32Z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0x010100C8B731F2A5A1C046800799ED4D26B781</vt:lpwstr>
  </property>
  <property fmtid="{D5CDD505-2E9C-101B-9397-08002B2CF9AE}" pid="3" name="MSIP_Label_bd0bfdb3-af82-402a-a9cf-e946cb8524ba_Enabled">
    <vt:lpwstr>true</vt:lpwstr>
  </property>
  <property fmtid="{D5CDD505-2E9C-101B-9397-08002B2CF9AE}" pid="4" name="MSIP_Label_bd0bfdb3-af82-402a-a9cf-e946cb8524ba_SetDate">
    <vt:lpwstr>2024-11-15T03:24:52Z</vt:lpwstr>
  </property>
  <property fmtid="{D5CDD505-2E9C-101B-9397-08002B2CF9AE}" pid="5" name="MSIP_Label_bd0bfdb3-af82-402a-a9cf-e946cb8524ba_Method">
    <vt:lpwstr>Standard</vt:lpwstr>
  </property>
  <property fmtid="{D5CDD505-2E9C-101B-9397-08002B2CF9AE}" pid="6" name="MSIP_Label_bd0bfdb3-af82-402a-a9cf-e946cb8524ba_Name">
    <vt:lpwstr>Personal</vt:lpwstr>
  </property>
  <property fmtid="{D5CDD505-2E9C-101B-9397-08002B2CF9AE}" pid="7" name="MSIP_Label_bd0bfdb3-af82-402a-a9cf-e946cb8524ba_SiteId">
    <vt:lpwstr>56e56246-8739-4b1c-9110-355c73255716</vt:lpwstr>
  </property>
  <property fmtid="{D5CDD505-2E9C-101B-9397-08002B2CF9AE}" pid="8" name="MSIP_Label_bd0bfdb3-af82-402a-a9cf-e946cb8524ba_ActionId">
    <vt:lpwstr>3a88393b-4fb4-49b6-b277-72c4487cec57</vt:lpwstr>
  </property>
  <property fmtid="{D5CDD505-2E9C-101B-9397-08002B2CF9AE}" pid="9" name="MSIP_Label_bd0bfdb3-af82-402a-a9cf-e946cb8524ba_ContentBits">
    <vt:lpwstr>0</vt:lpwstr>
  </property>
  <property fmtid="{D5CDD505-2E9C-101B-9397-08002B2CF9AE}" pid="10" name="MediaServiceImageTags">
    <vt:lpwstr/>
  </property>
  <property fmtid="{D5CDD505-2E9C-101B-9397-08002B2CF9AE}" pid="11" name="xd_ProgID">
    <vt:lpwstr/>
  </property>
  <property fmtid="{D5CDD505-2E9C-101B-9397-08002B2CF9AE}" pid="12" name="ComplianceAssetId">
    <vt:lpwstr/>
  </property>
  <property fmtid="{D5CDD505-2E9C-101B-9397-08002B2CF9AE}" pid="13" name="TemplateUrl">
    <vt:lpwstr/>
  </property>
  <property fmtid="{D5CDD505-2E9C-101B-9397-08002B2CF9AE}" pid="14" name="_ExtendedDescription">
    <vt:lpwstr/>
  </property>
  <property fmtid="{D5CDD505-2E9C-101B-9397-08002B2CF9AE}" pid="15" name="TriggerFlowInfo">
    <vt:lpwstr/>
  </property>
  <property fmtid="{D5CDD505-2E9C-101B-9397-08002B2CF9AE}" pid="16" name="xd_Signature">
    <vt:bool>false</vt:bool>
  </property>
</Properties>
</file>